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4e113f46b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da708b9565442a"/>
    <x:sheet xmlns:r="http://schemas.openxmlformats.org/officeDocument/2006/relationships" name="Category Summary" sheetId="2" r:id="Rb94959f83583407e"/>
    <x:sheet xmlns:r="http://schemas.openxmlformats.org/officeDocument/2006/relationships" name="Category Details" sheetId="3" r:id="R54a2784a82af4b9c"/>
    <x:sheet xmlns:r="http://schemas.openxmlformats.org/officeDocument/2006/relationships" name="Monthly Summary" sheetId="4" r:id="R5de78d012e424d2c"/>
    <x:sheet xmlns:r="http://schemas.openxmlformats.org/officeDocument/2006/relationships" name="Transactions" sheetId="5" r:id="R1c29aa1192684544"/>
    <x:sheet xmlns:r="http://schemas.openxmlformats.org/officeDocument/2006/relationships" name="Detail Total" sheetId="6" r:id="Red130ca3560e464c"/>
    <x:sheet xmlns:r="http://schemas.openxmlformats.org/officeDocument/2006/relationships" name="Detail Cash" sheetId="7" r:id="Rae410d81e3a04eb9"/>
    <x:sheet xmlns:r="http://schemas.openxmlformats.org/officeDocument/2006/relationships" name="Detail Recurring Transaction" sheetId="8" r:id="Rc1becaf9e4cb4a70"/>
    <x:sheet xmlns:r="http://schemas.openxmlformats.org/officeDocument/2006/relationships" name="Detail EMI" sheetId="9" r:id="R86045911272b4114"/>
    <x:sheet xmlns:r="http://schemas.openxmlformats.org/officeDocument/2006/relationships" name="Detail Salary" sheetId="10" r:id="R97bc94be9a004bae"/>
    <x:sheet xmlns:r="http://schemas.openxmlformats.org/officeDocument/2006/relationships" name="Detail High Transaction" sheetId="11" r:id="R3551d3c94a3a44d1"/>
    <x:sheet xmlns:r="http://schemas.openxmlformats.org/officeDocument/2006/relationships" name="Detail Total Receipts and Payme" sheetId="12" r:id="Radaa63e1a2ee48e4"/>
    <x:sheet xmlns:r="http://schemas.openxmlformats.org/officeDocument/2006/relationships" name="Detail UPI" sheetId="13" r:id="R2b2636e122d94060"/>
    <x:sheet xmlns:r="http://schemas.openxmlformats.org/officeDocument/2006/relationships" name="Detail LIC" sheetId="14" r:id="R788ce2aca0ef442c"/>
    <x:sheet xmlns:r="http://schemas.openxmlformats.org/officeDocument/2006/relationships" name="Detail FD interest" sheetId="15" r:id="R20f901b1d86e4808"/>
    <x:sheet xmlns:r="http://schemas.openxmlformats.org/officeDocument/2006/relationships" name="Detail FD Deposit and withdrawa" sheetId="16" r:id="R16466b1c3a544098"/>
    <x:sheet xmlns:r="http://schemas.openxmlformats.org/officeDocument/2006/relationships" name="Detail PPF PF interest and cont" sheetId="17" r:id="R31cefdd32be04f55"/>
    <x:sheet xmlns:r="http://schemas.openxmlformats.org/officeDocument/2006/relationships" name="Checks" sheetId="18" r:id="Rdbbf70ae663a47ac"/>
    <x:sheet xmlns:r="http://schemas.openxmlformats.org/officeDocument/2006/relationships" name="Sources" sheetId="19" r:id="R625ce6cfb902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8902c7b43444e" /><Relationship Type="http://schemas.openxmlformats.org/officeDocument/2006/relationships/theme" Target="/xl/theme/theme1.xml" Id="R9bf22b2e92164052" /><Relationship Type="http://schemas.openxmlformats.org/officeDocument/2006/relationships/sharedStrings" Target="/xl/sharedStrings.xml" Id="R1111569414cc4dbd" /><Relationship Type="http://schemas.openxmlformats.org/officeDocument/2006/relationships/worksheet" Target="/xl/worksheets/sheet1.xml" Id="R0ada708b9565442a" /><Relationship Type="http://schemas.openxmlformats.org/officeDocument/2006/relationships/worksheet" Target="/xl/worksheets/sheet2.xml" Id="Rb94959f83583407e" /><Relationship Type="http://schemas.openxmlformats.org/officeDocument/2006/relationships/worksheet" Target="/xl/worksheets/sheet3.xml" Id="R54a2784a82af4b9c" /><Relationship Type="http://schemas.openxmlformats.org/officeDocument/2006/relationships/worksheet" Target="/xl/worksheets/sheet4.xml" Id="R5de78d012e424d2c" /><Relationship Type="http://schemas.openxmlformats.org/officeDocument/2006/relationships/worksheet" Target="/xl/worksheets/sheet5.xml" Id="R1c29aa1192684544" /><Relationship Type="http://schemas.openxmlformats.org/officeDocument/2006/relationships/worksheet" Target="/xl/worksheets/sheet6.xml" Id="Red130ca3560e464c" /><Relationship Type="http://schemas.openxmlformats.org/officeDocument/2006/relationships/worksheet" Target="/xl/worksheets/sheet7.xml" Id="Rae410d81e3a04eb9" /><Relationship Type="http://schemas.openxmlformats.org/officeDocument/2006/relationships/worksheet" Target="/xl/worksheets/sheet8.xml" Id="Rc1becaf9e4cb4a70" /><Relationship Type="http://schemas.openxmlformats.org/officeDocument/2006/relationships/worksheet" Target="/xl/worksheets/sheet9.xml" Id="R86045911272b4114" /><Relationship Type="http://schemas.openxmlformats.org/officeDocument/2006/relationships/worksheet" Target="/xl/worksheets/sheet10.xml" Id="R97bc94be9a004bae" /><Relationship Type="http://schemas.openxmlformats.org/officeDocument/2006/relationships/worksheet" Target="/xl/worksheets/sheet11.xml" Id="R3551d3c94a3a44d1" /><Relationship Type="http://schemas.openxmlformats.org/officeDocument/2006/relationships/worksheet" Target="/xl/worksheets/sheet12.xml" Id="Radaa63e1a2ee48e4" /><Relationship Type="http://schemas.openxmlformats.org/officeDocument/2006/relationships/worksheet" Target="/xl/worksheets/sheet13.xml" Id="R2b2636e122d94060" /><Relationship Type="http://schemas.openxmlformats.org/officeDocument/2006/relationships/worksheet" Target="/xl/worksheets/sheet14.xml" Id="R788ce2aca0ef442c" /><Relationship Type="http://schemas.openxmlformats.org/officeDocument/2006/relationships/worksheet" Target="/xl/worksheets/sheet15.xml" Id="R20f901b1d86e4808" /><Relationship Type="http://schemas.openxmlformats.org/officeDocument/2006/relationships/worksheet" Target="/xl/worksheets/sheet16.xml" Id="R16466b1c3a544098" /><Relationship Type="http://schemas.openxmlformats.org/officeDocument/2006/relationships/worksheet" Target="/xl/worksheets/sheet17.xml" Id="R31cefdd32be04f55" /><Relationship Type="http://schemas.openxmlformats.org/officeDocument/2006/relationships/worksheet" Target="/xl/worksheets/sheet18.xml" Id="Rdbbf70ae663a47ac" /><Relationship Type="http://schemas.openxmlformats.org/officeDocument/2006/relationships/worksheet" Target="/xl/worksheets/sheet19.xml" Id="R625ce6cfb90248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6046163b3e4a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'Dashboard'!$I$4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6046163b3e4a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1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9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39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402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350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A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HighTransactionDetailTable" displayName="HighTransactionDetailTable" ref="A4:AA11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7" name="TotalReceiptsandPaymentsDetailTable" displayName="TotalReceiptsandPaymentsDetailTable" ref="A4:AA402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1.xml><?xml version="1.0" encoding="utf-8"?>
<x:table xmlns:x="http://schemas.openxmlformats.org/spreadsheetml/2006/main" id="8" name="UPIDetailTable" displayName="UPIDetailTable" ref="A4:AA40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437df5e91e4d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b5613ca4f42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871026fd446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561885ec0946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a5e2115ed44e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5d321f4324c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6a8668806145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5c53e7f1554e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aa719f4ab24a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3832d6b4c94b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0d92084918b47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59817aebfb74a0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2.xml" Id="R57b059fb35164dc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3.xml" Id="Rb12b438084994a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Bank of Baroda Statement Analysis</x:v>
      </x:c>
      <x:c r="B1" s="34" t="str">
        <x:v>Bank of Baroda Statement Analysis</x:v>
      </x:c>
      <x:c r="C1" s="34" t="str">
        <x:v>Bank of Baroda Statement Analysis</x:v>
      </x:c>
      <x:c r="D1" s="34" t="str">
        <x:v>Bank of Baroda Statement Analysis</x:v>
      </x:c>
      <x:c r="E1" s="34" t="str">
        <x:v>Bank of Baroda Statement Analysis</x:v>
      </x:c>
      <x:c r="F1" s="34" t="str">
        <x:v>Bank of Baroda Statement Analysis</x:v>
      </x:c>
      <x:c r="G1" s="34" t="str">
        <x:v>Bank of Baroda Statement Analysis</x:v>
      </x:c>
      <x:c r="H1" s="34" t="str">
        <x:v>Bank of Baroda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2026 to Apr 2026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2026</x:v>
      </x:c>
      <x:c r="I4" s="17" t="n">
        <x:f>'Monthly Summary'!J2</x:f>
        <x:v>17768567.189999994</x:v>
      </x:c>
      <x:c r="J4" s="17" t="n">
        <x:f>'Monthly Summary'!I2</x:f>
        <x:v>18129258.18999999</x:v>
      </x:c>
      <x:c r="K4" s="17" t="n">
        <x:f>ROUND(I4-J4,2)</x:f>
        <x:v>-360691</x:v>
      </x:c>
      <x:c r="L4" s="17" t="n">
        <x:f>'Monthly Summary'!K2</x:f>
        <x:v>2500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398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33" t="str">
        <x:v>Total Receipts</x:v>
      </x:c>
      <x:c r="B7" s="17" t="n">
        <x:f>'Category Summary'!D2</x:f>
        <x:v>17768567.189999994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33" t="str">
        <x:v>Total Payments</x:v>
      </x:c>
      <x:c r="B8" s="17" t="n">
        <x:f>'Category Summary'!F2</x:f>
        <x:v>18129258.18999999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33" t="str">
        <x:v>Net Movement</x:v>
      </x:c>
      <x:c r="B9" s="17" t="n">
        <x:f>ROUND('Category Summary'!G2,2)</x:f>
        <x:v>-360691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3" t="str">
        <x:v>Cash Receipts</x:v>
      </x:c>
      <x:c r="B10" s="17" t="n">
        <x:f>'Category Summary'!D3</x:f>
        <x:v>114500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</x:row>
    <x:row r="11">
      <x:c r="A11" s="33" t="str">
        <x:v>High Transaction Value</x:v>
      </x:c>
      <x:c r="B11" s="17" t="n">
        <x:f>ROUND('Category Summary'!D7-'Category Summary'!F7,2)</x:f>
        <x:v>-6182762.44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</x:row>
    <x:row r="12">
      <x:c r="A12" s="33" t="str">
        <x:v>Recurring Transaction Value</x:v>
      </x:c>
      <x:c r="B12" s="17" t="n">
        <x:f>ROUND('Category Summary'!D4-'Category Summary'!F4,2)</x:f>
        <x:v>-1978174.65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399809.37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27"/>
      <x:c r="I15" s="27"/>
      <x:c r="J15" s="27"/>
      <x:c r="K15" s="27"/>
      <x:c r="L15" s="27"/>
      <x:c r="M15" s="27"/>
    </x:row>
    <x:row r="16">
      <x:c r="A16" s="14" t="str">
        <x:f>'Category Summary'!A2</x:f>
        <x:v>Total</x:v>
      </x:c>
      <x:c r="B16" s="14" t="n">
        <x:f>'Category Summary'!C2</x:f>
        <x:v>283</x:v>
      </x:c>
      <x:c r="C16" s="17" t="n">
        <x:f>'Category Summary'!D2</x:f>
        <x:v>17768567.189999994</x:v>
      </x:c>
      <x:c r="D16" s="17" t="n">
        <x:f>'Category Summary'!E2</x:f>
        <x:v>115</x:v>
      </x:c>
      <x:c r="E16" s="17" t="n">
        <x:f>'Category Summary'!F2</x:f>
        <x:v>18129258.18999999</x:v>
      </x:c>
      <x:c r="F16" s="17" t="n">
        <x:f>'Category Summary'!G2</x:f>
        <x:v>-360691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114500</x:v>
      </x:c>
      <x:c r="D17" s="17" t="n">
        <x:f>'Category Summary'!E3</x:f>
        <x:v>1</x:v>
      </x:c>
      <x:c r="E17" s="17" t="n">
        <x:f>'Category Summary'!F3</x:f>
        <x:v>24</x:v>
      </x:c>
      <x:c r="F17" s="17" t="n">
        <x:f>'Category Summary'!G3</x:f>
        <x:v>114476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250</x:v>
      </x:c>
      <x:c r="C18" s="17" t="n">
        <x:f>'Category Summary'!D4</x:f>
        <x:v>15926651.489999996</x:v>
      </x:c>
      <x:c r="D18" s="17" t="n">
        <x:f>'Category Summary'!E4</x:f>
        <x:v>96</x:v>
      </x:c>
      <x:c r="E18" s="17" t="n">
        <x:f>'Category Summary'!F4</x:f>
        <x:v>17904826.13999999</x:v>
      </x:c>
      <x:c r="F18" s="17" t="n">
        <x:f>'Category Summary'!G4</x:f>
        <x:v>-1978174.65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2</x:v>
      </x:c>
      <x:c r="C19" s="17" t="n">
        <x:f>'Category Summary'!D5</x:f>
        <x:v>55541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55541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59</x:v>
      </x:c>
      <x:c r="C21" s="17" t="n">
        <x:f>'Category Summary'!D7</x:f>
        <x:v>10963793.9</x:v>
      </x:c>
      <x:c r="D21" s="17" t="n">
        <x:f>'Category Summary'!E7</x:f>
        <x:v>53</x:v>
      </x:c>
      <x:c r="E21" s="17" t="n">
        <x:f>'Category Summary'!F7</x:f>
        <x:v>17146556.339999996</x:v>
      </x:c>
      <x:c r="F21" s="17" t="n">
        <x:f>'Category Summary'!G7</x:f>
        <x:v>-6182762.44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24</x:v>
      </x:c>
      <x:c r="C22" s="17" t="n">
        <x:f>'Category Summary'!D8</x:f>
        <x:v>416085</x:v>
      </x:c>
      <x:c r="D22" s="17" t="n">
        <x:f>'Category Summary'!E8</x:f>
        <x:v>12</x:v>
      </x:c>
      <x:c r="E22" s="17" t="n">
        <x:f>'Category Summary'!F8</x:f>
        <x:v>71816.63</x:v>
      </x:c>
      <x:c r="F22" s="17" t="n">
        <x:f>'Category Summary'!G8</x:f>
        <x:v>344268.37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4437df5e91e4d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COUNTIF(Transactions!$I$2:$I$399,"Receipt")</x:f>
        <x:v>283</x:v>
      </x:c>
      <x:c r="D2" s="17" t="n">
        <x:f>SUM(Transactions!$K$2:$K$399)</x:f>
        <x:v>17768567.189999994</x:v>
      </x:c>
      <x:c r="E2" s="17" t="n">
        <x:f>COUNTIF(Transactions!$I$2:$I$399,"Payment")</x:f>
        <x:v>115</x:v>
      </x:c>
      <x:c r="F2" s="17" t="n">
        <x:f>SUM(Transactions!$J$2:$J$399)</x:f>
        <x:v>18129258.18999999</x:v>
      </x:c>
      <x:c r="G2" s="17" t="n">
        <x:f>ROUND(D2-F2,2)</x:f>
        <x:v>-360691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COUNTIFS(Transactions!$Q$2:$Q$399,1,Transactions!$I$2:$I$399,"Receipt")</x:f>
        <x:v>1</x:v>
      </x:c>
      <x:c r="D3" s="17" t="n">
        <x:f>SUMIFS(Transactions!$K$2:$K$399,Transactions!$Q$2:$Q$399,1)</x:f>
        <x:v>114500</x:v>
      </x:c>
      <x:c r="E3" s="17" t="n">
        <x:f>COUNTIFS(Transactions!$Q$2:$Q$399,1,Transactions!$I$2:$I$399,"Payment")</x:f>
        <x:v>1</x:v>
      </x:c>
      <x:c r="F3" s="17" t="n">
        <x:f>SUMIFS(Transactions!$J$2:$J$399,Transactions!$Q$2:$Q$399,1)</x:f>
        <x:v>24</x:v>
      </x:c>
      <x:c r="G3" s="17" t="n">
        <x:f>ROUND(D3-F3,2)</x:f>
        <x:v>114476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COUNTIFS(Transactions!$R$2:$R$399,1,Transactions!$I$2:$I$399,"Receipt")</x:f>
        <x:v>250</x:v>
      </x:c>
      <x:c r="D4" s="17" t="n">
        <x:f>SUMIFS(Transactions!$K$2:$K$399,Transactions!$R$2:$R$399,1)</x:f>
        <x:v>15926651.489999996</x:v>
      </x:c>
      <x:c r="E4" s="17" t="n">
        <x:f>COUNTIFS(Transactions!$R$2:$R$399,1,Transactions!$I$2:$I$399,"Payment")</x:f>
        <x:v>96</x:v>
      </x:c>
      <x:c r="F4" s="17" t="n">
        <x:f>SUMIFS(Transactions!$J$2:$J$399,Transactions!$R$2:$R$399,1)</x:f>
        <x:v>17904826.13999999</x:v>
      </x:c>
      <x:c r="G4" s="17" t="n">
        <x:f>ROUND(D4-F4,2)</x:f>
        <x:v>-1978174.65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COUNTIFS(Transactions!$S$2:$S$399,1,Transactions!$I$2:$I$399,"Receipt")</x:f>
        <x:v>2</x:v>
      </x:c>
      <x:c r="D5" s="17" t="n">
        <x:f>SUMIFS(Transactions!$K$2:$K$399,Transactions!$S$2:$S$399,1)</x:f>
        <x:v>55541</x:v>
      </x:c>
      <x:c r="E5" s="17" t="n">
        <x:f>COUNTIFS(Transactions!$S$2:$S$399,1,Transactions!$I$2:$I$399,"Payment")</x:f>
        <x:v>0</x:v>
      </x:c>
      <x:c r="F5" s="17" t="n">
        <x:f>SUMIFS(Transactions!$J$2:$J$399,Transactions!$S$2:$S$399,1)</x:f>
        <x:v>0</x:v>
      </x:c>
      <x:c r="G5" s="17" t="n">
        <x:f>ROUND(D5-F5,2)</x:f>
        <x:v>55541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COUNTIFS(Transactions!$T$2:$T$399,1,Transactions!$I$2:$I$399,"Receipt")</x:f>
        <x:v>0</x:v>
      </x:c>
      <x:c r="D6" s="17" t="n">
        <x:f>SUMIFS(Transactions!$K$2:$K$399,Transactions!$T$2:$T$399,1)</x:f>
        <x:v>0</x:v>
      </x:c>
      <x:c r="E6" s="17" t="n">
        <x:f>COUNTIFS(Transactions!$T$2:$T$399,1,Transactions!$I$2:$I$399,"Payment")</x:f>
        <x:v>0</x:v>
      </x:c>
      <x:c r="F6" s="17" t="n">
        <x:f>SUMIFS(Transactions!$J$2:$J$399,Transactions!$T$2:$T$399,1)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COUNTIFS(Transactions!$U$2:$U$399,1,Transactions!$I$2:$I$399,"Receipt")</x:f>
        <x:v>59</x:v>
      </x:c>
      <x:c r="D7" s="17" t="n">
        <x:f>SUMIFS(Transactions!$K$2:$K$399,Transactions!$U$2:$U$399,1)</x:f>
        <x:v>10963793.9</x:v>
      </x:c>
      <x:c r="E7" s="17" t="n">
        <x:f>COUNTIFS(Transactions!$U$2:$U$399,1,Transactions!$I$2:$I$399,"Payment")</x:f>
        <x:v>53</x:v>
      </x:c>
      <x:c r="F7" s="17" t="n">
        <x:f>SUMIFS(Transactions!$J$2:$J$399,Transactions!$U$2:$U$399,1)</x:f>
        <x:v>17146556.339999996</x:v>
      </x:c>
      <x:c r="G7" s="17" t="n">
        <x:f>ROUND(D7-F7,2)</x:f>
        <x:v>-6182762.44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COUNTIFS(Transactions!$V$2:$V$399,1,Transactions!$I$2:$I$399,"Receipt")</x:f>
        <x:v>24</x:v>
      </x:c>
      <x:c r="D8" s="17" t="n">
        <x:f>SUMIFS(Transactions!$K$2:$K$399,Transactions!$V$2:$V$399,1)</x:f>
        <x:v>416085</x:v>
      </x:c>
      <x:c r="E8" s="17" t="n">
        <x:f>COUNTIFS(Transactions!$V$2:$V$399,1,Transactions!$I$2:$I$399,"Payment")</x:f>
        <x:v>12</x:v>
      </x:c>
      <x:c r="F8" s="17" t="n">
        <x:f>SUMIFS(Transactions!$J$2:$J$399,Transactions!$V$2:$V$399,1)</x:f>
        <x:v>71816.63</x:v>
      </x:c>
      <x:c r="G8" s="17" t="n">
        <x:f>ROUND(D8-F8,2)</x:f>
        <x:v>344268.37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COUNTIFS(Transactions!$W$2:$W$399,1,Transactions!$I$2:$I$399,"Receipt")</x:f>
        <x:v>0</x:v>
      </x:c>
      <x:c r="D9" s="17" t="n">
        <x:f>SUMIFS(Transactions!$K$2:$K$399,Transactions!$W$2:$W$399,1)</x:f>
        <x:v>0</x:v>
      </x:c>
      <x:c r="E9" s="17" t="n">
        <x:f>COUNTIFS(Transactions!$W$2:$W$399,1,Transactions!$I$2:$I$399,"Payment")</x:f>
        <x:v>0</x:v>
      </x:c>
      <x:c r="F9" s="17" t="n">
        <x:f>SUMIFS(Transactions!$J$2:$J$399,Transactions!$W$2:$W$399,1)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COUNTIFS(Transactions!$X$2:$X$399,1,Transactions!$I$2:$I$399,"Receipt")</x:f>
        <x:v>0</x:v>
      </x:c>
      <x:c r="D10" s="17" t="n">
        <x:f>SUMIFS(Transactions!$K$2:$K$399,Transactions!$X$2:$X$399,1)</x:f>
        <x:v>0</x:v>
      </x:c>
      <x:c r="E10" s="17" t="n">
        <x:f>COUNTIFS(Transactions!$X$2:$X$399,1,Transactions!$I$2:$I$399,"Payment")</x:f>
        <x:v>0</x:v>
      </x:c>
      <x:c r="F10" s="17" t="n">
        <x:f>SUMIFS(Transactions!$J$2:$J$399,Transactions!$X$2:$X$399,1)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COUNTIFS(Transactions!$Y$2:$Y$399,1,Transactions!$I$2:$I$399,"Receipt")</x:f>
        <x:v>0</x:v>
      </x:c>
      <x:c r="D11" s="17" t="n">
        <x:f>SUMIFS(Transactions!$K$2:$K$399,Transactions!$Y$2:$Y$399,1)</x:f>
        <x:v>0</x:v>
      </x:c>
      <x:c r="E11" s="17" t="n">
        <x:f>COUNTIFS(Transactions!$Y$2:$Y$399,1,Transactions!$I$2:$I$399,"Payment")</x:f>
        <x:v>0</x:v>
      </x:c>
      <x:c r="F11" s="17" t="n">
        <x:f>SUMIFS(Transactions!$J$2:$J$399,Transactions!$Y$2:$Y$399,1)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COUNTIFS(Transactions!$Z$2:$Z$399,1,Transactions!$I$2:$I$399,"Receipt")</x:f>
        <x:v>0</x:v>
      </x:c>
      <x:c r="D12" s="17" t="n">
        <x:f>SUMIFS(Transactions!$K$2:$K$399,Transactions!$Z$2:$Z$399,1)</x:f>
        <x:v>0</x:v>
      </x:c>
      <x:c r="E12" s="17" t="n">
        <x:f>COUNTIFS(Transactions!$Z$2:$Z$399,1,Transactions!$I$2:$I$399,"Payment")</x:f>
        <x:v>0</x:v>
      </x:c>
      <x:c r="F12" s="17" t="n">
        <x:f>SUMIFS(Transactions!$J$2:$J$399,Transactions!$Z$2:$Z$399,1)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bfdb5613ca4f42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398</x:v>
      </x:c>
      <x:c r="D4" s="14" t="n">
        <x:v>283</x:v>
      </x:c>
      <x:c r="E4" s="17" t="n">
        <x:v>17768567.189999994</x:v>
      </x:c>
      <x:c r="F4" s="17" t="n">
        <x:v>115</x:v>
      </x:c>
      <x:c r="G4" s="17" t="n">
        <x:v>18129258.18999999</x:v>
      </x:c>
      <x:c r="H4" s="17" t="n">
        <x:v>-360690.9999999963</x:v>
      </x:c>
    </x:row>
    <x:row r="5">
      <x:c r="A5" s="14" t="str">
        <x:v>Cash</x:v>
      </x:c>
      <x:c r="B5" s="14" t="str">
        <x:v>Detail Cash</x:v>
      </x:c>
      <x:c r="C5" s="14" t="n">
        <x:v>2</x:v>
      </x:c>
      <x:c r="D5" s="14" t="n">
        <x:v>1</x:v>
      </x:c>
      <x:c r="E5" s="17" t="n">
        <x:v>114500</x:v>
      </x:c>
      <x:c r="F5" s="17" t="n">
        <x:v>1</x:v>
      </x:c>
      <x:c r="G5" s="17" t="n">
        <x:v>24</x:v>
      </x:c>
      <x:c r="H5" s="17" t="n">
        <x:v>114476</x:v>
      </x:c>
    </x:row>
    <x:row r="6">
      <x:c r="A6" s="14" t="str">
        <x:v>Recurring Transaction</x:v>
      </x:c>
      <x:c r="B6" s="14" t="str">
        <x:v>Detail Recurring Transaction</x:v>
      </x:c>
      <x:c r="C6" s="14" t="n">
        <x:v>346</x:v>
      </x:c>
      <x:c r="D6" s="14" t="n">
        <x:v>250</x:v>
      </x:c>
      <x:c r="E6" s="17" t="n">
        <x:v>15926651.489999996</x:v>
      </x:c>
      <x:c r="F6" s="17" t="n">
        <x:v>96</x:v>
      </x:c>
      <x:c r="G6" s="17" t="n">
        <x:v>17904826.13999999</x:v>
      </x:c>
      <x:c r="H6" s="17" t="n">
        <x:v>-1978174.649999993</x:v>
      </x:c>
    </x:row>
    <x:row r="7">
      <x:c r="A7" s="14" t="str">
        <x:v>EMI</x:v>
      </x:c>
      <x:c r="B7" s="14" t="str">
        <x:v>Detail EMI</x:v>
      </x:c>
      <x:c r="C7" s="14" t="n">
        <x:v>2</x:v>
      </x:c>
      <x:c r="D7" s="14" t="n">
        <x:v>2</x:v>
      </x:c>
      <x:c r="E7" s="17" t="n">
        <x:v>55541</x:v>
      </x:c>
      <x:c r="F7" s="17" t="n">
        <x:v>0</x:v>
      </x:c>
      <x:c r="G7" s="17" t="n">
        <x:v>0</x:v>
      </x:c>
      <x:c r="H7" s="17" t="n">
        <x:v>55541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112</x:v>
      </x:c>
      <x:c r="D9" s="14" t="n">
        <x:v>59</x:v>
      </x:c>
      <x:c r="E9" s="17" t="n">
        <x:v>10963793.9</x:v>
      </x:c>
      <x:c r="F9" s="17" t="n">
        <x:v>53</x:v>
      </x:c>
      <x:c r="G9" s="17" t="n">
        <x:v>17146556.339999996</x:v>
      </x:c>
      <x:c r="H9" s="17" t="n">
        <x:v>-6182762.439999996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398</x:v>
      </x:c>
      <x:c r="D10" s="14" t="n">
        <x:v>283</x:v>
      </x:c>
      <x:c r="E10" s="17" t="n">
        <x:v>17768567.189999994</x:v>
      </x:c>
      <x:c r="F10" s="17" t="n">
        <x:v>115</x:v>
      </x:c>
      <x:c r="G10" s="17" t="n">
        <x:v>18129258.18999999</x:v>
      </x:c>
      <x:c r="H10" s="17" t="n">
        <x:v>-360690.9999999963</x:v>
      </x:c>
    </x:row>
    <x:row r="11">
      <x:c r="A11" s="14" t="str">
        <x:v>UPI</x:v>
      </x:c>
      <x:c r="B11" s="14" t="str">
        <x:v>Detail UPI</x:v>
      </x:c>
      <x:c r="C11" s="14" t="n">
        <x:v>36</x:v>
      </x:c>
      <x:c r="D11" s="14" t="n">
        <x:v>24</x:v>
      </x:c>
      <x:c r="E11" s="17" t="n">
        <x:v>416085</x:v>
      </x:c>
      <x:c r="F11" s="17" t="n">
        <x:v>12</x:v>
      </x:c>
      <x:c r="G11" s="17" t="n">
        <x:v>71816.63</x:v>
      </x:c>
      <x:c r="H11" s="17" t="n">
        <x:v>344268.37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4871026fd446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398</x:v>
      </x:c>
      <x:c r="F2" s="17" t="n">
        <x:v>363191</x:v>
      </x:c>
      <x:c r="G2" s="14" t="n">
        <x:v>115</x:v>
      </x:c>
      <x:c r="H2" s="14" t="n">
        <x:v>283</x:v>
      </x:c>
      <x:c r="I2" s="17" t="n">
        <x:v>18129258.18999999</x:v>
      </x:c>
      <x:c r="J2" s="17" t="n">
        <x:v>17768567.189999994</x:v>
      </x:c>
      <x:c r="K2" s="17" t="n">
        <x:v>2500</x:v>
      </x:c>
      <x:c r="L2" s="17" t="n">
        <x:f>SUMIFS(Transactions!$J$2:$J$399,Transactions!$AA$2:$AA$399,"&gt;="&amp;B2,Transactions!$AA$2:$AA$399,"&lt;"&amp;C2)</x:f>
        <x:v>18129258.18999999</x:v>
      </x:c>
      <x:c r="M2" s="17" t="n">
        <x:f>SUMIFS(Transactions!$K$2:$K$399,Transactions!$AA$2:$AA$399,"&gt;="&amp;B2,Transactions!$AA$2:$AA$399,"&lt;"&amp;C2)</x:f>
        <x:v>17768567.189999994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7b561885ec0946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502 input.pdf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DIGITA-MUMBAI/ IMPS/P2A/609147096215/HONEPELIMITEDPA/F09Hpcljige</x:v>
      </x:c>
      <x:c r="H2" s="14" t="str"/>
      <x:c r="I2" s="14" t="str">
        <x:v>Receipt</x:v>
      </x:c>
      <x:c r="J2" s="17" t="n">
        <x:v>0</x:v>
      </x:c>
      <x:c r="K2" s="17" t="n">
        <x:v>53200</x:v>
      </x:c>
      <x:c r="L2" s="17" t="n">
        <x:v>53200</x:v>
      </x:c>
      <x:c r="M2" s="17" t="n">
        <x:v>416391</x:v>
      </x:c>
      <x:c r="N2" s="14" t="str">
        <x:v>Other</x:v>
      </x:c>
      <x:c r="O2" s="14" t="str">
        <x:v>No</x:v>
      </x:c>
      <x:c r="P2" s="14" t="str">
        <x:v>HONEPELIMITEDPA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502 input.pdf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DIGITA-MUMBAI/ NEFT-YESAP60912594024-PhonePe Limited</x:v>
      </x:c>
      <x:c r="H3" s="14" t="str"/>
      <x:c r="I3" s="14" t="str">
        <x:v>Receipt</x:v>
      </x:c>
      <x:c r="J3" s="17" t="n">
        <x:v>0</x:v>
      </x:c>
      <x:c r="K3" s="17" t="n">
        <x:v>165179</x:v>
      </x:c>
      <x:c r="L3" s="17" t="n">
        <x:v>165179</x:v>
      </x:c>
      <x:c r="M3" s="17" t="n">
        <x:v>581570</x:v>
      </x:c>
      <x:c r="N3" s="14" t="str">
        <x:v>High Transaction; Recurring Transaction</x:v>
      </x:c>
      <x:c r="O3" s="14" t="str">
        <x:v>Yes</x:v>
      </x:c>
      <x:c r="P3" s="14" t="str">
        <x:v>PHONEPE LIMITED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1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502 input.pdf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UPI/6091426275 42627513 UPI/609142627513/04:54:21/UPI/dineshjogle086-5@ok</x:v>
      </x:c>
      <x:c r="H4" s="14" t="str"/>
      <x:c r="I4" s="14" t="str">
        <x:v>Payment</x:v>
      </x:c>
      <x:c r="J4" s="17" t="n">
        <x:v>2356</x:v>
      </x:c>
      <x:c r="K4" s="17" t="n">
        <x:v>0</x:v>
      </x:c>
      <x:c r="L4" s="17" t="n">
        <x:v>2356</x:v>
      </x:c>
      <x:c r="M4" s="17" t="n">
        <x:v>579214</x:v>
      </x:c>
      <x:c r="N4" s="14" t="str">
        <x:v>UPI</x:v>
      </x:c>
      <x:c r="O4" s="14" t="str">
        <x:v>No</x:v>
      </x:c>
      <x:c r="P4" s="14" t="str">
        <x:v>DINESHJOGLE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1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IMPS/P2A/609149979773/ONEMOBIKWIKSYST/IMPSAXB9100</x:v>
      </x:c>
      <x:c r="H5" s="14" t="str"/>
      <x:c r="I5" s="14" t="str">
        <x:v>Receipt</x:v>
      </x:c>
      <x:c r="J5" s="17" t="n">
        <x:v>0</x:v>
      </x:c>
      <x:c r="K5" s="17" t="n">
        <x:v>35167.6</x:v>
      </x:c>
      <x:c r="L5" s="17" t="n">
        <x:v>35167.6</x:v>
      </x:c>
      <x:c r="M5" s="17" t="n">
        <x:v>614381.6</x:v>
      </x:c>
      <x:c r="N5" s="14" t="str">
        <x:v>Other</x:v>
      </x:c>
      <x:c r="O5" s="14" t="str">
        <x:v>No</x:v>
      </x:c>
      <x:c r="P5" s="14" t="str">
        <x:v>ONEMOBIKWIKSYST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EBANK:WIB/1502021829/Edfs</x:v>
      </x:c>
      <x:c r="H7" s="14" t="str"/>
      <x:c r="I7" s="14" t="str">
        <x:v>Payment</x:v>
      </x:c>
      <x:c r="J7" s="17" t="n">
        <x:v>681881.6</x:v>
      </x:c>
      <x:c r="K7" s="17" t="n">
        <x:v>0</x:v>
      </x:c>
      <x:c r="L7" s="17" t="n">
        <x:v>681881.6</x:v>
      </x:c>
      <x:c r="M7" s="17" t="n">
        <x:v>2500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NEFT-FBPT260916108327-PREMIER CONVEYORS PRIVATE LI</x:v>
      </x:c>
      <x:c r="H8" s="14" t="str"/>
      <x:c r="I8" s="14" t="str">
        <x:v>Receipt</x:v>
      </x:c>
      <x:c r="J8" s="17" t="n">
        <x:v>0</x:v>
      </x:c>
      <x:c r="K8" s="17" t="n">
        <x:v>18409</x:v>
      </x:c>
      <x:c r="L8" s="17" t="n">
        <x:v>18409</x:v>
      </x:c>
      <x:c r="M8" s="17" t="n">
        <x:v>20909</x:v>
      </x:c>
      <x:c r="N8" s="14" t="str">
        <x:v>EMI; Recurring Transaction</x:v>
      </x:c>
      <x:c r="O8" s="14" t="str">
        <x:v>Yes</x:v>
      </x:c>
      <x:c r="P8" s="14" t="str">
        <x:v>PREMIER CONVEYORS PRIVATE LI</x:v>
      </x:c>
      <x:c r="Q8" s="14" t="n">
        <x:v>0</x:v>
      </x:c>
      <x:c r="R8" s="14" t="n">
        <x:v>1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NEFT-CNRBH00121803213-QUALITY PLAST INDUSTRIES LIM</x:v>
      </x:c>
      <x:c r="H9" s="14" t="str"/>
      <x:c r="I9" s="14" t="str">
        <x:v>Receipt</x:v>
      </x:c>
      <x:c r="J9" s="17" t="n">
        <x:v>0</x:v>
      </x:c>
      <x:c r="K9" s="17" t="n">
        <x:v>121431</x:v>
      </x:c>
      <x:c r="L9" s="17" t="n">
        <x:v>121431</x:v>
      </x:c>
      <x:c r="M9" s="17" t="n">
        <x:v>142340</x:v>
      </x:c>
      <x:c r="N9" s="14" t="str">
        <x:v>High Transaction; Recurring Transaction</x:v>
      </x:c>
      <x:c r="O9" s="14" t="str">
        <x:v>Yes</x:v>
      </x:c>
      <x:c r="P9" s="14" t="str">
        <x:v>QUALITY PLAST INDUSTRIES LIM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9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UPI/6091779614 77961475 UPI/609177961475/16:34:33/UPI/q297956037@ybl/food</x:v>
      </x:c>
      <x:c r="H10" s="14" t="str"/>
      <x:c r="I10" s="14" t="str">
        <x:v>Payment</x:v>
      </x:c>
      <x:c r="J10" s="17" t="n">
        <x:v>1500</x:v>
      </x:c>
      <x:c r="K10" s="17" t="n">
        <x:v>0</x:v>
      </x:c>
      <x:c r="L10" s="17" t="n">
        <x:v>1500</x:v>
      </x:c>
      <x:c r="M10" s="17" t="n">
        <x:v>140840</x:v>
      </x:c>
      <x:c r="N10" s="14" t="str">
        <x:v>UPI</x:v>
      </x:c>
      <x:c r="O10" s="14" t="str">
        <x:v>No</x:v>
      </x:c>
      <x:c r="P10" s="14" t="str">
        <x:v>UPI/# # UPI/#/#:#:#/UPI/Q#@YBL/FOOD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10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IMPS/P2A/609116466512/AFZALSIRAJUDDIN/IMPSUOB9191</x:v>
      </x:c>
      <x:c r="H11" s="14" t="str"/>
      <x:c r="I11" s="14" t="str">
        <x:v>Receipt</x:v>
      </x:c>
      <x:c r="J11" s="17" t="n">
        <x:v>0</x:v>
      </x:c>
      <x:c r="K11" s="17" t="n">
        <x:v>100000</x:v>
      </x:c>
      <x:c r="L11" s="17" t="n">
        <x:v>100000</x:v>
      </x:c>
      <x:c r="M11" s="17" t="n">
        <x:v>240840</x:v>
      </x:c>
      <x:c r="N11" s="14" t="str">
        <x:v>High Transaction; Recurring Transaction</x:v>
      </x:c>
      <x:c r="O11" s="14" t="str">
        <x:v>Yes</x:v>
      </x:c>
      <x:c r="P11" s="14" t="str">
        <x:v>AFZALSIRAJUDDIN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11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NEFT-KKBKH26091970510-VENKTESHWAR INDUSTRIAL CORPO</x:v>
      </x:c>
      <x:c r="H12" s="14" t="str"/>
      <x:c r="I12" s="14" t="str">
        <x:v>Receipt</x:v>
      </x:c>
      <x:c r="J12" s="17" t="n">
        <x:v>0</x:v>
      </x:c>
      <x:c r="K12" s="17" t="n">
        <x:v>10000</x:v>
      </x:c>
      <x:c r="L12" s="17" t="n">
        <x:v>10000</x:v>
      </x:c>
      <x:c r="M12" s="17" t="n">
        <x:v>250840</x:v>
      </x:c>
      <x:c r="N12" s="14" t="str">
        <x:v>Recurring Transaction</x:v>
      </x:c>
      <x:c r="O12" s="14" t="str">
        <x:v>Yes</x:v>
      </x:c>
      <x:c r="P12" s="14" t="str">
        <x:v>VENKTESHWAR INDUSTRIAL CORPO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12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3" s="14" t="str"/>
      <x:c r="I13" s="14" t="str">
        <x:v>Payment</x:v>
      </x:c>
      <x:c r="J13" s="17" t="n">
        <x:v>248340</x:v>
      </x:c>
      <x:c r="K13" s="17" t="n">
        <x:v>0</x:v>
      </x:c>
      <x:c r="L13" s="17" t="n">
        <x:v>248340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13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NEFT-YESAP60924833309-PhonePe Limited</x:v>
      </x:c>
      <x:c r="H14" s="14" t="str"/>
      <x:c r="I14" s="14" t="str">
        <x:v>Receipt</x:v>
      </x:c>
      <x:c r="J14" s="17" t="n">
        <x:v>0</x:v>
      </x:c>
      <x:c r="K14" s="17" t="n">
        <x:v>188588.4</x:v>
      </x:c>
      <x:c r="L14" s="17" t="n">
        <x:v>188588.4</x:v>
      </x:c>
      <x:c r="M14" s="17" t="n">
        <x:v>191088.4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NEFT-AXNPN09202196281-PHONEPE LIMITED-PAYMENT AGGR</x:v>
      </x:c>
      <x:c r="H15" s="14" t="str"/>
      <x:c r="I15" s="14" t="str">
        <x:v>Receipt</x:v>
      </x:c>
      <x:c r="J15" s="17" t="n">
        <x:v>0</x:v>
      </x:c>
      <x:c r="K15" s="17" t="n">
        <x:v>50884.1</x:v>
      </x:c>
      <x:c r="L15" s="17" t="n">
        <x:v>50884.1</x:v>
      </x:c>
      <x:c r="M15" s="17" t="n">
        <x:v>241972.5</x:v>
      </x:c>
      <x:c r="N15" s="14" t="str">
        <x:v>Recurring Transaction</x:v>
      </x:c>
      <x:c r="O15" s="14" t="str">
        <x:v>Yes</x:v>
      </x:c>
      <x:c r="P15" s="14" t="str">
        <x:v>PHONEPE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NEFT-AXISCN1298773772-ONE MOBIKWIK SYSTEMS LIMITED https://cbdrpt101.bankofbaroda.co.in:22000/finbranch/arjspmorph/INFENG/tran_rpt.jsp?... 04-05-2026</x:v>
      </x:c>
      <x:c r="H16" s="14" t="str"/>
      <x:c r="I16" s="14" t="str">
        <x:v>Receipt</x:v>
      </x:c>
      <x:c r="J16" s="17" t="n">
        <x:v>0</x:v>
      </x:c>
      <x:c r="K16" s="17" t="n">
        <x:v>26312</x:v>
      </x:c>
      <x:c r="L16" s="17" t="n">
        <x:v>26312</x:v>
      </x:c>
      <x:c r="M16" s="17" t="n">
        <x:v>268284.5</x:v>
      </x:c>
      <x:c r="N16" s="14" t="str">
        <x:v>Recurring Transaction</x:v>
      </x:c>
      <x:c r="O16" s="14" t="str">
        <x:v>Yes</x:v>
      </x:c>
      <x:c r="P16" s="14" t="str">
        <x:v>ONE MOBIKWIK SYSTEMS LIMITED HTTPS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IMPS/P2A/609208556385/OMSANITRANSPORT/IMPSUOB9195</x:v>
      </x:c>
      <x:c r="H17" s="14" t="str"/>
      <x:c r="I17" s="14" t="str">
        <x:v>Receipt</x:v>
      </x:c>
      <x:c r="J17" s="17" t="n">
        <x:v>0</x:v>
      </x:c>
      <x:c r="K17" s="17" t="n">
        <x:v>16450</x:v>
      </x:c>
      <x:c r="L17" s="17" t="n">
        <x:v>16450</x:v>
      </x:c>
      <x:c r="M17" s="17" t="n">
        <x:v>284734.5</x:v>
      </x:c>
      <x:c r="N17" s="14" t="str">
        <x:v>Recurring Transaction</x:v>
      </x:c>
      <x:c r="O17" s="14" t="str">
        <x:v>Yes</x:v>
      </x:c>
      <x:c r="P17" s="14" t="str">
        <x:v>OMSANITRANSPORT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NEFT-AXISCN1298906804-PINE LABS PRIVATE LIMITED-NO</x:v>
      </x:c>
      <x:c r="H18" s="14" t="str"/>
      <x:c r="I18" s="14" t="str">
        <x:v>Receipt</x:v>
      </x:c>
      <x:c r="J18" s="17" t="n">
        <x:v>0</x:v>
      </x:c>
      <x:c r="K18" s="17" t="n">
        <x:v>61903</x:v>
      </x:c>
      <x:c r="L18" s="17" t="n">
        <x:v>61903</x:v>
      </x:c>
      <x:c r="M18" s="17" t="n">
        <x:v>346637.5</x:v>
      </x:c>
      <x:c r="N18" s="14" t="str">
        <x:v>Recurring Transaction</x:v>
      </x:c>
      <x:c r="O18" s="14" t="str">
        <x:v>Yes</x:v>
      </x:c>
      <x:c r="P18" s="14" t="str">
        <x:v>PINE LABS PRIVATE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NEFT-AXISCN1299028324-PINE LABS PRIVATE LIMITED-NO</x:v>
      </x:c>
      <x:c r="H19" s="14" t="str"/>
      <x:c r="I19" s="14" t="str">
        <x:v>Receipt</x:v>
      </x:c>
      <x:c r="J19" s="17" t="n">
        <x:v>0</x:v>
      </x:c>
      <x:c r="K19" s="17" t="n">
        <x:v>166884</x:v>
      </x:c>
      <x:c r="L19" s="17" t="n">
        <x:v>166884</x:v>
      </x:c>
      <x:c r="M19" s="17" t="n">
        <x:v>513521.5</x:v>
      </x:c>
      <x:c r="N19" s="14" t="str">
        <x:v>High Transaction; Recurring Transaction</x:v>
      </x:c>
      <x:c r="O19" s="14" t="str">
        <x:v>Yes</x:v>
      </x:c>
      <x:c r="P19" s="14" t="str">
        <x:v>PINE LABS PRIVATE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19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UPI/6092378308 37830859 UPI/609237830859/11:20:36/UPI/9850754712-3@ybl/st</x:v>
      </x:c>
      <x:c r="H20" s="14" t="str"/>
      <x:c r="I20" s="14" t="str">
        <x:v>Payment</x:v>
      </x:c>
      <x:c r="J20" s="17" t="n">
        <x:v>4000</x:v>
      </x:c>
      <x:c r="K20" s="17" t="n">
        <x:v>0</x:v>
      </x:c>
      <x:c r="L20" s="17" t="n">
        <x:v>4000</x:v>
      </x:c>
      <x:c r="M20" s="17" t="n">
        <x:v>509521.5</x:v>
      </x:c>
      <x:c r="N20" s="14" t="str">
        <x:v>UPI</x:v>
      </x:c>
      <x:c r="O20" s="14" t="str">
        <x:v>No</x:v>
      </x:c>
      <x:c r="P20" s="14" t="str">
        <x:v>UPI/# # UPI/#/#:#:#/UPI/#-#@YBL/ST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20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IMPS/P2A/609211135154/SHREE GANESH EN/dieselVVS91</x:v>
      </x:c>
      <x:c r="H21" s="14" t="str"/>
      <x:c r="I21" s="14" t="str">
        <x:v>Receipt</x:v>
      </x:c>
      <x:c r="J21" s="17" t="n">
        <x:v>0</x:v>
      </x:c>
      <x:c r="K21" s="17" t="n">
        <x:v>63308</x:v>
      </x:c>
      <x:c r="L21" s="17" t="n">
        <x:v>63308</x:v>
      </x:c>
      <x:c r="M21" s="17" t="n">
        <x:v>572829.5</x:v>
      </x:c>
      <x:c r="N21" s="14" t="str">
        <x:v>Recurring Transaction</x:v>
      </x:c>
      <x:c r="O21" s="14" t="str">
        <x:v>Yes</x:v>
      </x:c>
      <x:c r="P21" s="14" t="str">
        <x:v>SHREE GANESH EN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21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NEFT-KKBKH26092777992-VENKTESHWAR INDUSTRIAL CORPO</x:v>
      </x:c>
      <x:c r="H22" s="14" t="str"/>
      <x:c r="I22" s="14" t="str">
        <x:v>Receipt</x:v>
      </x:c>
      <x:c r="J22" s="17" t="n">
        <x:v>0</x:v>
      </x:c>
      <x:c r="K22" s="17" t="n">
        <x:v>18088</x:v>
      </x:c>
      <x:c r="L22" s="17" t="n">
        <x:v>18088</x:v>
      </x:c>
      <x:c r="M22" s="17" t="n">
        <x:v>590917.5</x:v>
      </x:c>
      <x:c r="N22" s="14" t="str">
        <x:v>Recurring Transaction</x:v>
      </x:c>
      <x:c r="O22" s="14" t="str">
        <x:v>Yes</x:v>
      </x:c>
      <x:c r="P22" s="14" t="str">
        <x:v>VENKTESHWAR INDUSTRIAL CORPO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UPI/6092013389 1338963 UPI/609201338963/12:38:06/UPI/gpay-11193876450@ok</x:v>
      </x:c>
      <x:c r="H23" s="14" t="str"/>
      <x:c r="I23" s="14" t="str">
        <x:v>Payment</x:v>
      </x:c>
      <x:c r="J23" s="17" t="n">
        <x:v>2800</x:v>
      </x:c>
      <x:c r="K23" s="17" t="n">
        <x:v>0</x:v>
      </x:c>
      <x:c r="L23" s="17" t="n">
        <x:v>2800</x:v>
      </x:c>
      <x:c r="M23" s="17" t="n">
        <x:v>588117.5</x:v>
      </x:c>
      <x:c r="N23" s="14" t="str">
        <x:v>UPI</x:v>
      </x:c>
      <x:c r="O23" s="14" t="str">
        <x:v>No</x:v>
      </x:c>
      <x:c r="P23" s="14" t="str">
        <x:v>UPI/# # UPI/#/#:#:#/UPI/GPAY-#@OK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23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NEFT-NKGSH26092846591-GEBI PRODUCTS PRIVATE LIMITE</x:v>
      </x:c>
      <x:c r="H24" s="14" t="str"/>
      <x:c r="I24" s="14" t="str">
        <x:v>Receipt</x:v>
      </x:c>
      <x:c r="J24" s="17" t="n">
        <x:v>0</x:v>
      </x:c>
      <x:c r="K24" s="17" t="n">
        <x:v>12813</x:v>
      </x:c>
      <x:c r="L24" s="17" t="n">
        <x:v>12813</x:v>
      </x:c>
      <x:c r="M24" s="17" t="n">
        <x:v>600930.5</x:v>
      </x:c>
      <x:c r="N24" s="14" t="str">
        <x:v>Recurring Transaction</x:v>
      </x:c>
      <x:c r="O24" s="14" t="str">
        <x:v>Yes</x:v>
      </x:c>
      <x:c r="P24" s="14" t="str">
        <x:v>GEBI PRODUCTS PRIVATE LIMITE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24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NEFT-IDIBH09236262399-JAI AMBE TRANSPORT</x:v>
      </x:c>
      <x:c r="H25" s="14" t="str"/>
      <x:c r="I25" s="14" t="str">
        <x:v>Receipt</x:v>
      </x:c>
      <x:c r="J25" s="17" t="n">
        <x:v>0</x:v>
      </x:c>
      <x:c r="K25" s="17" t="n">
        <x:v>4378</x:v>
      </x:c>
      <x:c r="L25" s="17" t="n">
        <x:v>4378</x:v>
      </x:c>
      <x:c r="M25" s="17" t="n">
        <x:v>605308.5</x:v>
      </x:c>
      <x:c r="N25" s="14" t="str">
        <x:v>Recurring Transaction</x:v>
      </x:c>
      <x:c r="O25" s="14" t="str">
        <x:v>Yes</x:v>
      </x:c>
      <x:c r="P25" s="14" t="str">
        <x:v>JAI AMBE TRANSPORT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25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NEFT-HDFCH00905140576-Adekar enterprises pvt ltd</x:v>
      </x:c>
      <x:c r="H26" s="14" t="str"/>
      <x:c r="I26" s="14" t="str">
        <x:v>Receipt</x:v>
      </x:c>
      <x:c r="J26" s="17" t="n">
        <x:v>0</x:v>
      </x:c>
      <x:c r="K26" s="17" t="n">
        <x:v>138674</x:v>
      </x:c>
      <x:c r="L26" s="17" t="n">
        <x:v>138674</x:v>
      </x:c>
      <x:c r="M26" s="17" t="n">
        <x:v>743982.5</x:v>
      </x:c>
      <x:c r="N26" s="14" t="str">
        <x:v>High Transaction; Recurring Transaction</x:v>
      </x:c>
      <x:c r="O26" s="14" t="str">
        <x:v>Yes</x:v>
      </x:c>
      <x:c r="P26" s="14" t="str">
        <x:v>ADEKAR ENTERPRISES PVT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26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NEFT-TDCBH26092001785-V C ENTERPRISES</x:v>
      </x:c>
      <x:c r="H27" s="14" t="str"/>
      <x:c r="I27" s="14" t="str">
        <x:v>Receipt</x:v>
      </x:c>
      <x:c r="J27" s="17" t="n">
        <x:v>0</x:v>
      </x:c>
      <x:c r="K27" s="17" t="n">
        <x:v>50000</x:v>
      </x:c>
      <x:c r="L27" s="17" t="n">
        <x:v>50000</x:v>
      </x:c>
      <x:c r="M27" s="17" t="n">
        <x:v>793982.5</x:v>
      </x:c>
      <x:c r="N27" s="14" t="str">
        <x:v>Recurring Transaction</x:v>
      </x:c>
      <x:c r="O27" s="14" t="str">
        <x:v>Yes</x:v>
      </x:c>
      <x:c r="P27" s="14" t="str">
        <x:v>V C ENTERPRISES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27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EBANK:WIB/1502 EBANK:WIB/1502234210/Edfs</x:v>
      </x:c>
      <x:c r="H28" s="14" t="str"/>
      <x:c r="I28" s="14" t="str">
        <x:v>Payment</x:v>
      </x:c>
      <x:c r="J28" s="17" t="n">
        <x:v>791482.5</x:v>
      </x:c>
      <x:c r="K28" s="17" t="n">
        <x:v>0</x:v>
      </x:c>
      <x:c r="L28" s="17" t="n">
        <x:v>791482.5</x:v>
      </x:c>
      <x:c r="M28" s="17" t="n">
        <x:v>2500</x:v>
      </x:c>
      <x:c r="N28" s="14" t="str">
        <x:v>High Transaction; Recurring Transaction</x:v>
      </x:c>
      <x:c r="O28" s="14" t="str">
        <x:v>Yes</x:v>
      </x:c>
      <x:c r="P28" s="14" t="str">
        <x:v>EBANKWIB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9" s="14" t="str"/>
      <x:c r="I29" s="14" t="str">
        <x:v>Receipt</x:v>
      </x:c>
      <x:c r="J29" s="17" t="n">
        <x:v>0</x:v>
      </x:c>
      <x:c r="K29" s="17" t="n">
        <x:v>36176</x:v>
      </x:c>
      <x:c r="L29" s="17" t="n">
        <x:v>36176</x:v>
      </x:c>
      <x:c r="M29" s="17" t="n">
        <x:v>38676</x:v>
      </x:c>
      <x:c r="N29" s="14" t="str">
        <x:v>Recurring Transaction</x:v>
      </x:c>
      <x:c r="O29" s="14" t="str">
        <x:v>Yes</x:v>
      </x:c>
      <x:c r="P29" s="14" t="str">
        <x:v>PAGE TOTAL   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29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NEFT-KKBKH26092921670-ATLAS COMMODITIES PRIVATE LI</x:v>
      </x:c>
      <x:c r="H30" s="14" t="str"/>
      <x:c r="I30" s="14" t="str">
        <x:v>Receipt</x:v>
      </x:c>
      <x:c r="J30" s="17" t="n">
        <x:v>0</x:v>
      </x:c>
      <x:c r="K30" s="17" t="n">
        <x:v>4353</x:v>
      </x:c>
      <x:c r="L30" s="17" t="n">
        <x:v>4353</x:v>
      </x:c>
      <x:c r="M30" s="17" t="n">
        <x:v>43029</x:v>
      </x:c>
      <x:c r="N30" s="14" t="str">
        <x:v>Recurring Transaction</x:v>
      </x:c>
      <x:c r="O30" s="14" t="str">
        <x:v>Yes</x:v>
      </x:c>
      <x:c r="P30" s="14" t="str">
        <x:v>ATLAS COMMODITIES PRIVATE LI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30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NEFT-YESAP60934071902-PhonePe Limited</x:v>
      </x:c>
      <x:c r="H31" s="14" t="str"/>
      <x:c r="I31" s="14" t="str">
        <x:v>Receipt</x:v>
      </x:c>
      <x:c r="J31" s="17" t="n">
        <x:v>0</x:v>
      </x:c>
      <x:c r="K31" s="17" t="n">
        <x:v>173393.9</x:v>
      </x:c>
      <x:c r="L31" s="17" t="n">
        <x:v>173393.9</x:v>
      </x:c>
      <x:c r="M31" s="17" t="n">
        <x:v>216422.9</x:v>
      </x:c>
      <x:c r="N31" s="14" t="str">
        <x:v>High Transaction; Recurring Transaction</x:v>
      </x:c>
      <x:c r="O31" s="14" t="str">
        <x:v>Yes</x:v>
      </x:c>
      <x:c r="P31" s="14" t="str">
        <x:v>PHONEPE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31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NEFT-AXNPN09311160907-PHONEPE LIMITED-PAYMENT AGGR</x:v>
      </x:c>
      <x:c r="H32" s="14" t="str"/>
      <x:c r="I32" s="14" t="str">
        <x:v>Receipt</x:v>
      </x:c>
      <x:c r="J32" s="17" t="n">
        <x:v>0</x:v>
      </x:c>
      <x:c r="K32" s="17" t="n">
        <x:v>53957.68</x:v>
      </x:c>
      <x:c r="L32" s="17" t="n">
        <x:v>53957.68</x:v>
      </x:c>
      <x:c r="M32" s="17" t="n">
        <x:v>270380.58</x:v>
      </x:c>
      <x:c r="N32" s="14" t="str">
        <x:v>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32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DIGITA-MUMBAI/ NEFT-AXISCN1300289999-ONE MOBIKWIK SYSTEMS LIMITED</x:v>
      </x:c>
      <x:c r="H33" s="14" t="str"/>
      <x:c r="I33" s="14" t="str">
        <x:v>Receipt</x:v>
      </x:c>
      <x:c r="J33" s="17" t="n">
        <x:v>0</x:v>
      </x:c>
      <x:c r="K33" s="17" t="n">
        <x:v>21700</x:v>
      </x:c>
      <x:c r="L33" s="17" t="n">
        <x:v>21700</x:v>
      </x:c>
      <x:c r="M33" s="17" t="n">
        <x:v>292080.58</x:v>
      </x:c>
      <x:c r="N33" s="14" t="str">
        <x:v>Recurring Transaction</x:v>
      </x:c>
      <x:c r="O33" s="14" t="str">
        <x:v>Yes</x:v>
      </x:c>
      <x:c r="P33" s="14" t="str">
        <x:v>ONE MOBIKWIK SYSTEMS LIMITED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33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IMPS/P2A/609308206742/S TRANS 14851/Mh04ju3738I</x:v>
      </x:c>
      <x:c r="H34" s="14" t="str"/>
      <x:c r="I34" s="14" t="str">
        <x:v>Receipt</x:v>
      </x:c>
      <x:c r="J34" s="17" t="n">
        <x:v>0</x:v>
      </x:c>
      <x:c r="K34" s="17" t="n">
        <x:v>5750</x:v>
      </x:c>
      <x:c r="L34" s="17" t="n">
        <x:v>5750</x:v>
      </x:c>
      <x:c r="M34" s="17" t="n">
        <x:v>297830.58</x:v>
      </x:c>
      <x:c r="N34" s="14" t="str">
        <x:v>Recurring Transaction</x:v>
      </x:c>
      <x:c r="O34" s="14" t="str">
        <x:v>Yes</x:v>
      </x:c>
      <x:c r="P34" s="14" t="str">
        <x:v>DIGITA-MUMBAI/ IMPS/P#A/#/S TRANS #/MH#JU#I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34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NEFT-AXISCN1300388689-PINE LABS PRIVATE LIMITED-NO</x:v>
      </x:c>
      <x:c r="H35" s="14" t="str"/>
      <x:c r="I35" s="14" t="str">
        <x:v>Receipt</x:v>
      </x:c>
      <x:c r="J35" s="17" t="n">
        <x:v>0</x:v>
      </x:c>
      <x:c r="K35" s="17" t="n">
        <x:v>112894</x:v>
      </x:c>
      <x:c r="L35" s="17" t="n">
        <x:v>112894</x:v>
      </x:c>
      <x:c r="M35" s="17" t="n">
        <x:v>410724.58</x:v>
      </x:c>
      <x:c r="N35" s="14" t="str">
        <x:v>High Transaction; Recurring Transaction</x:v>
      </x:c>
      <x:c r="O35" s="14" t="str">
        <x:v>Yes</x:v>
      </x:c>
      <x:c r="P35" s="14" t="str">
        <x:v>PINE LABS PRIVATE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35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IMPS/P2A/609312855509/AFZALSIRAJUDDIN/IMPSUOB9191</x:v>
      </x:c>
      <x:c r="H36" s="14" t="str"/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610724.58</x:v>
      </x:c>
      <x:c r="N36" s="14" t="str">
        <x:v>High Transaction; Recurring Transaction</x:v>
      </x:c>
      <x:c r="O36" s="14" t="str">
        <x:v>Yes</x:v>
      </x:c>
      <x:c r="P36" s="14" t="str">
        <x:v>AFZALSIRAJUDDIN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36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NEFT-002663976089-GANGAMAI INDUSTRIES AND CONSTR</x:v>
      </x:c>
      <x:c r="H37" s="14" t="str"/>
      <x:c r="I37" s="14" t="str">
        <x:v>Receipt</x:v>
      </x:c>
      <x:c r="J37" s="17" t="n">
        <x:v>0</x:v>
      </x:c>
      <x:c r="K37" s="17" t="n">
        <x:v>180880</x:v>
      </x:c>
      <x:c r="L37" s="17" t="n">
        <x:v>180880</x:v>
      </x:c>
      <x:c r="M37" s="17" t="n">
        <x:v>791604.58</x:v>
      </x:c>
      <x:c r="N37" s="14" t="str">
        <x:v>High Transaction</x:v>
      </x:c>
      <x:c r="O37" s="14" t="str">
        <x:v>No</x:v>
      </x:c>
      <x:c r="P37" s="14" t="str">
        <x:v>GANGAMAI INDUSTRIES AND CONSTR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37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EBANK:WIB/1502 EBANK:WIB/1502413595/Edfs</x:v>
      </x:c>
      <x:c r="H38" s="14" t="str"/>
      <x:c r="I38" s="14" t="str">
        <x:v>Payment</x:v>
      </x:c>
      <x:c r="J38" s="17" t="n">
        <x:v>790104.58</x:v>
      </x:c>
      <x:c r="K38" s="17" t="n">
        <x:v>0</x:v>
      </x:c>
      <x:c r="L38" s="17" t="n">
        <x:v>790104.58</x:v>
      </x:c>
      <x:c r="M38" s="17" t="n">
        <x:v>1500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38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NEFT-YESAP60944128518-PhonePe Limited</x:v>
      </x:c>
      <x:c r="H39" s="14" t="str"/>
      <x:c r="I39" s="14" t="str">
        <x:v>Receipt</x:v>
      </x:c>
      <x:c r="J39" s="17" t="n">
        <x:v>0</x:v>
      </x:c>
      <x:c r="K39" s="17" t="n">
        <x:v>171014</x:v>
      </x:c>
      <x:c r="L39" s="17" t="n">
        <x:v>171014</x:v>
      </x:c>
      <x:c r="M39" s="17" t="n">
        <x:v>172514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39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https://cbdrpt101.bankofbaroda.co.in:22000/finbranch/arjspmorph/INFENG/tran_rpt.jsp?... 04-05-2026 NEFT-AXNPN09418938602-PHONEPE LIMITED-PAYMENT AGGR</x:v>
      </x:c>
      <x:c r="H40" s="14" t="str"/>
      <x:c r="I40" s="14" t="str">
        <x:v>Receipt</x:v>
      </x:c>
      <x:c r="J40" s="17" t="n">
        <x:v>0</x:v>
      </x:c>
      <x:c r="K40" s="17" t="n">
        <x:v>49956</x:v>
      </x:c>
      <x:c r="L40" s="17" t="n">
        <x:v>49956</x:v>
      </x:c>
      <x:c r="M40" s="17" t="n">
        <x:v>222470</x:v>
      </x:c>
      <x:c r="N40" s="14" t="str">
        <x:v>Recurring Transaction</x:v>
      </x:c>
      <x:c r="O40" s="14" t="str">
        <x:v>Yes</x:v>
      </x:c>
      <x:c r="P40" s="14" t="str">
        <x:v>CBDRPTBANKOFBARODACOIN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40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DIGITA-MUMBAI/ NEFT-AXISCN1301100257-ONE MOBIKWIK SYSTEMS LIMITED</x:v>
      </x:c>
      <x:c r="H41" s="14" t="str"/>
      <x:c r="I41" s="14" t="str">
        <x:v>Receipt</x:v>
      </x:c>
      <x:c r="J41" s="17" t="n">
        <x:v>0</x:v>
      </x:c>
      <x:c r="K41" s="17" t="n">
        <x:v>22121</x:v>
      </x:c>
      <x:c r="L41" s="17" t="n">
        <x:v>22121</x:v>
      </x:c>
      <x:c r="M41" s="17" t="n">
        <x:v>244591</x:v>
      </x:c>
      <x:c r="N41" s="14" t="str">
        <x:v>Recurring Transaction</x:v>
      </x:c>
      <x:c r="O41" s="14" t="str">
        <x:v>Yes</x:v>
      </x:c>
      <x:c r="P41" s="14" t="str">
        <x:v>ONE MOBIKWIK SYSTEMS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41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EBANK:WIB/1502 EBANK:WIB/1502423934/Edfs</x:v>
      </x:c>
      <x:c r="H42" s="14" t="str"/>
      <x:c r="I42" s="14" t="str">
        <x:v>Payment</x:v>
      </x:c>
      <x:c r="J42" s="17" t="n">
        <x:v>240091</x:v>
      </x:c>
      <x:c r="K42" s="17" t="n">
        <x:v>0</x:v>
      </x:c>
      <x:c r="L42" s="17" t="n">
        <x:v>240091</x:v>
      </x:c>
      <x:c r="M42" s="17" t="n">
        <x:v>4500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42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NEFT-AXISCN1301297166-PINE LABS PRIVATE LIMITED-NO</x:v>
      </x:c>
      <x:c r="H43" s="14" t="str"/>
      <x:c r="I43" s="14" t="str">
        <x:v>Receipt</x:v>
      </x:c>
      <x:c r="J43" s="17" t="n">
        <x:v>0</x:v>
      </x:c>
      <x:c r="K43" s="17" t="n">
        <x:v>22400</x:v>
      </x:c>
      <x:c r="L43" s="17" t="n">
        <x:v>22400</x:v>
      </x:c>
      <x:c r="M43" s="17" t="n">
        <x:v>26900</x:v>
      </x:c>
      <x:c r="N43" s="14" t="str">
        <x:v>Recurring Transaction</x:v>
      </x:c>
      <x:c r="O43" s="14" t="str">
        <x:v>Yes</x:v>
      </x:c>
      <x:c r="P43" s="14" t="str">
        <x:v>PINE LABS PRIVATE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43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4" s="14" t="str"/>
      <x:c r="I44" s="14" t="str">
        <x:v>Receipt</x:v>
      </x:c>
      <x:c r="J44" s="17" t="n">
        <x:v>0</x:v>
      </x:c>
      <x:c r="K44" s="17" t="n">
        <x:v>5800</x:v>
      </x:c>
      <x:c r="L44" s="17" t="n">
        <x:v>5800</x:v>
      </x:c>
      <x:c r="M44" s="17" t="n">
        <x:v>32700</x:v>
      </x:c>
      <x:c r="N44" s="14" t="str">
        <x:v>Recurring Transaction</x:v>
      </x:c>
      <x:c r="O44" s="14" t="str">
        <x:v>Yes</x:v>
      </x:c>
      <x:c r="P44" s="14" t="str">
        <x:v>KUNDAN QUARRY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44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UPI/6094661908 66190812 UPI/609466190812/12:12:08/UPI/starbazaarhyper@ybl</x:v>
      </x:c>
      <x:c r="H45" s="14" t="str"/>
      <x:c r="I45" s="14" t="str">
        <x:v>Payment</x:v>
      </x:c>
      <x:c r="J45" s="17" t="n">
        <x:v>150.63</x:v>
      </x:c>
      <x:c r="K45" s="17" t="n">
        <x:v>0</x:v>
      </x:c>
      <x:c r="L45" s="17" t="n">
        <x:v>150.63</x:v>
      </x:c>
      <x:c r="M45" s="17" t="n">
        <x:v>32549.37</x:v>
      </x:c>
      <x:c r="N45" s="14" t="str">
        <x:v>UPI</x:v>
      </x:c>
      <x:c r="O45" s="14" t="str">
        <x:v>No</x:v>
      </x:c>
      <x:c r="P45" s="14" t="str">
        <x:v>STARBAZAARHYPERYBL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NEFT-KKBKH26094919635-ATLAS COMMODITIES PRIVATE LI</x:v>
      </x:c>
      <x:c r="H46" s="14" t="str"/>
      <x:c r="I46" s="14" t="str">
        <x:v>Receipt</x:v>
      </x:c>
      <x:c r="J46" s="17" t="n">
        <x:v>0</x:v>
      </x:c>
      <x:c r="K46" s="17" t="n">
        <x:v>7885</x:v>
      </x:c>
      <x:c r="L46" s="17" t="n">
        <x:v>7885</x:v>
      </x:c>
      <x:c r="M46" s="17" t="n">
        <x:v>40434.37</x:v>
      </x:c>
      <x:c r="N46" s="14" t="str">
        <x:v>Recurring Transaction</x:v>
      </x:c>
      <x:c r="O46" s="14" t="str">
        <x:v>Yes</x:v>
      </x:c>
      <x:c r="P46" s="14" t="str">
        <x:v>ATLAS COMMODITIES PRIVATE LI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IMPS/P2A/609418057716/PRASAD ROADS AN/JigeeshaICI</x:v>
      </x:c>
      <x:c r="H47" s="14" t="str"/>
      <x:c r="I47" s="14" t="str">
        <x:v>Receipt</x:v>
      </x:c>
      <x:c r="J47" s="17" t="n">
        <x:v>0</x:v>
      </x:c>
      <x:c r="K47" s="17" t="n">
        <x:v>81396</x:v>
      </x:c>
      <x:c r="L47" s="17" t="n">
        <x:v>81396</x:v>
      </x:c>
      <x:c r="M47" s="17" t="n">
        <x:v>121830.37</x:v>
      </x:c>
      <x:c r="N47" s="14" t="str">
        <x:v>Other</x:v>
      </x:c>
      <x:c r="O47" s="14" t="str">
        <x:v>No</x:v>
      </x:c>
      <x:c r="P47" s="14" t="str">
        <x:v>PRASAD ROADS AN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47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EBANK:WIB/1502 EBANK:WIB/1502545632/Edfs</x:v>
      </x:c>
      <x:c r="H48" s="14" t="str"/>
      <x:c r="I48" s="14" t="str">
        <x:v>Payment</x:v>
      </x:c>
      <x:c r="J48" s="17" t="n">
        <x:v>120330.37</x:v>
      </x:c>
      <x:c r="K48" s="17" t="n">
        <x:v>0</x:v>
      </x:c>
      <x:c r="L48" s="17" t="n">
        <x:v>120330.37</x:v>
      </x:c>
      <x:c r="M48" s="17" t="n">
        <x:v>1500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48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NEFT-HDFCH00911243518-KAVITA ENTERPRISES</x:v>
      </x:c>
      <x:c r="H49" s="14" t="str"/>
      <x:c r="I49" s="14" t="str">
        <x:v>Receipt</x:v>
      </x:c>
      <x:c r="J49" s="17" t="n">
        <x:v>0</x:v>
      </x:c>
      <x:c r="K49" s="17" t="n">
        <x:v>81396</x:v>
      </x:c>
      <x:c r="L49" s="17" t="n">
        <x:v>81396</x:v>
      </x:c>
      <x:c r="M49" s="17" t="n">
        <x:v>82896</x:v>
      </x:c>
      <x:c r="N49" s="14" t="str">
        <x:v>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49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46117</x:v>
      </x:c>
      <x:c r="F50" s="15" t="n">
        <x:v>46117</x:v>
      </x:c>
      <x:c r="G50" s="16" t="str">
        <x:v>DIGITA-MUMBAI/ NEFT-YESAP60953903247-PhonePe Limited</x:v>
      </x:c>
      <x:c r="H50" s="14" t="str"/>
      <x:c r="I50" s="14" t="str">
        <x:v>Receipt</x:v>
      </x:c>
      <x:c r="J50" s="17" t="n">
        <x:v>0</x:v>
      </x:c>
      <x:c r="K50" s="17" t="n">
        <x:v>167015</x:v>
      </x:c>
      <x:c r="L50" s="17" t="n">
        <x:v>167015</x:v>
      </x:c>
      <x:c r="M50" s="17" t="n">
        <x:v>249911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46117</x:v>
      </x:c>
    </x:row>
    <x:row r="51">
      <x:c r="A51" s="14" t="n">
        <x:v>50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46117</x:v>
      </x:c>
      <x:c r="F51" s="15" t="n">
        <x:v>46117</x:v>
      </x:c>
      <x:c r="G51" s="16" t="str">
        <x:v>DIGITA-MUMBAI/ NEFT-AXNPN09528140899-PHONEPE LIMITED-PAYMENT AGGR</x:v>
      </x:c>
      <x:c r="H51" s="14" t="str"/>
      <x:c r="I51" s="14" t="str">
        <x:v>Receipt</x:v>
      </x:c>
      <x:c r="J51" s="17" t="n">
        <x:v>0</x:v>
      </x:c>
      <x:c r="K51" s="17" t="n">
        <x:v>67868.36</x:v>
      </x:c>
      <x:c r="L51" s="17" t="n">
        <x:v>67868.36</x:v>
      </x:c>
      <x:c r="M51" s="17" t="n">
        <x:v>317779.36</x:v>
      </x:c>
      <x:c r="N51" s="14" t="str">
        <x:v>Recurring Transaction</x:v>
      </x:c>
      <x:c r="O51" s="14" t="str">
        <x:v>Yes</x:v>
      </x:c>
      <x:c r="P51" s="14" t="str">
        <x:v>PHONEPE LIMITED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46117</x:v>
      </x:c>
    </x:row>
    <x:row r="52">
      <x:c r="A52" s="14" t="n">
        <x:v>51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46117</x:v>
      </x:c>
      <x:c r="F52" s="15" t="n">
        <x:v>46117</x:v>
      </x:c>
      <x:c r="G52" s="16" t="str">
        <x:v>DIGITA-MUMBAI/ NEFT-AXISCN1301923332-ONE MOBIKWIK SYSTEMS LIMITED</x:v>
      </x:c>
      <x:c r="H52" s="14" t="str"/>
      <x:c r="I52" s="14" t="str">
        <x:v>Receipt</x:v>
      </x:c>
      <x:c r="J52" s="17" t="n">
        <x:v>0</x:v>
      </x:c>
      <x:c r="K52" s="17" t="n">
        <x:v>28124</x:v>
      </x:c>
      <x:c r="L52" s="17" t="n">
        <x:v>28124</x:v>
      </x:c>
      <x:c r="M52" s="17" t="n">
        <x:v>345903.36</x:v>
      </x:c>
      <x:c r="N52" s="14" t="str">
        <x:v>Recurring Transaction</x:v>
      </x:c>
      <x:c r="O52" s="14" t="str">
        <x:v>Yes</x:v>
      </x:c>
      <x:c r="P52" s="14" t="str">
        <x:v>ONE MOBIKWIK SYSTEMS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46117</x:v>
      </x:c>
    </x:row>
    <x:row r="53">
      <x:c r="A53" s="14" t="n">
        <x:v>52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EBANK:WIB/1502 EBANK:WIB/1502577386/Edfs</x:v>
      </x:c>
      <x:c r="H53" s="14" t="str"/>
      <x:c r="I53" s="14" t="str">
        <x:v>Payment</x:v>
      </x:c>
      <x:c r="J53" s="17" t="n">
        <x:v>300403.36</x:v>
      </x:c>
      <x:c r="K53" s="17" t="n">
        <x:v>0</x:v>
      </x:c>
      <x:c r="L53" s="17" t="n">
        <x:v>300403.36</x:v>
      </x:c>
      <x:c r="M53" s="17" t="n">
        <x:v>45500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53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IMPS/P2A/609509137308/SHREE GANESH EN/diselVVS910</x:v>
      </x:c>
      <x:c r="H54" s="14" t="str"/>
      <x:c r="I54" s="14" t="str">
        <x:v>Receipt</x:v>
      </x:c>
      <x:c r="J54" s="17" t="n">
        <x:v>0</x:v>
      </x:c>
      <x:c r="K54" s="17" t="n">
        <x:v>63308</x:v>
      </x:c>
      <x:c r="L54" s="17" t="n">
        <x:v>63308</x:v>
      </x:c>
      <x:c r="M54" s="17" t="n">
        <x:v>108808</x:v>
      </x:c>
      <x:c r="N54" s="14" t="str">
        <x:v>Recurring Transaction</x:v>
      </x:c>
      <x:c r="O54" s="14" t="str">
        <x:v>Yes</x:v>
      </x:c>
      <x:c r="P54" s="14" t="str">
        <x:v>SHREE GANESH EN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54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NEFT-AXNPN09635263353-PHONEPE LIMITED-PAYMENT AGGR</x:v>
      </x:c>
      <x:c r="H55" s="14" t="str"/>
      <x:c r="I55" s="14" t="str">
        <x:v>Receipt</x:v>
      </x:c>
      <x:c r="J55" s="17" t="n">
        <x:v>0</x:v>
      </x:c>
      <x:c r="K55" s="17" t="n">
        <x:v>58335.21</x:v>
      </x:c>
      <x:c r="L55" s="17" t="n">
        <x:v>58335.21</x:v>
      </x:c>
      <x:c r="M55" s="17" t="n">
        <x:v>167143.21</x:v>
      </x:c>
      <x:c r="N55" s="14" t="str">
        <x:v>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55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NEFT-YESAP60964000643-PhonePe Limited</x:v>
      </x:c>
      <x:c r="H56" s="14" t="str"/>
      <x:c r="I56" s="14" t="str">
        <x:v>Receipt</x:v>
      </x:c>
      <x:c r="J56" s="17" t="n">
        <x:v>0</x:v>
      </x:c>
      <x:c r="K56" s="17" t="n">
        <x:v>169456</x:v>
      </x:c>
      <x:c r="L56" s="17" t="n">
        <x:v>169456</x:v>
      </x:c>
      <x:c r="M56" s="17" t="n">
        <x:v>336599.21</x:v>
      </x:c>
      <x:c r="N56" s="14" t="str">
        <x:v>High Transaction; Recurring Transaction</x:v>
      </x:c>
      <x:c r="O56" s="14" t="str">
        <x:v>Yes</x:v>
      </x:c>
      <x:c r="P56" s="14" t="str">
        <x:v>PHONEPE LIMITED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56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DIGITA-MUMBAI/ NEFT-AXISCN1302642509-ONE MOBIKWIK SYSTEMS LIMITED</x:v>
      </x:c>
      <x:c r="H57" s="14" t="str"/>
      <x:c r="I57" s="14" t="str">
        <x:v>Receipt</x:v>
      </x:c>
      <x:c r="J57" s="17" t="n">
        <x:v>0</x:v>
      </x:c>
      <x:c r="K57" s="17" t="n">
        <x:v>31681</x:v>
      </x:c>
      <x:c r="L57" s="17" t="n">
        <x:v>31681</x:v>
      </x:c>
      <x:c r="M57" s="17" t="n">
        <x:v>368280.21</x:v>
      </x:c>
      <x:c r="N57" s="14" t="str">
        <x:v>Recurring Transaction</x:v>
      </x:c>
      <x:c r="O57" s="14" t="str">
        <x:v>Yes</x:v>
      </x:c>
      <x:c r="P57" s="14" t="str">
        <x:v>ONE MOBIKWIK SYSTEMS LIMITED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57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EBANK:WIB/1502 EBANK:WIB/1502642025/Edfs</x:v>
      </x:c>
      <x:c r="H58" s="14" t="str"/>
      <x:c r="I58" s="14" t="str">
        <x:v>Payment</x:v>
      </x:c>
      <x:c r="J58" s="17" t="n">
        <x:v>365780.21</x:v>
      </x:c>
      <x:c r="K58" s="17" t="n">
        <x:v>0</x:v>
      </x:c>
      <x:c r="L58" s="17" t="n">
        <x:v>365780.21</x:v>
      </x:c>
      <x:c r="M58" s="17" t="n">
        <x:v>2500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58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NEFT-AXISCN1302721272-PINE LABS PRIVATE LIMITED-NO</x:v>
      </x:c>
      <x:c r="H59" s="14" t="str"/>
      <x:c r="I59" s="14" t="str">
        <x:v>Receipt</x:v>
      </x:c>
      <x:c r="J59" s="17" t="n">
        <x:v>0</x:v>
      </x:c>
      <x:c r="K59" s="17" t="n">
        <x:v>29516</x:v>
      </x:c>
      <x:c r="L59" s="17" t="n">
        <x:v>29516</x:v>
      </x:c>
      <x:c r="M59" s="17" t="n">
        <x:v>32016</x:v>
      </x:c>
      <x:c r="N59" s="14" t="str">
        <x:v>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59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0" s="14" t="str"/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132016</x:v>
      </x:c>
      <x:c r="N60" s="14" t="str">
        <x:v>High Transaction; Recurring Transaction</x:v>
      </x:c>
      <x:c r="O60" s="14" t="str">
        <x:v>Yes</x:v>
      </x:c>
      <x:c r="P60" s="14" t="str">
        <x:v>PAGE TOTAL   CR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60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DIGITA-MUMBAI/ NEFT-AXISCN1302925515-PINE LABS PRIVATE LIMITED-NO</x:v>
      </x:c>
      <x:c r="H61" s="14" t="str"/>
      <x:c r="I61" s="14" t="str">
        <x:v>Receipt</x:v>
      </x:c>
      <x:c r="J61" s="17" t="n">
        <x:v>0</x:v>
      </x:c>
      <x:c r="K61" s="17" t="n">
        <x:v>14073</x:v>
      </x:c>
      <x:c r="L61" s="17" t="n">
        <x:v>14073</x:v>
      </x:c>
      <x:c r="M61" s="17" t="n">
        <x:v>146089</x:v>
      </x:c>
      <x:c r="N61" s="14" t="str">
        <x:v>Recurring Transaction</x:v>
      </x:c>
      <x:c r="O61" s="14" t="str">
        <x:v>Yes</x:v>
      </x:c>
      <x:c r="P61" s="14" t="str">
        <x:v>PINE LABS PRIVATE LIMITED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61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UPI/8321480914 48091426 UPI/832148091426/12:12:00/UPI/7507026281@axl/Paym</x:v>
      </x:c>
      <x:c r="H62" s="14" t="str"/>
      <x:c r="I62" s="14" t="str">
        <x:v>Receipt</x:v>
      </x:c>
      <x:c r="J62" s="17" t="n">
        <x:v>0</x:v>
      </x:c>
      <x:c r="K62" s="17" t="n">
        <x:v>1000</x:v>
      </x:c>
      <x:c r="L62" s="17" t="n">
        <x:v>1000</x:v>
      </x:c>
      <x:c r="M62" s="17" t="n">
        <x:v>147089</x:v>
      </x:c>
      <x:c r="N62" s="14" t="str">
        <x:v>UPI</x:v>
      </x:c>
      <x:c r="O62" s="14" t="str">
        <x:v>No</x:v>
      </x:c>
      <x:c r="P62" s="14" t="str">
        <x:v>UPI/# # UPI/#/#:#:#/UPI/#@AXL/PAYM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62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NEFT-HDFCH00913518284-CORPAK</x:v>
      </x:c>
      <x:c r="H63" s="14" t="str"/>
      <x:c r="I63" s="14" t="str">
        <x:v>Receipt</x:v>
      </x:c>
      <x:c r="J63" s="17" t="n">
        <x:v>0</x:v>
      </x:c>
      <x:c r="K63" s="17" t="n">
        <x:v>38524</x:v>
      </x:c>
      <x:c r="L63" s="17" t="n">
        <x:v>38524</x:v>
      </x:c>
      <x:c r="M63" s="17" t="n">
        <x:v>185613</x:v>
      </x:c>
      <x:c r="N63" s="14" t="str">
        <x:v>Recurring Transaction</x:v>
      </x:c>
      <x:c r="O63" s="14" t="str">
        <x:v>Yes</x:v>
      </x:c>
      <x:c r="P63" s="14" t="str">
        <x:v>DIGITA-MUMBAI/ NEFT-HDFCH#-CORPAK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63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NEFT-NKGSH26096901712-GEBI PRODUCTS PRIVATE LIMITE</x:v>
      </x:c>
      <x:c r="H64" s="14" t="str"/>
      <x:c r="I64" s="14" t="str">
        <x:v>Receipt</x:v>
      </x:c>
      <x:c r="J64" s="17" t="n">
        <x:v>0</x:v>
      </x:c>
      <x:c r="K64" s="17" t="n">
        <x:v>15001</x:v>
      </x:c>
      <x:c r="L64" s="17" t="n">
        <x:v>15001</x:v>
      </x:c>
      <x:c r="M64" s="17" t="n">
        <x:v>200614</x:v>
      </x:c>
      <x:c r="N64" s="14" t="str">
        <x:v>Recurring Transaction</x:v>
      </x:c>
      <x:c r="O64" s="14" t="str">
        <x:v>Yes</x:v>
      </x:c>
      <x:c r="P64" s="14" t="str">
        <x:v>GEBI PRODUCTS PRIVATE LIMITE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64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EBANK:WIB/1502 EBANK:WIB/1502790855/Edfs</x:v>
      </x:c>
      <x:c r="H65" s="14" t="str"/>
      <x:c r="I65" s="14" t="str">
        <x:v>Payment</x:v>
      </x:c>
      <x:c r="J65" s="17" t="n">
        <x:v>198114</x:v>
      </x:c>
      <x:c r="K65" s="17" t="n">
        <x:v>0</x:v>
      </x:c>
      <x:c r="L65" s="17" t="n">
        <x:v>198114</x:v>
      </x:c>
      <x:c r="M65" s="17" t="n">
        <x:v>2500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65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NEFT-HDFCH00915259780-MOHANJI BHARAT WELFARE FOUND</x:v>
      </x:c>
      <x:c r="H66" s="14" t="str"/>
      <x:c r="I66" s="14" t="str">
        <x:v>Receipt</x:v>
      </x:c>
      <x:c r="J66" s="17" t="n">
        <x:v>0</x:v>
      </x:c>
      <x:c r="K66" s="17" t="n">
        <x:v>18448</x:v>
      </x:c>
      <x:c r="L66" s="17" t="n">
        <x:v>18448</x:v>
      </x:c>
      <x:c r="M66" s="17" t="n">
        <x:v>20948</x:v>
      </x:c>
      <x:c r="N66" s="14" t="str">
        <x:v>Recurring Transaction</x:v>
      </x:c>
      <x:c r="O66" s="14" t="str">
        <x:v>Yes</x:v>
      </x:c>
      <x:c r="P66" s="14" t="str">
        <x:v>MOHANJI BHARAT WELFARE FOUND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66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DIGITA-MUMBAI/ NEFT-YESAP60974165954-PhonePe Limited</x:v>
      </x:c>
      <x:c r="H67" s="14" t="str"/>
      <x:c r="I67" s="14" t="str">
        <x:v>Receipt</x:v>
      </x:c>
      <x:c r="J67" s="17" t="n">
        <x:v>0</x:v>
      </x:c>
      <x:c r="K67" s="17" t="n">
        <x:v>260044.42</x:v>
      </x:c>
      <x:c r="L67" s="17" t="n">
        <x:v>260044.42</x:v>
      </x:c>
      <x:c r="M67" s="17" t="n">
        <x:v>280992.42</x:v>
      </x:c>
      <x:c r="N67" s="14" t="str">
        <x:v>High Transaction; Recurring Transaction</x:v>
      </x:c>
      <x:c r="O67" s="14" t="str">
        <x:v>Yes</x:v>
      </x:c>
      <x:c r="P67" s="14" t="str">
        <x:v>PHONEPE LIMITED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67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NEFT-AXNPN09743969962-PHONEPE LIMITED-PAYMENT AGGR</x:v>
      </x:c>
      <x:c r="H68" s="14" t="str"/>
      <x:c r="I68" s="14" t="str">
        <x:v>Receipt</x:v>
      </x:c>
      <x:c r="J68" s="17" t="n">
        <x:v>0</x:v>
      </x:c>
      <x:c r="K68" s="17" t="n">
        <x:v>55000.65</x:v>
      </x:c>
      <x:c r="L68" s="17" t="n">
        <x:v>55000.65</x:v>
      </x:c>
      <x:c r="M68" s="17" t="n">
        <x:v>335993.07</x:v>
      </x:c>
      <x:c r="N68" s="14" t="str">
        <x:v>Recurring Transaction</x:v>
      </x:c>
      <x:c r="O68" s="14" t="str">
        <x:v>Yes</x:v>
      </x:c>
      <x:c r="P68" s="14" t="str">
        <x:v>PHONEPE LIMITED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68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EBANK:WIB/1502 EBANK:WIB/1502821939/Edfs</x:v>
      </x:c>
      <x:c r="H69" s="14" t="str"/>
      <x:c r="I69" s="14" t="str">
        <x:v>Payment</x:v>
      </x:c>
      <x:c r="J69" s="17" t="n">
        <x:v>330493.07</x:v>
      </x:c>
      <x:c r="K69" s="17" t="n">
        <x:v>0</x:v>
      </x:c>
      <x:c r="L69" s="17" t="n">
        <x:v>330493.07</x:v>
      </x:c>
      <x:c r="M69" s="17" t="n">
        <x:v>5500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69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UPI/8639137766 13776666 UPI/863913776666/06:48:44/UPI/surajdhanotra1@ibl/</x:v>
      </x:c>
      <x:c r="H70" s="14" t="str"/>
      <x:c r="I70" s="14" t="str">
        <x:v>Receipt</x:v>
      </x:c>
      <x:c r="J70" s="17" t="n">
        <x:v>0</x:v>
      </x:c>
      <x:c r="K70" s="17" t="n">
        <x:v>9000</x:v>
      </x:c>
      <x:c r="L70" s="17" t="n">
        <x:v>9000</x:v>
      </x:c>
      <x:c r="M70" s="17" t="n">
        <x:v>14500</x:v>
      </x:c>
      <x:c r="N70" s="14" t="str">
        <x:v>UPI; Recurring Transaction</x:v>
      </x:c>
      <x:c r="O70" s="14" t="str">
        <x:v>Yes</x:v>
      </x:c>
      <x:c r="P70" s="14" t="str">
        <x:v>SURAJDHANOTRAIBL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70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NEFT-AXISCN1303901852-ONE MOBIKWIK SYSTEMS LIMITED</x:v>
      </x:c>
      <x:c r="H71" s="14" t="str"/>
      <x:c r="I71" s="14" t="str">
        <x:v>Receipt</x:v>
      </x:c>
      <x:c r="J71" s="17" t="n">
        <x:v>0</x:v>
      </x:c>
      <x:c r="K71" s="17" t="n">
        <x:v>23072</x:v>
      </x:c>
      <x:c r="L71" s="17" t="n">
        <x:v>23072</x:v>
      </x:c>
      <x:c r="M71" s="17" t="n">
        <x:v>37572</x:v>
      </x:c>
      <x:c r="N71" s="14" t="str">
        <x:v>Recurring Transaction</x:v>
      </x:c>
      <x:c r="O71" s="14" t="str">
        <x:v>Yes</x:v>
      </x:c>
      <x:c r="P71" s="14" t="str">
        <x:v>ONE MOBIKWIK SYSTEMS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71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NEFT-AXISCN1303985526-PINE LABS PRIVATE LIMITED-NO</x:v>
      </x:c>
      <x:c r="H72" s="14" t="str"/>
      <x:c r="I72" s="14" t="str">
        <x:v>Receipt</x:v>
      </x:c>
      <x:c r="J72" s="17" t="n">
        <x:v>0</x:v>
      </x:c>
      <x:c r="K72" s="17" t="n">
        <x:v>25110</x:v>
      </x:c>
      <x:c r="L72" s="17" t="n">
        <x:v>25110</x:v>
      </x:c>
      <x:c r="M72" s="17" t="n">
        <x:v>62682</x:v>
      </x:c>
      <x:c r="N72" s="14" t="str">
        <x:v>Recurring Transaction</x:v>
      </x:c>
      <x:c r="O72" s="14" t="str">
        <x:v>Yes</x:v>
      </x:c>
      <x:c r="P72" s="14" t="str">
        <x:v>PINE LABS PRIVATE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72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Charges for Charges for PORD Customer Payment :003566909942</x:v>
      </x:c>
      <x:c r="H73" s="14" t="str"/>
      <x:c r="I73" s="14" t="str">
        <x:v>Payment</x:v>
      </x:c>
      <x:c r="J73" s="17" t="n">
        <x:v>2.65</x:v>
      </x:c>
      <x:c r="K73" s="17" t="n">
        <x:v>0</x:v>
      </x:c>
      <x:c r="L73" s="17" t="n">
        <x:v>2.65</x:v>
      </x:c>
      <x:c r="M73" s="17" t="n">
        <x:v>62679.35</x:v>
      </x:c>
      <x:c r="N73" s="14" t="str">
        <x:v>Recurring Transaction</x:v>
      </x:c>
      <x:c r="O73" s="14" t="str">
        <x:v>Yes</x:v>
      </x:c>
      <x:c r="P73" s="14" t="str">
        <x:v>CHARGES FOR CHARGES FOR PORD CUSTOMER PA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NEFT-BARBT2609 NEFT-BARBT26097282981-PETROL DEALERS ASSOCIATION</x:v>
      </x:c>
      <x:c r="H74" s="14" t="str"/>
      <x:c r="I74" s="14" t="str">
        <x:v>Payment</x:v>
      </x:c>
      <x:c r="J74" s="17" t="n">
        <x:v>4000</x:v>
      </x:c>
      <x:c r="K74" s="17" t="n">
        <x:v>0</x:v>
      </x:c>
      <x:c r="L74" s="17" t="n">
        <x:v>4000</x:v>
      </x:c>
      <x:c r="M74" s="17" t="n">
        <x:v>58679.35</x:v>
      </x:c>
      <x:c r="N74" s="14" t="str">
        <x:v>Other</x:v>
      </x:c>
      <x:c r="O74" s="14" t="str">
        <x:v>No</x:v>
      </x:c>
      <x:c r="P74" s="14" t="str">
        <x:v>BARBT NEFT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74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NEFT-HDFCH00916196159-MARK LUBES PRIVATE LIMITED</x:v>
      </x:c>
      <x:c r="H75" s="14" t="str"/>
      <x:c r="I75" s="14" t="str">
        <x:v>Receipt</x:v>
      </x:c>
      <x:c r="J75" s="17" t="n">
        <x:v>0</x:v>
      </x:c>
      <x:c r="K75" s="17" t="n">
        <x:v>3617</x:v>
      </x:c>
      <x:c r="L75" s="17" t="n">
        <x:v>3617</x:v>
      </x:c>
      <x:c r="M75" s="17" t="n">
        <x:v>62296.35</x:v>
      </x:c>
      <x:c r="N75" s="14" t="str">
        <x:v>Recurring Transaction</x:v>
      </x:c>
      <x:c r="O75" s="14" t="str">
        <x:v>Yes</x:v>
      </x:c>
      <x:c r="P75" s="14" t="str">
        <x:v>MARK LUBES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75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6" s="14" t="str"/>
      <x:c r="I76" s="14" t="str">
        <x:v>Receipt</x:v>
      </x:c>
      <x:c r="J76" s="17" t="n">
        <x:v>0</x:v>
      </x:c>
      <x:c r="K76" s="17" t="n">
        <x:v>114500</x:v>
      </x:c>
      <x:c r="L76" s="17" t="n">
        <x:v>114500</x:v>
      </x:c>
      <x:c r="M76" s="17" t="n">
        <x:v>176796.35</x:v>
      </x:c>
      <x:c r="N76" s="14" t="str">
        <x:v>Cash; High Transaction; Recurring Transaction</x:v>
      </x:c>
      <x:c r="O76" s="14" t="str">
        <x:v>Yes</x:v>
      </x:c>
      <x:c r="P76" s="14" t="str">
        <x:v>PAGE TOTAL   CR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76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WADPAL-WADA,MH 143 BOB DD EXECUTIVE ENG PWD JAWHAR-WADPAL</x:v>
      </x:c>
      <x:c r="H77" s="14" t="str"/>
      <x:c r="I77" s="14" t="str">
        <x:v>Payment</x:v>
      </x:c>
      <x:c r="J77" s="17" t="n">
        <x:v>99037</x:v>
      </x:c>
      <x:c r="K77" s="17" t="n">
        <x:v>0</x:v>
      </x:c>
      <x:c r="L77" s="17" t="n">
        <x:v>99037</x:v>
      </x:c>
      <x:c r="M77" s="17" t="n">
        <x:v>77759.35</x:v>
      </x:c>
      <x:c r="N77" s="14" t="str">
        <x:v>Other</x:v>
      </x:c>
      <x:c r="O77" s="14" t="str">
        <x:v>No</x:v>
      </x:c>
      <x:c r="P77" s="14" t="str">
        <x:v>WADAMH  BOB DD EXECUTIVE ENG PWD JAWHAR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77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UPI/6463233094 23309409 UPI/646323309409/14:08:53/UPI/gotarne.pratik@axl/</x:v>
      </x:c>
      <x:c r="H78" s="14" t="str"/>
      <x:c r="I78" s="14" t="str">
        <x:v>Payment</x:v>
      </x:c>
      <x:c r="J78" s="17" t="n">
        <x:v>500</x:v>
      </x:c>
      <x:c r="K78" s="17" t="n">
        <x:v>0</x:v>
      </x:c>
      <x:c r="L78" s="17" t="n">
        <x:v>500</x:v>
      </x:c>
      <x:c r="M78" s="17" t="n">
        <x:v>77259.35</x:v>
      </x:c>
      <x:c r="N78" s="14" t="str">
        <x:v>UPI</x:v>
      </x:c>
      <x:c r="O78" s="14" t="str">
        <x:v>No</x:v>
      </x:c>
      <x:c r="P78" s="14" t="str">
        <x:v>GOTARNEPRATIKAXL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78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DIGITA-MUMBAI/ NEFT-KKBKH26097664663-ATLAS COMMODITIES PRIVATE LI</x:v>
      </x:c>
      <x:c r="H79" s="14" t="str"/>
      <x:c r="I79" s="14" t="str">
        <x:v>Receipt</x:v>
      </x:c>
      <x:c r="J79" s="17" t="n">
        <x:v>0</x:v>
      </x:c>
      <x:c r="K79" s="17" t="n">
        <x:v>3405</x:v>
      </x:c>
      <x:c r="L79" s="17" t="n">
        <x:v>3405</x:v>
      </x:c>
      <x:c r="M79" s="17" t="n">
        <x:v>80664.35</x:v>
      </x:c>
      <x:c r="N79" s="14" t="str">
        <x:v>Recurring Transaction</x:v>
      </x:c>
      <x:c r="O79" s="14" t="str">
        <x:v>Yes</x:v>
      </x:c>
      <x:c r="P79" s="14" t="str">
        <x:v>ATLAS COMMODITIES PRIVATE LI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79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DIGITA-MUMBAI/ https://cbdrpt101.bankofbaroda.co.in:22000/finbranch/arjspmorph/INFENG/tran_rpt.jsp?... 04-05-2026 NEFT-NKGSH26097920270-GEBI PRODUCTS PRIVATE LIMITE</x:v>
      </x:c>
      <x:c r="H80" s="14" t="str"/>
      <x:c r="I80" s="14" t="str">
        <x:v>Receipt</x:v>
      </x:c>
      <x:c r="J80" s="17" t="n">
        <x:v>0</x:v>
      </x:c>
      <x:c r="K80" s="17" t="n">
        <x:v>2618</x:v>
      </x:c>
      <x:c r="L80" s="17" t="n">
        <x:v>2618</x:v>
      </x:c>
      <x:c r="M80" s="17" t="n">
        <x:v>83282.35</x:v>
      </x:c>
      <x:c r="N80" s="14" t="str">
        <x:v>Recurring Transaction</x:v>
      </x:c>
      <x:c r="O80" s="14" t="str">
        <x:v>Yes</x:v>
      </x:c>
      <x:c r="P80" s="14" t="str">
        <x:v>CBDRPTBANKOFBARODACOIN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DIGITA-MUMBAI/ NEFT-HDFCH00917822677-SL CORBOX PRIVATE LIMITED</x:v>
      </x:c>
      <x:c r="H81" s="14" t="str"/>
      <x:c r="I81" s="14" t="str">
        <x:v>Receipt</x:v>
      </x:c>
      <x:c r="J81" s="17" t="n">
        <x:v>0</x:v>
      </x:c>
      <x:c r="K81" s="17" t="n">
        <x:v>56800</x:v>
      </x:c>
      <x:c r="L81" s="17" t="n">
        <x:v>56800</x:v>
      </x:c>
      <x:c r="M81" s="17" t="n">
        <x:v>140082.35</x:v>
      </x:c>
      <x:c r="N81" s="14" t="str">
        <x:v>Recurring Transaction</x:v>
      </x:c>
      <x:c r="O81" s="14" t="str">
        <x:v>Yes</x:v>
      </x:c>
      <x:c r="P81" s="14" t="str">
        <x:v>SL CORBOX PRIVATE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EBANK:WIB/1502 EBANK:WIB/1502986421/Edfs</x:v>
      </x:c>
      <x:c r="H82" s="14" t="str"/>
      <x:c r="I82" s="14" t="str">
        <x:v>Payment</x:v>
      </x:c>
      <x:c r="J82" s="17" t="n">
        <x:v>137582.35</x:v>
      </x:c>
      <x:c r="K82" s="17" t="n">
        <x:v>0</x:v>
      </x:c>
      <x:c r="L82" s="17" t="n">
        <x:v>137582.35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82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NEFT-IN42609750724469-VINAYAK OIL INDUSTRIES</x:v>
      </x:c>
      <x:c r="H83" s="14" t="str"/>
      <x:c r="I83" s="14" t="str">
        <x:v>Receipt</x:v>
      </x:c>
      <x:c r="J83" s="17" t="n">
        <x:v>0</x:v>
      </x:c>
      <x:c r="K83" s="17" t="n">
        <x:v>37413</x:v>
      </x:c>
      <x:c r="L83" s="17" t="n">
        <x:v>37413</x:v>
      </x:c>
      <x:c r="M83" s="17" t="n">
        <x:v>39913</x:v>
      </x:c>
      <x:c r="N83" s="14" t="str">
        <x:v>Recurring Transaction</x:v>
      </x:c>
      <x:c r="O83" s="14" t="str">
        <x:v>Yes</x:v>
      </x:c>
      <x:c r="P83" s="14" t="str">
        <x:v>VINAYAK OIL INDUSTRIES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83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46120</x:v>
      </x:c>
      <x:c r="F84" s="15" t="n">
        <x:v>46120</x:v>
      </x:c>
      <x:c r="G84" s="16" t="str">
        <x:v>DIGITA-MUMBAI/ NEFT-YESAP60983679319-PhonePe Limited</x:v>
      </x:c>
      <x:c r="H84" s="14" t="str"/>
      <x:c r="I84" s="14" t="str">
        <x:v>Receipt</x:v>
      </x:c>
      <x:c r="J84" s="17" t="n">
        <x:v>0</x:v>
      </x:c>
      <x:c r="K84" s="17" t="n">
        <x:v>243684</x:v>
      </x:c>
      <x:c r="L84" s="17" t="n">
        <x:v>243684</x:v>
      </x:c>
      <x:c r="M84" s="17" t="n">
        <x:v>283597</x:v>
      </x:c>
      <x:c r="N84" s="14" t="str">
        <x:v>High Transaction; 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46120</x:v>
      </x:c>
    </x:row>
    <x:row r="85">
      <x:c r="A85" s="14" t="n">
        <x:v>84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46120</x:v>
      </x:c>
      <x:c r="F85" s="15" t="n">
        <x:v>46120</x:v>
      </x:c>
      <x:c r="G85" s="16" t="str">
        <x:v>UPI/6464912624 91262434 UPI/646491262434/06:48:01/UPI/9822321566@centralb</x:v>
      </x:c>
      <x:c r="H85" s="14" t="str"/>
      <x:c r="I85" s="14" t="str">
        <x:v>Payment</x:v>
      </x:c>
      <x:c r="J85" s="17" t="n">
        <x:v>37085</x:v>
      </x:c>
      <x:c r="K85" s="17" t="n">
        <x:v>0</x:v>
      </x:c>
      <x:c r="L85" s="17" t="n">
        <x:v>37085</x:v>
      </x:c>
      <x:c r="M85" s="17" t="n">
        <x:v>246512</x:v>
      </x:c>
      <x:c r="N85" s="14" t="str">
        <x:v>UPI</x:v>
      </x:c>
      <x:c r="O85" s="14" t="str">
        <x:v>No</x:v>
      </x:c>
      <x:c r="P85" s="14" t="str">
        <x:v>CENTRALB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46120</x:v>
      </x:c>
    </x:row>
    <x:row r="86">
      <x:c r="A86" s="14" t="n">
        <x:v>85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46120</x:v>
      </x:c>
      <x:c r="F86" s="15" t="n">
        <x:v>46120</x:v>
      </x:c>
      <x:c r="G86" s="16" t="str">
        <x:v>DIGITA-MUMBAI/ NEFT-AXNPN09852795681-PHONEPE LIMITED-PAYMENT AGGR</x:v>
      </x:c>
      <x:c r="H86" s="14" t="str"/>
      <x:c r="I86" s="14" t="str">
        <x:v>Receipt</x:v>
      </x:c>
      <x:c r="J86" s="17" t="n">
        <x:v>0</x:v>
      </x:c>
      <x:c r="K86" s="17" t="n">
        <x:v>47737</x:v>
      </x:c>
      <x:c r="L86" s="17" t="n">
        <x:v>47737</x:v>
      </x:c>
      <x:c r="M86" s="17" t="n">
        <x:v>294249</x:v>
      </x:c>
      <x:c r="N86" s="14" t="str">
        <x:v>Recurring Transaction</x:v>
      </x:c>
      <x:c r="O86" s="14" t="str">
        <x:v>Yes</x:v>
      </x:c>
      <x:c r="P86" s="14" t="str">
        <x:v>PHONEPE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46120</x:v>
      </x:c>
    </x:row>
    <x:row r="87">
      <x:c r="A87" s="14" t="n">
        <x:v>86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Chg Cash Chg Cash handling for:30-03-2026</x:v>
      </x:c>
      <x:c r="H87" s="14" t="str"/>
      <x:c r="I87" s="14" t="str">
        <x:v>Payment</x:v>
      </x:c>
      <x:c r="J87" s="17" t="n">
        <x:v>24</x:v>
      </x:c>
      <x:c r="K87" s="17" t="n">
        <x:v>0</x:v>
      </x:c>
      <x:c r="L87" s="17" t="n">
        <x:v>24</x:v>
      </x:c>
      <x:c r="M87" s="17" t="n">
        <x:v>294225</x:v>
      </x:c>
      <x:c r="N87" s="14" t="str">
        <x:v>Cash</x:v>
      </x:c>
      <x:c r="O87" s="14" t="str">
        <x:v>No</x:v>
      </x:c>
      <x:c r="P87" s="14" t="str">
        <x:v>CHG CASH CHG CASH HANDLING FOR</x:v>
      </x:c>
      <x:c r="Q87" s="14" t="n">
        <x:v>1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87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DIGITA-MUMBAI/ NEFT-AXISCN1305078531-ONE MOBIKWIK SYSTEMS LIMITED</x:v>
      </x:c>
      <x:c r="H88" s="14" t="str"/>
      <x:c r="I88" s="14" t="str">
        <x:v>Receipt</x:v>
      </x:c>
      <x:c r="J88" s="17" t="n">
        <x:v>0</x:v>
      </x:c>
      <x:c r="K88" s="17" t="n">
        <x:v>13338</x:v>
      </x:c>
      <x:c r="L88" s="17" t="n">
        <x:v>13338</x:v>
      </x:c>
      <x:c r="M88" s="17" t="n">
        <x:v>307563</x:v>
      </x:c>
      <x:c r="N88" s="14" t="str">
        <x:v>Recurring Transaction</x:v>
      </x:c>
      <x:c r="O88" s="14" t="str">
        <x:v>Yes</x:v>
      </x:c>
      <x:c r="P88" s="14" t="str">
        <x:v>ONE MOBIKWIK SYSTEMS LIMITED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NEFT-AXISCN1305183876-PINE LABS PRIVATE LIMITED-NO</x:v>
      </x:c>
      <x:c r="H89" s="14" t="str"/>
      <x:c r="I89" s="14" t="str">
        <x:v>Receipt</x:v>
      </x:c>
      <x:c r="J89" s="17" t="n">
        <x:v>0</x:v>
      </x:c>
      <x:c r="K89" s="17" t="n">
        <x:v>76050</x:v>
      </x:c>
      <x:c r="L89" s="17" t="n">
        <x:v>76050</x:v>
      </x:c>
      <x:c r="M89" s="17" t="n">
        <x:v>383613</x:v>
      </x:c>
      <x:c r="N89" s="14" t="str">
        <x:v>Recurring Transaction</x:v>
      </x:c>
      <x:c r="O89" s="14" t="str">
        <x:v>Yes</x:v>
      </x:c>
      <x:c r="P89" s="14" t="str">
        <x:v>PINE LABS PRIVATE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EBANK:WIB/1503 EBANK:WIB/1503050809/Edfs</x:v>
      </x:c>
      <x:c r="H90" s="14" t="str"/>
      <x:c r="I90" s="14" t="str">
        <x:v>Payment</x:v>
      </x:c>
      <x:c r="J90" s="17" t="n">
        <x:v>381113</x:v>
      </x:c>
      <x:c r="K90" s="17" t="n">
        <x:v>0</x:v>
      </x:c>
      <x:c r="L90" s="17" t="n">
        <x:v>381113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90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IMPS/P2A/609812907682/OMSANITRANSPORT/Diesel Bill</x:v>
      </x:c>
      <x:c r="H91" s="14" t="str"/>
      <x:c r="I91" s="14" t="str">
        <x:v>Receipt</x:v>
      </x:c>
      <x:c r="J91" s="17" t="n">
        <x:v>0</x:v>
      </x:c>
      <x:c r="K91" s="17" t="n">
        <x:v>40356</x:v>
      </x:c>
      <x:c r="L91" s="17" t="n">
        <x:v>40356</x:v>
      </x:c>
      <x:c r="M91" s="17" t="n">
        <x:v>42856</x:v>
      </x:c>
      <x:c r="N91" s="14" t="str">
        <x:v>Recurring Transaction</x:v>
      </x:c>
      <x:c r="O91" s="14" t="str">
        <x:v>Yes</x:v>
      </x:c>
      <x:c r="P91" s="14" t="str">
        <x:v>OMSANITRANSPORT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91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2" s="14" t="str"/>
      <x:c r="I92" s="14" t="str">
        <x:v>Receipt</x:v>
      </x:c>
      <x:c r="J92" s="17" t="n">
        <x:v>0</x:v>
      </x:c>
      <x:c r="K92" s="17" t="n">
        <x:v>1906</x:v>
      </x:c>
      <x:c r="L92" s="17" t="n">
        <x:v>1906</x:v>
      </x:c>
      <x:c r="M92" s="17" t="n">
        <x:v>44762</x:v>
      </x:c>
      <x:c r="N92" s="14" t="str">
        <x:v>Recurring Transaction</x:v>
      </x:c>
      <x:c r="O92" s="14" t="str">
        <x:v>Yes</x:v>
      </x:c>
      <x:c r="P92" s="14" t="str">
        <x:v>PAGE TOTAL   CR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92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DIGITA-MUMBAI/ NEFT-IDIBH09837346562-JAI AMBE TRANSPORT</x:v>
      </x:c>
      <x:c r="H93" s="14" t="str"/>
      <x:c r="I93" s="14" t="str">
        <x:v>Receipt</x:v>
      </x:c>
      <x:c r="J93" s="17" t="n">
        <x:v>0</x:v>
      </x:c>
      <x:c r="K93" s="17" t="n">
        <x:v>3050</x:v>
      </x:c>
      <x:c r="L93" s="17" t="n">
        <x:v>3050</x:v>
      </x:c>
      <x:c r="M93" s="17" t="n">
        <x:v>47812</x:v>
      </x:c>
      <x:c r="N93" s="14" t="str">
        <x:v>Recurring Transaction</x:v>
      </x:c>
      <x:c r="O93" s="14" t="str">
        <x:v>Yes</x:v>
      </x:c>
      <x:c r="P93" s="14" t="str">
        <x:v>JAI AMBE TRANSPORT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IMPS/P2A/609818576145/SHREE GANESH EN/diselVVS910</x:v>
      </x:c>
      <x:c r="H94" s="14" t="str"/>
      <x:c r="I94" s="14" t="str">
        <x:v>Receipt</x:v>
      </x:c>
      <x:c r="J94" s="17" t="n">
        <x:v>0</x:v>
      </x:c>
      <x:c r="K94" s="17" t="n">
        <x:v>63308</x:v>
      </x:c>
      <x:c r="L94" s="17" t="n">
        <x:v>63308</x:v>
      </x:c>
      <x:c r="M94" s="17" t="n">
        <x:v>111120</x:v>
      </x:c>
      <x:c r="N94" s="14" t="str">
        <x:v>Recurring Transaction</x:v>
      </x:c>
      <x:c r="O94" s="14" t="str">
        <x:v>Yes</x:v>
      </x:c>
      <x:c r="P94" s="14" t="str">
        <x:v>SHREE GANESH EN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EBANK:WIB/1503 EBANK:WIB/1503170712/Edfs</x:v>
      </x:c>
      <x:c r="H95" s="14" t="str"/>
      <x:c r="I95" s="14" t="str">
        <x:v>Payment</x:v>
      </x:c>
      <x:c r="J95" s="17" t="n">
        <x:v>108620</x:v>
      </x:c>
      <x:c r="K95" s="17" t="n">
        <x:v>0</x:v>
      </x:c>
      <x:c r="L95" s="17" t="n">
        <x:v>108620</x:v>
      </x:c>
      <x:c r="M95" s="17" t="n">
        <x:v>2500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95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46121</x:v>
      </x:c>
      <x:c r="F96" s="15" t="n">
        <x:v>46121</x:v>
      </x:c>
      <x:c r="G96" s="16" t="str">
        <x:v>DIGITA-MUMBAI/ NEFT-YESAP60993677587-PhonePe Limited</x:v>
      </x:c>
      <x:c r="H96" s="14" t="str"/>
      <x:c r="I96" s="14" t="str">
        <x:v>Receipt</x:v>
      </x:c>
      <x:c r="J96" s="17" t="n">
        <x:v>0</x:v>
      </x:c>
      <x:c r="K96" s="17" t="n">
        <x:v>170522</x:v>
      </x:c>
      <x:c r="L96" s="17" t="n">
        <x:v>170522</x:v>
      </x:c>
      <x:c r="M96" s="17" t="n">
        <x:v>173022</x:v>
      </x:c>
      <x:c r="N96" s="14" t="str">
        <x:v>High Transaction; Recurring Transaction</x:v>
      </x:c>
      <x:c r="O96" s="14" t="str">
        <x:v>Yes</x:v>
      </x:c>
      <x:c r="P96" s="14" t="str">
        <x:v>PHONEPE LIMITED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46121</x:v>
      </x:c>
    </x:row>
    <x:row r="97">
      <x:c r="A97" s="14" t="n">
        <x:v>96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46121</x:v>
      </x:c>
      <x:c r="F97" s="15" t="n">
        <x:v>46121</x:v>
      </x:c>
      <x:c r="G97" s="16" t="str">
        <x:v>DIGITA-MUMBAI/ NEFT-AXNPN09961131765-PHONEPE LIMITED-PAYMENT AGGR</x:v>
      </x:c>
      <x:c r="H97" s="14" t="str"/>
      <x:c r="I97" s="14" t="str">
        <x:v>Receipt</x:v>
      </x:c>
      <x:c r="J97" s="17" t="n">
        <x:v>0</x:v>
      </x:c>
      <x:c r="K97" s="17" t="n">
        <x:v>49090</x:v>
      </x:c>
      <x:c r="L97" s="17" t="n">
        <x:v>49090</x:v>
      </x:c>
      <x:c r="M97" s="17" t="n">
        <x:v>222112</x:v>
      </x:c>
      <x:c r="N97" s="14" t="str">
        <x:v>Recurring Transaction</x:v>
      </x:c>
      <x:c r="O97" s="14" t="str">
        <x:v>Yes</x:v>
      </x:c>
      <x:c r="P97" s="14" t="str">
        <x:v>PHONEPE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46121</x:v>
      </x:c>
    </x:row>
    <x:row r="98">
      <x:c r="A98" s="14" t="n">
        <x:v>97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46121</x:v>
      </x:c>
      <x:c r="F98" s="15" t="n">
        <x:v>46121</x:v>
      </x:c>
      <x:c r="G98" s="16" t="str">
        <x:v>DIGITA-MUMBAI/ NEFT-AXISCN1306324510-ONE MOBIKWIK SYSTEMS LIMITED</x:v>
      </x:c>
      <x:c r="H98" s="14" t="str"/>
      <x:c r="I98" s="14" t="str">
        <x:v>Receipt</x:v>
      </x:c>
      <x:c r="J98" s="17" t="n">
        <x:v>0</x:v>
      </x:c>
      <x:c r="K98" s="17" t="n">
        <x:v>15270</x:v>
      </x:c>
      <x:c r="L98" s="17" t="n">
        <x:v>15270</x:v>
      </x:c>
      <x:c r="M98" s="17" t="n">
        <x:v>237382</x:v>
      </x:c>
      <x:c r="N98" s="14" t="str">
        <x:v>Recurring Transaction</x:v>
      </x:c>
      <x:c r="O98" s="14" t="str">
        <x:v>Yes</x:v>
      </x:c>
      <x:c r="P98" s="14" t="str">
        <x:v>ONE MOBIKWIK SYSTEMS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46121</x:v>
      </x:c>
    </x:row>
    <x:row r="99">
      <x:c r="A99" s="14" t="n">
        <x:v>98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NEFT-AXISCN1306426056-PINE LABS PRIVATE LIMITED-NO</x:v>
      </x:c>
      <x:c r="H99" s="14" t="str"/>
      <x:c r="I99" s="14" t="str">
        <x:v>Receipt</x:v>
      </x:c>
      <x:c r="J99" s="17" t="n">
        <x:v>0</x:v>
      </x:c>
      <x:c r="K99" s="17" t="n">
        <x:v>87897</x:v>
      </x:c>
      <x:c r="L99" s="17" t="n">
        <x:v>87897</x:v>
      </x:c>
      <x:c r="M99" s="17" t="n">
        <x:v>325279</x:v>
      </x:c>
      <x:c r="N99" s="14" t="str">
        <x:v>Recurring Transaction</x:v>
      </x:c>
      <x:c r="O99" s="14" t="str">
        <x:v>Yes</x:v>
      </x:c>
      <x:c r="P99" s="14" t="str">
        <x:v>PINE LABS PRIVATE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99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NEFT-KKBKH26099766302-VENKTESHWAR INDUSTRIAL CORPO</x:v>
      </x:c>
      <x:c r="H100" s="14" t="str"/>
      <x:c r="I100" s="14" t="str">
        <x:v>Receipt</x:v>
      </x:c>
      <x:c r="J100" s="17" t="n">
        <x:v>0</x:v>
      </x:c>
      <x:c r="K100" s="17" t="n">
        <x:v>10000</x:v>
      </x:c>
      <x:c r="L100" s="17" t="n">
        <x:v>10000</x:v>
      </x:c>
      <x:c r="M100" s="17" t="n">
        <x:v>335279</x:v>
      </x:c>
      <x:c r="N100" s="14" t="str">
        <x:v>Recurring Transaction</x:v>
      </x:c>
      <x:c r="O100" s="14" t="str">
        <x:v>Yes</x:v>
      </x:c>
      <x:c r="P100" s="14" t="str">
        <x:v>VENKTESHWAR INDUSTRIAL CORPO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100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NEFT-NKGSH26099959094-GEBI PRODUCTS PRIVATE LIMITE</x:v>
      </x:c>
      <x:c r="H101" s="14" t="str"/>
      <x:c r="I101" s="14" t="str">
        <x:v>Receipt</x:v>
      </x:c>
      <x:c r="J101" s="17" t="n">
        <x:v>0</x:v>
      </x:c>
      <x:c r="K101" s="17" t="n">
        <x:v>2598</x:v>
      </x:c>
      <x:c r="L101" s="17" t="n">
        <x:v>2598</x:v>
      </x:c>
      <x:c r="M101" s="17" t="n">
        <x:v>337877</x:v>
      </x:c>
      <x:c r="N101" s="14" t="str">
        <x:v>Recurring Transaction</x:v>
      </x:c>
      <x:c r="O101" s="14" t="str">
        <x:v>Yes</x:v>
      </x:c>
      <x:c r="P101" s="14" t="str">
        <x:v>GEBI PRODUCTS PRIVATE LIMITE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101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IMPS/P2A/609918190676/VAKAS TEMPO SER/IMPSCNB9199</x:v>
      </x:c>
      <x:c r="H102" s="14" t="str"/>
      <x:c r="I102" s="14" t="str">
        <x:v>Receipt</x:v>
      </x:c>
      <x:c r="J102" s="17" t="n">
        <x:v>0</x:v>
      </x:c>
      <x:c r="K102" s="17" t="n">
        <x:v>44741</x:v>
      </x:c>
      <x:c r="L102" s="17" t="n">
        <x:v>44741</x:v>
      </x:c>
      <x:c r="M102" s="17" t="n">
        <x:v>382618</x:v>
      </x:c>
      <x:c r="N102" s="14" t="str">
        <x:v>Recurring Transaction</x:v>
      </x:c>
      <x:c r="O102" s="14" t="str">
        <x:v>Yes</x:v>
      </x:c>
      <x:c r="P102" s="14" t="str">
        <x:v>VAKAS TEMPO SER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102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EBANK:WIB/1503 EBANK:WIB/1503311707/Edfs</x:v>
      </x:c>
      <x:c r="H103" s="14" t="str"/>
      <x:c r="I103" s="14" t="str">
        <x:v>Payment</x:v>
      </x:c>
      <x:c r="J103" s="17" t="n">
        <x:v>380118</x:v>
      </x:c>
      <x:c r="K103" s="17" t="n">
        <x:v>0</x:v>
      </x:c>
      <x:c r="L103" s="17" t="n">
        <x:v>380118</x:v>
      </x:c>
      <x:c r="M103" s="17" t="n">
        <x:v>2500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103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https://cbdrpt101.bankofbaroda.co.in:22000/finbranch/arjspmorph/INFENG/tran_rpt.jsp?... 04-05-2026 NEFT-HDFCH00925247332-KAVITA ENTERPRISES</x:v>
      </x:c>
      <x:c r="H104" s="14" t="str"/>
      <x:c r="I104" s="14" t="str">
        <x:v>Receipt</x:v>
      </x:c>
      <x:c r="J104" s="17" t="n">
        <x:v>0</x:v>
      </x:c>
      <x:c r="K104" s="17" t="n">
        <x:v>63308</x:v>
      </x:c>
      <x:c r="L104" s="17" t="n">
        <x:v>63308</x:v>
      </x:c>
      <x:c r="M104" s="17" t="n">
        <x:v>65808</x:v>
      </x:c>
      <x:c r="N104" s="14" t="str">
        <x:v>Recurring Transaction</x:v>
      </x:c>
      <x:c r="O104" s="14" t="str">
        <x:v>Yes</x:v>
      </x:c>
      <x:c r="P104" s="14" t="str">
        <x:v>CBDRPTBANKOFBARODACOIN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104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46122</x:v>
      </x:c>
      <x:c r="F105" s="15" t="n">
        <x:v>46122</x:v>
      </x:c>
      <x:c r="G105" s="16" t="str">
        <x:v>DIGITA-MUMBAI/ NEFT-YESAP61002547485-PhonePe Limited</x:v>
      </x:c>
      <x:c r="H105" s="14" t="str"/>
      <x:c r="I105" s="14" t="str">
        <x:v>Receipt</x:v>
      </x:c>
      <x:c r="J105" s="17" t="n">
        <x:v>0</x:v>
      </x:c>
      <x:c r="K105" s="17" t="n">
        <x:v>310276</x:v>
      </x:c>
      <x:c r="L105" s="17" t="n">
        <x:v>310276</x:v>
      </x:c>
      <x:c r="M105" s="17" t="n">
        <x:v>376084</x:v>
      </x:c>
      <x:c r="N105" s="14" t="str">
        <x:v>High Transaction; Recurring Transaction</x:v>
      </x:c>
      <x:c r="O105" s="14" t="str">
        <x:v>Yes</x:v>
      </x:c>
      <x:c r="P105" s="14" t="str">
        <x:v>PHONEPE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46122</x:v>
      </x:c>
    </x:row>
    <x:row r="106">
      <x:c r="A106" s="14" t="n">
        <x:v>105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46122</x:v>
      </x:c>
      <x:c r="F106" s="15" t="n">
        <x:v>46122</x:v>
      </x:c>
      <x:c r="G106" s="16" t="str">
        <x:v>DIGITA-MUMBAI/ NEFT-AXNPN10069579474-PHONEPE LIMITED-PAYMENT AGGR</x:v>
      </x:c>
      <x:c r="H106" s="14" t="str"/>
      <x:c r="I106" s="14" t="str">
        <x:v>Receipt</x:v>
      </x:c>
      <x:c r="J106" s="17" t="n">
        <x:v>0</x:v>
      </x:c>
      <x:c r="K106" s="17" t="n">
        <x:v>59415</x:v>
      </x:c>
      <x:c r="L106" s="17" t="n">
        <x:v>59415</x:v>
      </x:c>
      <x:c r="M106" s="17" t="n">
        <x:v>435499</x:v>
      </x:c>
      <x:c r="N106" s="14" t="str">
        <x:v>Recurring Transaction</x:v>
      </x:c>
      <x:c r="O106" s="14" t="str">
        <x:v>Yes</x:v>
      </x:c>
      <x:c r="P106" s="14" t="str">
        <x:v>PHONEPE LIMITED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46122</x:v>
      </x:c>
    </x:row>
    <x:row r="107">
      <x:c r="A107" s="14" t="n">
        <x:v>106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46122</x:v>
      </x:c>
      <x:c r="F107" s="15" t="n">
        <x:v>46122</x:v>
      </x:c>
      <x:c r="G107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07" s="14" t="str"/>
      <x:c r="I107" s="14" t="str">
        <x:v>Payment</x:v>
      </x:c>
      <x:c r="J107" s="17" t="n">
        <x:v>432999</x:v>
      </x:c>
      <x:c r="K107" s="17" t="n">
        <x:v>0</x:v>
      </x:c>
      <x:c r="L107" s="17" t="n">
        <x:v>432999</x:v>
      </x:c>
      <x:c r="M107" s="17" t="n">
        <x:v>2500</x:v>
      </x:c>
      <x:c r="N107" s="14" t="str">
        <x:v>High Transaction; Recurring Transaction</x:v>
      </x:c>
      <x:c r="O107" s="14" t="str">
        <x:v>Yes</x:v>
      </x:c>
      <x:c r="P107" s="14" t="str">
        <x:v>EBANKWIB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46122</x:v>
      </x:c>
    </x:row>
    <x:row r="108">
      <x:c r="A108" s="14" t="n">
        <x:v>107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NEFT-AXISCN1307461851-ONE MOBIKWIK SYSTEMS LIMITED</x:v>
      </x:c>
      <x:c r="H108" s="14" t="str"/>
      <x:c r="I108" s="14" t="str">
        <x:v>Receipt</x:v>
      </x:c>
      <x:c r="J108" s="17" t="n">
        <x:v>0</x:v>
      </x:c>
      <x:c r="K108" s="17" t="n">
        <x:v>23400</x:v>
      </x:c>
      <x:c r="L108" s="17" t="n">
        <x:v>23400</x:v>
      </x:c>
      <x:c r="M108" s="17" t="n">
        <x:v>25900</x:v>
      </x:c>
      <x:c r="N108" s="14" t="str">
        <x:v>Recurring Transaction</x:v>
      </x:c>
      <x:c r="O108" s="14" t="str">
        <x:v>Yes</x:v>
      </x:c>
      <x:c r="P108" s="14" t="str">
        <x:v>ONE MOBIKWIK SYSTEMS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108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UPI/7501693995 69399505 UPI/750169399505/08:58:54/UPI/surajdhanotra1@ibl/</x:v>
      </x:c>
      <x:c r="H109" s="14" t="str"/>
      <x:c r="I109" s="14" t="str">
        <x:v>Receipt</x:v>
      </x:c>
      <x:c r="J109" s="17" t="n">
        <x:v>0</x:v>
      </x:c>
      <x:c r="K109" s="17" t="n">
        <x:v>3165</x:v>
      </x:c>
      <x:c r="L109" s="17" t="n">
        <x:v>3165</x:v>
      </x:c>
      <x:c r="M109" s="17" t="n">
        <x:v>29065</x:v>
      </x:c>
      <x:c r="N109" s="14" t="str">
        <x:v>UPI; Recurring Transaction</x:v>
      </x:c>
      <x:c r="O109" s="14" t="str">
        <x:v>Yes</x:v>
      </x:c>
      <x:c r="P109" s="14" t="str">
        <x:v>SURAJDHANOTRAIBL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109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DIGITA-MUMBAI/ NEFT-AXISCN1307585087-PINE LABS PRIVATE LIMITED-NO</x:v>
      </x:c>
      <x:c r="H110" s="14" t="str"/>
      <x:c r="I110" s="14" t="str">
        <x:v>Receipt</x:v>
      </x:c>
      <x:c r="J110" s="17" t="n">
        <x:v>0</x:v>
      </x:c>
      <x:c r="K110" s="17" t="n">
        <x:v>23121</x:v>
      </x:c>
      <x:c r="L110" s="17" t="n">
        <x:v>23121</x:v>
      </x:c>
      <x:c r="M110" s="17" t="n">
        <x:v>52186</x:v>
      </x:c>
      <x:c r="N110" s="14" t="str">
        <x:v>Recurring Transaction</x:v>
      </x:c>
      <x:c r="O110" s="14" t="str">
        <x:v>Yes</x:v>
      </x:c>
      <x:c r="P110" s="14" t="str">
        <x:v>PINE LABS PRIVATE LIMITED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110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EBANK:WIB/1503 EBANK:WIB/1503385381/Edfs</x:v>
      </x:c>
      <x:c r="H111" s="14" t="str"/>
      <x:c r="I111" s="14" t="str">
        <x:v>Payment</x:v>
      </x:c>
      <x:c r="J111" s="17" t="n">
        <x:v>49686</x:v>
      </x:c>
      <x:c r="K111" s="17" t="n">
        <x:v>0</x:v>
      </x:c>
      <x:c r="L111" s="17" t="n">
        <x:v>49686</x:v>
      </x:c>
      <x:c r="M111" s="17" t="n">
        <x:v>2500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111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DIGITA-MUMBAI/ NEFT-NKGSH26100973635-GEBI PRODUCTS PRIVATE LIMITE</x:v>
      </x:c>
      <x:c r="H112" s="14" t="str"/>
      <x:c r="I112" s="14" t="str">
        <x:v>Receipt</x:v>
      </x:c>
      <x:c r="J112" s="17" t="n">
        <x:v>0</x:v>
      </x:c>
      <x:c r="K112" s="17" t="n">
        <x:v>5273</x:v>
      </x:c>
      <x:c r="L112" s="17" t="n">
        <x:v>5273</x:v>
      </x:c>
      <x:c r="M112" s="17" t="n">
        <x:v>7773</x:v>
      </x:c>
      <x:c r="N112" s="14" t="str">
        <x:v>Recurring Transaction</x:v>
      </x:c>
      <x:c r="O112" s="14" t="str">
        <x:v>Yes</x:v>
      </x:c>
      <x:c r="P112" s="14" t="str">
        <x:v>GEBI PRODUCTS PRIVATE LIMITE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112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NEFT-KKBKH26100693248-ATLAS COMMODITIES PRIVATE LI</x:v>
      </x:c>
      <x:c r="H113" s="14" t="str"/>
      <x:c r="I113" s="14" t="str">
        <x:v>Receipt</x:v>
      </x:c>
      <x:c r="J113" s="17" t="n">
        <x:v>0</x:v>
      </x:c>
      <x:c r="K113" s="17" t="n">
        <x:v>7922</x:v>
      </x:c>
      <x:c r="L113" s="17" t="n">
        <x:v>7922</x:v>
      </x:c>
      <x:c r="M113" s="17" t="n">
        <x:v>15695</x:v>
      </x:c>
      <x:c r="N113" s="14" t="str">
        <x:v>Recurring Transaction</x:v>
      </x:c>
      <x:c r="O113" s="14" t="str">
        <x:v>Yes</x:v>
      </x:c>
      <x:c r="P113" s="14" t="str">
        <x:v>ATLAS COMMODITIES PRIVATE LI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113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UPI/6100342974 34297402 UPI/610034297402/20:16:31/UPI/917348832012@waaxis</x:v>
      </x:c>
      <x:c r="H114" s="14" t="str"/>
      <x:c r="I114" s="14" t="str">
        <x:v>Receipt</x:v>
      </x:c>
      <x:c r="J114" s="17" t="n">
        <x:v>0</x:v>
      </x:c>
      <x:c r="K114" s="17" t="n">
        <x:v>220</x:v>
      </x:c>
      <x:c r="L114" s="17" t="n">
        <x:v>220</x:v>
      </x:c>
      <x:c r="M114" s="17" t="n">
        <x:v>15915</x:v>
      </x:c>
      <x:c r="N114" s="14" t="str">
        <x:v>UPI</x:v>
      </x:c>
      <x:c r="O114" s="14" t="str">
        <x:v>No</x:v>
      </x:c>
      <x:c r="P114" s="14" t="str">
        <x:v>UPI/# # UPI/#/#:#:#/UPI/#@WAAXIS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114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DIGITA-MUMBAI/ NEFT-YESAP61011187841-PhonePe Limited</x:v>
      </x:c>
      <x:c r="H115" s="14" t="str"/>
      <x:c r="I115" s="14" t="str">
        <x:v>Receipt</x:v>
      </x:c>
      <x:c r="J115" s="17" t="n">
        <x:v>0</x:v>
      </x:c>
      <x:c r="K115" s="17" t="n">
        <x:v>217794</x:v>
      </x:c>
      <x:c r="L115" s="17" t="n">
        <x:v>217794</x:v>
      </x:c>
      <x:c r="M115" s="17" t="n">
        <x:v>233709</x:v>
      </x:c>
      <x:c r="N115" s="14" t="str">
        <x:v>High Transaction; Recurring Transaction</x:v>
      </x:c>
      <x:c r="O115" s="14" t="str">
        <x:v>Yes</x:v>
      </x:c>
      <x:c r="P115" s="14" t="str">
        <x:v>PHONEPE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115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DIGITA-MUMBAI/ IMPS/P2A/610106994638/VILLAGE STONE L/Diesel for</x:v>
      </x:c>
      <x:c r="H116" s="14" t="str"/>
      <x:c r="I116" s="14" t="str">
        <x:v>Receipt</x:v>
      </x:c>
      <x:c r="J116" s="17" t="n">
        <x:v>0</x:v>
      </x:c>
      <x:c r="K116" s="17" t="n">
        <x:v>58786</x:v>
      </x:c>
      <x:c r="L116" s="17" t="n">
        <x:v>58786</x:v>
      </x:c>
      <x:c r="M116" s="17" t="n">
        <x:v>292495</x:v>
      </x:c>
      <x:c r="N116" s="14" t="str">
        <x:v>Recurring Transaction</x:v>
      </x:c>
      <x:c r="O116" s="14" t="str">
        <x:v>Yes</x:v>
      </x:c>
      <x:c r="P116" s="14" t="str">
        <x:v>VILLAGE STONE L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116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DIGITA-MUMBAI/ NEFT-AXNPN10178417072-PHONEPE LIMITED-PAYMENT AGGR</x:v>
      </x:c>
      <x:c r="H117" s="14" t="str"/>
      <x:c r="I117" s="14" t="str">
        <x:v>Receipt</x:v>
      </x:c>
      <x:c r="J117" s="17" t="n">
        <x:v>0</x:v>
      </x:c>
      <x:c r="K117" s="17" t="n">
        <x:v>66738</x:v>
      </x:c>
      <x:c r="L117" s="17" t="n">
        <x:v>66738</x:v>
      </x:c>
      <x:c r="M117" s="17" t="n">
        <x:v>359233</x:v>
      </x:c>
      <x:c r="N117" s="14" t="str">
        <x:v>Recurring Transaction</x:v>
      </x:c>
      <x:c r="O117" s="14" t="str">
        <x:v>Yes</x:v>
      </x:c>
      <x:c r="P117" s="14" t="str">
        <x:v>PHONEPE LIMITED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117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NEFT-AXISCN1308590377-ONE MOBIKWIK SYSTEMS LIMITED</x:v>
      </x:c>
      <x:c r="H118" s="14" t="str"/>
      <x:c r="I118" s="14" t="str">
        <x:v>Receipt</x:v>
      </x:c>
      <x:c r="J118" s="17" t="n">
        <x:v>0</x:v>
      </x:c>
      <x:c r="K118" s="17" t="n">
        <x:v>28720</x:v>
      </x:c>
      <x:c r="L118" s="17" t="n">
        <x:v>28720</x:v>
      </x:c>
      <x:c r="M118" s="17" t="n">
        <x:v>387953</x:v>
      </x:c>
      <x:c r="N118" s="14" t="str">
        <x:v>Recurring Transaction</x:v>
      </x:c>
      <x:c r="O118" s="14" t="str">
        <x:v>Yes</x:v>
      </x:c>
      <x:c r="P118" s="14" t="str">
        <x:v>ONE MOBIKWIK SYSTEMS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118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NEFT-AXISCN1308614930-PINE LABS PRIVATE LIMITED-NO</x:v>
      </x:c>
      <x:c r="H119" s="14" t="str"/>
      <x:c r="I119" s="14" t="str">
        <x:v>Receipt</x:v>
      </x:c>
      <x:c r="J119" s="17" t="n">
        <x:v>0</x:v>
      </x:c>
      <x:c r="K119" s="17" t="n">
        <x:v>92275</x:v>
      </x:c>
      <x:c r="L119" s="17" t="n">
        <x:v>92275</x:v>
      </x:c>
      <x:c r="M119" s="17" t="n">
        <x:v>480228</x:v>
      </x:c>
      <x:c r="N119" s="14" t="str">
        <x:v>Recurring Transaction</x:v>
      </x:c>
      <x:c r="O119" s="14" t="str">
        <x:v>Yes</x:v>
      </x:c>
      <x:c r="P119" s="14" t="str">
        <x:v>PINE LABS PRIVATE LIMITED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119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IMPS/P2A/610111544975/OMSANITRANSPORT/Diesel bill</x:v>
      </x:c>
      <x:c r="H120" s="14" t="str"/>
      <x:c r="I120" s="14" t="str">
        <x:v>Receipt</x:v>
      </x:c>
      <x:c r="J120" s="17" t="n">
        <x:v>0</x:v>
      </x:c>
      <x:c r="K120" s="17" t="n">
        <x:v>25996</x:v>
      </x:c>
      <x:c r="L120" s="17" t="n">
        <x:v>25996</x:v>
      </x:c>
      <x:c r="M120" s="17" t="n">
        <x:v>506224</x:v>
      </x:c>
      <x:c r="N120" s="14" t="str">
        <x:v>Recurring Transaction</x:v>
      </x:c>
      <x:c r="O120" s="14" t="str">
        <x:v>Yes</x:v>
      </x:c>
      <x:c r="P120" s="14" t="str">
        <x:v>OMSANITRANSPORT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120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EBANK:15035434 EBANK:1503543462/MSEDCL-LT Post Paid Energy Bill/</x:v>
      </x:c>
      <x:c r="H121" s="14" t="str"/>
      <x:c r="I121" s="14" t="str">
        <x:v>Payment</x:v>
      </x:c>
      <x:c r="J121" s="17" t="n">
        <x:v>28890</x:v>
      </x:c>
      <x:c r="K121" s="17" t="n">
        <x:v>0</x:v>
      </x:c>
      <x:c r="L121" s="17" t="n">
        <x:v>28890</x:v>
      </x:c>
      <x:c r="M121" s="17" t="n">
        <x:v>477334</x:v>
      </x:c>
      <x:c r="N121" s="14" t="str">
        <x:v>Recurring Transaction</x:v>
      </x:c>
      <x:c r="O121" s="14" t="str">
        <x:v>Yes</x:v>
      </x:c>
      <x:c r="P121" s="14" t="str">
        <x:v>EBANK EBANK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121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EBANK:15035448 EBANK:1503544838/MSEDCL-LT Post Paid Energy Bill/</x:v>
      </x:c>
      <x:c r="H122" s="14" t="str"/>
      <x:c r="I122" s="14" t="str">
        <x:v>Payment</x:v>
      </x:c>
      <x:c r="J122" s="17" t="n">
        <x:v>390</x:v>
      </x:c>
      <x:c r="K122" s="17" t="n">
        <x:v>0</x:v>
      </x:c>
      <x:c r="L122" s="17" t="n">
        <x:v>390</x:v>
      </x:c>
      <x:c r="M122" s="17" t="n">
        <x:v>476944</x:v>
      </x:c>
      <x:c r="N122" s="14" t="str">
        <x:v>Recurring Transaction</x:v>
      </x:c>
      <x:c r="O122" s="14" t="str">
        <x:v>Yes</x:v>
      </x:c>
      <x:c r="P122" s="14" t="str">
        <x:v>EBANK EBANK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122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3" s="14" t="str"/>
      <x:c r="I123" s="14" t="str">
        <x:v>Payment</x:v>
      </x:c>
      <x:c r="J123" s="17" t="n">
        <x:v>3050</x:v>
      </x:c>
      <x:c r="K123" s="17" t="n">
        <x:v>0</x:v>
      </x:c>
      <x:c r="L123" s="17" t="n">
        <x:v>3050</x:v>
      </x:c>
      <x:c r="M123" s="17" t="n">
        <x:v>473894</x:v>
      </x:c>
      <x:c r="N123" s="14" t="str">
        <x:v>Other</x:v>
      </x:c>
      <x:c r="O123" s="14" t="str">
        <x:v>No</x:v>
      </x:c>
      <x:c r="P123" s="14" t="str">
        <x:v>PAGE TOTAL   CR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123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MBK/6101209159 20915913 MBK/610120915913/11:38:06/</x:v>
      </x:c>
      <x:c r="H124" s="14" t="str"/>
      <x:c r="I124" s="14" t="str">
        <x:v>Payment</x:v>
      </x:c>
      <x:c r="J124" s="17" t="n">
        <x:v>2510</x:v>
      </x:c>
      <x:c r="K124" s="17" t="n">
        <x:v>0</x:v>
      </x:c>
      <x:c r="L124" s="17" t="n">
        <x:v>2510</x:v>
      </x:c>
      <x:c r="M124" s="17" t="n">
        <x:v>471384</x:v>
      </x:c>
      <x:c r="N124" s="14" t="str">
        <x:v>Other</x:v>
      </x:c>
      <x:c r="O124" s="14" t="str">
        <x:v>No</x:v>
      </x:c>
      <x:c r="P124" s="14" t="str">
        <x:v>MBK/# # MBK/#/#:#:#/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124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Charges for Charges for PORD Customer Payment :003578211236</x:v>
      </x:c>
      <x:c r="H125" s="14" t="str"/>
      <x:c r="I125" s="14" t="str">
        <x:v>Payment</x:v>
      </x:c>
      <x:c r="J125" s="17" t="n">
        <x:v>2.65</x:v>
      </x:c>
      <x:c r="K125" s="17" t="n">
        <x:v>0</x:v>
      </x:c>
      <x:c r="L125" s="17" t="n">
        <x:v>2.65</x:v>
      </x:c>
      <x:c r="M125" s="17" t="n">
        <x:v>471381.35</x:v>
      </x:c>
      <x:c r="N125" s="14" t="str">
        <x:v>Recurring Transaction</x:v>
      </x:c>
      <x:c r="O125" s="14" t="str">
        <x:v>Yes</x:v>
      </x:c>
      <x:c r="P125" s="14" t="str">
        <x:v>CHARGES FOR CHARGES FOR PORD CUSTOMER PA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125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NEFT-BARBS2610 NEFT-BARBS26101208027-K M SATISH-INDUSIND BANK LTD</x:v>
      </x:c>
      <x:c r="H126" s="14" t="str"/>
      <x:c r="I126" s="14" t="str">
        <x:v>Payment</x:v>
      </x:c>
      <x:c r="J126" s="17" t="n">
        <x:v>8334</x:v>
      </x:c>
      <x:c r="K126" s="17" t="n">
        <x:v>0</x:v>
      </x:c>
      <x:c r="L126" s="17" t="n">
        <x:v>8334</x:v>
      </x:c>
      <x:c r="M126" s="17" t="n">
        <x:v>463047.35</x:v>
      </x:c>
      <x:c r="N126" s="14" t="str">
        <x:v>Recurring Transaction</x:v>
      </x:c>
      <x:c r="O126" s="14" t="str">
        <x:v>Yes</x:v>
      </x:c>
      <x:c r="P126" s="14" t="str">
        <x:v>BARBS NEFT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126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Charges for Charges for PORD Customer Payment :003578211551</x:v>
      </x:c>
      <x:c r="H127" s="14" t="str"/>
      <x:c r="I127" s="14" t="str">
        <x:v>Payment</x:v>
      </x:c>
      <x:c r="J127" s="17" t="n">
        <x:v>5.6</x:v>
      </x:c>
      <x:c r="K127" s="17" t="n">
        <x:v>0</x:v>
      </x:c>
      <x:c r="L127" s="17" t="n">
        <x:v>5.6</x:v>
      </x:c>
      <x:c r="M127" s="17" t="n">
        <x:v>463041.75</x:v>
      </x:c>
      <x:c r="N127" s="14" t="str">
        <x:v>Recurring Transaction</x:v>
      </x:c>
      <x:c r="O127" s="14" t="str">
        <x:v>Yes</x:v>
      </x:c>
      <x:c r="P127" s="14" t="str">
        <x:v>CHARGES FOR CHARGES FOR PORD CUSTOMER PA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127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NEFT-BARBS2610 NEFT-BARBS26101208233-AKASH C SHELAR-BASSEIN CATHO</x:v>
      </x:c>
      <x:c r="H128" s="14" t="str"/>
      <x:c r="I128" s="14" t="str">
        <x:v>Payment</x:v>
      </x:c>
      <x:c r="J128" s="17" t="n">
        <x:v>16015</x:v>
      </x:c>
      <x:c r="K128" s="17" t="n">
        <x:v>0</x:v>
      </x:c>
      <x:c r="L128" s="17" t="n">
        <x:v>16015</x:v>
      </x:c>
      <x:c r="M128" s="17" t="n">
        <x:v>447026.75</x:v>
      </x:c>
      <x:c r="N128" s="14" t="str">
        <x:v>Recurring Transaction</x:v>
      </x:c>
      <x:c r="O128" s="14" t="str">
        <x:v>Yes</x:v>
      </x:c>
      <x:c r="P128" s="14" t="str">
        <x:v>BARBS NEFT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128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Charges for Charges for PORD Customer Payment :003578211732</x:v>
      </x:c>
      <x:c r="H129" s="14" t="str"/>
      <x:c r="I129" s="14" t="str">
        <x:v>Payment</x:v>
      </x:c>
      <x:c r="J129" s="17" t="n">
        <x:v>5.6</x:v>
      </x:c>
      <x:c r="K129" s="17" t="n">
        <x:v>0</x:v>
      </x:c>
      <x:c r="L129" s="17" t="n">
        <x:v>5.6</x:v>
      </x:c>
      <x:c r="M129" s="17" t="n">
        <x:v>447021.15</x:v>
      </x:c>
      <x:c r="N129" s="14" t="str">
        <x:v>Recurring Transaction</x:v>
      </x:c>
      <x:c r="O129" s="14" t="str">
        <x:v>Yes</x:v>
      </x:c>
      <x:c r="P129" s="14" t="str">
        <x:v>CHARGES FOR CHARGES FOR PORD CUSTOMER PA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129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NEFT-BARBS2610 NEFT-BARBS26101208696-MOHAMMOD TAUSIF-BASSEIN CATH</x:v>
      </x:c>
      <x:c r="H130" s="14" t="str"/>
      <x:c r="I130" s="14" t="str">
        <x:v>Payment</x:v>
      </x:c>
      <x:c r="J130" s="17" t="n">
        <x:v>12121</x:v>
      </x:c>
      <x:c r="K130" s="17" t="n">
        <x:v>0</x:v>
      </x:c>
      <x:c r="L130" s="17" t="n">
        <x:v>12121</x:v>
      </x:c>
      <x:c r="M130" s="17" t="n">
        <x:v>434900.15</x:v>
      </x:c>
      <x:c r="N130" s="14" t="str">
        <x:v>Recurring Transaction</x:v>
      </x:c>
      <x:c r="O130" s="14" t="str">
        <x:v>Yes</x:v>
      </x:c>
      <x:c r="P130" s="14" t="str">
        <x:v>BARBS NEFT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130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Charges for Charges for PORD Customer Payment :003578213822</x:v>
      </x:c>
      <x:c r="H131" s="14" t="str"/>
      <x:c r="I131" s="14" t="str">
        <x:v>Payment</x:v>
      </x:c>
      <x:c r="J131" s="17" t="n">
        <x:v>5.6</x:v>
      </x:c>
      <x:c r="K131" s="17" t="n">
        <x:v>0</x:v>
      </x:c>
      <x:c r="L131" s="17" t="n">
        <x:v>5.6</x:v>
      </x:c>
      <x:c r="M131" s="17" t="n">
        <x:v>434894.55</x:v>
      </x:c>
      <x:c r="N131" s="14" t="str">
        <x:v>Recurring Transaction</x:v>
      </x:c>
      <x:c r="O131" s="14" t="str">
        <x:v>Yes</x:v>
      </x:c>
      <x:c r="P131" s="14" t="str">
        <x:v>CHARGES FOR CHARGES FOR PORD CUSTOMER PA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131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NEFT-BARBS2610 NEFT-BARBS26101210180-BRIJESH VIPATI KUMAR-BANK OF</x:v>
      </x:c>
      <x:c r="H132" s="14" t="str"/>
      <x:c r="I132" s="14" t="str">
        <x:v>Payment</x:v>
      </x:c>
      <x:c r="J132" s="17" t="n">
        <x:v>12121</x:v>
      </x:c>
      <x:c r="K132" s="17" t="n">
        <x:v>0</x:v>
      </x:c>
      <x:c r="L132" s="17" t="n">
        <x:v>12121</x:v>
      </x:c>
      <x:c r="M132" s="17" t="n">
        <x:v>422773.55</x:v>
      </x:c>
      <x:c r="N132" s="14" t="str">
        <x:v>Recurring Transaction</x:v>
      </x:c>
      <x:c r="O132" s="14" t="str">
        <x:v>Yes</x:v>
      </x:c>
      <x:c r="P132" s="14" t="str">
        <x:v>BARBS NEFT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132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Charges for Charges for PORD Customer Payment :003578219698</x:v>
      </x:c>
      <x:c r="H133" s="14" t="str"/>
      <x:c r="I133" s="14" t="str">
        <x:v>Payment</x:v>
      </x:c>
      <x:c r="J133" s="17" t="n">
        <x:v>5.6</x:v>
      </x:c>
      <x:c r="K133" s="17" t="n">
        <x:v>0</x:v>
      </x:c>
      <x:c r="L133" s="17" t="n">
        <x:v>5.6</x:v>
      </x:c>
      <x:c r="M133" s="17" t="n">
        <x:v>422767.95</x:v>
      </x:c>
      <x:c r="N133" s="14" t="str">
        <x:v>Recurring Transaction</x:v>
      </x:c>
      <x:c r="O133" s="14" t="str">
        <x:v>Yes</x:v>
      </x:c>
      <x:c r="P133" s="14" t="str">
        <x:v>CHARGES FOR CHARGES FOR PORD CUSTOMER PA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133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NEFT-BARBS2610 NEFT-BARBS26101211344-PRAVINKUMAR RAMDHULLAR-BASSE</x:v>
      </x:c>
      <x:c r="H134" s="14" t="str"/>
      <x:c r="I134" s="14" t="str">
        <x:v>Payment</x:v>
      </x:c>
      <x:c r="J134" s="17" t="n">
        <x:v>12121</x:v>
      </x:c>
      <x:c r="K134" s="17" t="n">
        <x:v>0</x:v>
      </x:c>
      <x:c r="L134" s="17" t="n">
        <x:v>12121</x:v>
      </x:c>
      <x:c r="M134" s="17" t="n">
        <x:v>410646.95</x:v>
      </x:c>
      <x:c r="N134" s="14" t="str">
        <x:v>Recurring Transaction</x:v>
      </x:c>
      <x:c r="O134" s="14" t="str">
        <x:v>Yes</x:v>
      </x:c>
      <x:c r="P134" s="14" t="str">
        <x:v>BARBS NEFT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134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Charges for Charges for PORD Customer Payment :003578224246</x:v>
      </x:c>
      <x:c r="H135" s="14" t="str"/>
      <x:c r="I135" s="14" t="str">
        <x:v>Payment</x:v>
      </x:c>
      <x:c r="J135" s="17" t="n">
        <x:v>5.6</x:v>
      </x:c>
      <x:c r="K135" s="17" t="n">
        <x:v>0</x:v>
      </x:c>
      <x:c r="L135" s="17" t="n">
        <x:v>5.6</x:v>
      </x:c>
      <x:c r="M135" s="17" t="n">
        <x:v>410641.35</x:v>
      </x:c>
      <x:c r="N135" s="14" t="str">
        <x:v>Recurring Transaction</x:v>
      </x:c>
      <x:c r="O135" s="14" t="str">
        <x:v>Yes</x:v>
      </x:c>
      <x:c r="P135" s="14" t="str">
        <x:v>CHARGES FOR CHARGES FOR PORD CUSTOMER PA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135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NEFT-BARBS2610 NEFT-BARBS26101225998-GOVIND KUMAR JAISWAL-UNION B</x:v>
      </x:c>
      <x:c r="H136" s="14" t="str"/>
      <x:c r="I136" s="14" t="str">
        <x:v>Payment</x:v>
      </x:c>
      <x:c r="J136" s="17" t="n">
        <x:v>12121</x:v>
      </x:c>
      <x:c r="K136" s="17" t="n">
        <x:v>0</x:v>
      </x:c>
      <x:c r="L136" s="17" t="n">
        <x:v>12121</x:v>
      </x:c>
      <x:c r="M136" s="17" t="n">
        <x:v>398520.35</x:v>
      </x:c>
      <x:c r="N136" s="14" t="str">
        <x:v>Recurring Transaction</x:v>
      </x:c>
      <x:c r="O136" s="14" t="str">
        <x:v>Yes</x:v>
      </x:c>
      <x:c r="P136" s="14" t="str">
        <x:v>BARBS NEFT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136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Charges for Charges for PORD Customer Payment :003578239489</x:v>
      </x:c>
      <x:c r="H137" s="14" t="str"/>
      <x:c r="I137" s="14" t="str">
        <x:v>Payment</x:v>
      </x:c>
      <x:c r="J137" s="17" t="n">
        <x:v>5.6</x:v>
      </x:c>
      <x:c r="K137" s="17" t="n">
        <x:v>0</x:v>
      </x:c>
      <x:c r="L137" s="17" t="n">
        <x:v>5.6</x:v>
      </x:c>
      <x:c r="M137" s="17" t="n">
        <x:v>398514.75</x:v>
      </x:c>
      <x:c r="N137" s="14" t="str">
        <x:v>Recurring Transaction</x:v>
      </x:c>
      <x:c r="O137" s="14" t="str">
        <x:v>Yes</x:v>
      </x:c>
      <x:c r="P137" s="14" t="str">
        <x:v>CHARGES FOR CHARGES FOR PORD CUSTOMER PA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137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NEFT-BARBS2610 NEFT-BARBS26101235271-RAJMANI PP-UNION BANK OF IND</x:v>
      </x:c>
      <x:c r="H138" s="14" t="str"/>
      <x:c r="I138" s="14" t="str">
        <x:v>Payment</x:v>
      </x:c>
      <x:c r="J138" s="17" t="n">
        <x:v>12121</x:v>
      </x:c>
      <x:c r="K138" s="17" t="n">
        <x:v>0</x:v>
      </x:c>
      <x:c r="L138" s="17" t="n">
        <x:v>12121</x:v>
      </x:c>
      <x:c r="M138" s="17" t="n">
        <x:v>386393.75</x:v>
      </x:c>
      <x:c r="N138" s="14" t="str">
        <x:v>Recurring Transaction</x:v>
      </x:c>
      <x:c r="O138" s="14" t="str">
        <x:v>Yes</x:v>
      </x:c>
      <x:c r="P138" s="14" t="str">
        <x:v>BARBS NEFT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138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39" s="14" t="str"/>
      <x:c r="I139" s="14" t="str">
        <x:v>Payment</x:v>
      </x:c>
      <x:c r="J139" s="17" t="n">
        <x:v>5.6</x:v>
      </x:c>
      <x:c r="K139" s="17" t="n">
        <x:v>0</x:v>
      </x:c>
      <x:c r="L139" s="17" t="n">
        <x:v>5.6</x:v>
      </x:c>
      <x:c r="M139" s="17" t="n">
        <x:v>386388.15</x:v>
      </x:c>
      <x:c r="N139" s="14" t="str">
        <x:v>Other</x:v>
      </x:c>
      <x:c r="O139" s="14" t="str">
        <x:v>No</x:v>
      </x:c>
      <x:c r="P139" s="14" t="str">
        <x:v>CHARGES FOR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139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NEFT-BARBS2610 NEFT-BARBS26101235444-SHIV PRASAD RAM DHANI-BASSEI</x:v>
      </x:c>
      <x:c r="H140" s="14" t="str"/>
      <x:c r="I140" s="14" t="str">
        <x:v>Payment</x:v>
      </x:c>
      <x:c r="J140" s="17" t="n">
        <x:v>12121</x:v>
      </x:c>
      <x:c r="K140" s="17" t="n">
        <x:v>0</x:v>
      </x:c>
      <x:c r="L140" s="17" t="n">
        <x:v>12121</x:v>
      </x:c>
      <x:c r="M140" s="17" t="n">
        <x:v>374267.15</x:v>
      </x:c>
      <x:c r="N140" s="14" t="str">
        <x:v>Recurring Transaction</x:v>
      </x:c>
      <x:c r="O140" s="14" t="str">
        <x:v>Yes</x:v>
      </x:c>
      <x:c r="P140" s="14" t="str">
        <x:v>BARBS NEFT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140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EBANK:WIB/1503 EBANK:WIB/1503559058/Edfs</x:v>
      </x:c>
      <x:c r="H141" s="14" t="str"/>
      <x:c r="I141" s="14" t="str">
        <x:v>Payment</x:v>
      </x:c>
      <x:c r="J141" s="17" t="n">
        <x:v>353767.15</x:v>
      </x:c>
      <x:c r="K141" s="17" t="n">
        <x:v>0</x:v>
      </x:c>
      <x:c r="L141" s="17" t="n">
        <x:v>353767.15</x:v>
      </x:c>
      <x:c r="M141" s="17" t="n">
        <x:v>20500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141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DIGITA-MUMBAI/ NEFT-IN42610154526147-MITA FASTENERS PRIVATE LIMIT</x:v>
      </x:c>
      <x:c r="H142" s="14" t="str"/>
      <x:c r="I142" s="14" t="str">
        <x:v>Receipt</x:v>
      </x:c>
      <x:c r="J142" s="17" t="n">
        <x:v>0</x:v>
      </x:c>
      <x:c r="K142" s="17" t="n">
        <x:v>9044</x:v>
      </x:c>
      <x:c r="L142" s="17" t="n">
        <x:v>9044</x:v>
      </x:c>
      <x:c r="M142" s="17" t="n">
        <x:v>29544</x:v>
      </x:c>
      <x:c r="N142" s="14" t="str">
        <x:v>Recurring Transaction</x:v>
      </x:c>
      <x:c r="O142" s="14" t="str">
        <x:v>Yes</x:v>
      </x:c>
      <x:c r="P142" s="14" t="str">
        <x:v>MITA FASTENERS PRIVATE LIMIT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142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UPI/3316762170 76217092 UPI/331676217092/17:08:51/UPI/surajdhanotra1@ibl/ https://cbdrpt101.bankofbaroda.co.in:22000/finbranch/arjspmorph/INFENG/tran_rpt.jsp?... 04-05-2026</x:v>
      </x:c>
      <x:c r="H143" s="14" t="str"/>
      <x:c r="I143" s="14" t="str">
        <x:v>Receipt</x:v>
      </x:c>
      <x:c r="J143" s="17" t="n">
        <x:v>0</x:v>
      </x:c>
      <x:c r="K143" s="17" t="n">
        <x:v>1808</x:v>
      </x:c>
      <x:c r="L143" s="17" t="n">
        <x:v>1808</x:v>
      </x:c>
      <x:c r="M143" s="17" t="n">
        <x:v>31352</x:v>
      </x:c>
      <x:c r="N143" s="14" t="str">
        <x:v>UPI; Recurring Transaction</x:v>
      </x:c>
      <x:c r="O143" s="14" t="str">
        <x:v>Yes</x:v>
      </x:c>
      <x:c r="P143" s="14" t="str">
        <x:v>SURAJDHANOTRAIBL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143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46124</x:v>
      </x:c>
      <x:c r="F144" s="15" t="n">
        <x:v>46124</x:v>
      </x:c>
      <x:c r="G144" s="16" t="str">
        <x:v>DIGITA-MUMBAI/ NEFT-YESAP61023739033-PhonePe Limited</x:v>
      </x:c>
      <x:c r="H144" s="14" t="str"/>
      <x:c r="I144" s="14" t="str">
        <x:v>Receipt</x:v>
      </x:c>
      <x:c r="J144" s="17" t="n">
        <x:v>0</x:v>
      </x:c>
      <x:c r="K144" s="17" t="n">
        <x:v>316091.5</x:v>
      </x:c>
      <x:c r="L144" s="17" t="n">
        <x:v>316091.5</x:v>
      </x:c>
      <x:c r="M144" s="17" t="n">
        <x:v>347443.5</x:v>
      </x:c>
      <x:c r="N144" s="14" t="str">
        <x:v>High Transaction; Recurring Transaction</x:v>
      </x:c>
      <x:c r="O144" s="14" t="str">
        <x:v>Yes</x:v>
      </x:c>
      <x:c r="P144" s="14" t="str">
        <x:v>PHONEPE LIMITED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46124</x:v>
      </x:c>
    </x:row>
    <x:row r="145">
      <x:c r="A145" s="14" t="n">
        <x:v>144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46124</x:v>
      </x:c>
      <x:c r="F145" s="15" t="n">
        <x:v>46124</x:v>
      </x:c>
      <x:c r="G145" s="16" t="str">
        <x:v>DIGITA-MUMBAI/ NEFT-AXNPN10286711573-PHONEPE LIMITED-PAYMENT AGGR</x:v>
      </x:c>
      <x:c r="H145" s="14" t="str"/>
      <x:c r="I145" s="14" t="str">
        <x:v>Receipt</x:v>
      </x:c>
      <x:c r="J145" s="17" t="n">
        <x:v>0</x:v>
      </x:c>
      <x:c r="K145" s="17" t="n">
        <x:v>74921.89</x:v>
      </x:c>
      <x:c r="L145" s="17" t="n">
        <x:v>74921.89</x:v>
      </x:c>
      <x:c r="M145" s="17" t="n">
        <x:v>422365.39</x:v>
      </x:c>
      <x:c r="N145" s="14" t="str">
        <x:v>Recurring Transaction</x:v>
      </x:c>
      <x:c r="O145" s="14" t="str">
        <x:v>Yes</x:v>
      </x:c>
      <x:c r="P145" s="14" t="str">
        <x:v>PHONEPE LIMITED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46124</x:v>
      </x:c>
    </x:row>
    <x:row r="146">
      <x:c r="A146" s="14" t="n">
        <x:v>145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46124</x:v>
      </x:c>
      <x:c r="F146" s="15" t="n">
        <x:v>46124</x:v>
      </x:c>
      <x:c r="G146" s="16" t="str">
        <x:v>DIGITA-MUMBAI/ NEFT-AXISCN1309251605-ONE MOBIKWIK SYSTEMS LIMITED</x:v>
      </x:c>
      <x:c r="H146" s="14" t="str"/>
      <x:c r="I146" s="14" t="str">
        <x:v>Receipt</x:v>
      </x:c>
      <x:c r="J146" s="17" t="n">
        <x:v>0</x:v>
      </x:c>
      <x:c r="K146" s="17" t="n">
        <x:v>16623</x:v>
      </x:c>
      <x:c r="L146" s="17" t="n">
        <x:v>16623</x:v>
      </x:c>
      <x:c r="M146" s="17" t="n">
        <x:v>438988.39</x:v>
      </x:c>
      <x:c r="N146" s="14" t="str">
        <x:v>Recurring Transaction</x:v>
      </x:c>
      <x:c r="O146" s="14" t="str">
        <x:v>Yes</x:v>
      </x:c>
      <x:c r="P146" s="14" t="str">
        <x:v>ONE MOBIKWIK SYSTEMS LIMITED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46124</x:v>
      </x:c>
    </x:row>
    <x:row r="147">
      <x:c r="A147" s="14" t="n">
        <x:v>146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IMPS/P2A/610211578843/SHREE GANESH EN/billVVS9100</x:v>
      </x:c>
      <x:c r="H147" s="14" t="str"/>
      <x:c r="I147" s="14" t="str">
        <x:v>Receipt</x:v>
      </x:c>
      <x:c r="J147" s="17" t="n">
        <x:v>0</x:v>
      </x:c>
      <x:c r="K147" s="17" t="n">
        <x:v>63308</x:v>
      </x:c>
      <x:c r="L147" s="17" t="n">
        <x:v>63308</x:v>
      </x:c>
      <x:c r="M147" s="17" t="n">
        <x:v>502296.39</x:v>
      </x:c>
      <x:c r="N147" s="14" t="str">
        <x:v>Recurring Transaction</x:v>
      </x:c>
      <x:c r="O147" s="14" t="str">
        <x:v>Yes</x:v>
      </x:c>
      <x:c r="P147" s="14" t="str">
        <x:v>SHREE GANESH EN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147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UPI/8741236018 23601815 UPI/874123601815/12:37:26/UPI/surajdhanotra1@ibl/</x:v>
      </x:c>
      <x:c r="H148" s="14" t="str"/>
      <x:c r="I148" s="14" t="str">
        <x:v>Receipt</x:v>
      </x:c>
      <x:c r="J148" s="17" t="n">
        <x:v>0</x:v>
      </x:c>
      <x:c r="K148" s="17" t="n">
        <x:v>1808</x:v>
      </x:c>
      <x:c r="L148" s="17" t="n">
        <x:v>1808</x:v>
      </x:c>
      <x:c r="M148" s="17" t="n">
        <x:v>504104.39</x:v>
      </x:c>
      <x:c r="N148" s="14" t="str">
        <x:v>UPI; Recurring Transaction</x:v>
      </x:c>
      <x:c r="O148" s="14" t="str">
        <x:v>Yes</x:v>
      </x:c>
      <x:c r="P148" s="14" t="str">
        <x:v>SURAJDHANOTRAIBL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148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UPI/6468867277 86727709 UPI/646886727709/16:03:55/UPI/omkarpatil4254op@ok</x:v>
      </x:c>
      <x:c r="H149" s="14" t="str"/>
      <x:c r="I149" s="14" t="str">
        <x:v>Receipt</x:v>
      </x:c>
      <x:c r="J149" s="17" t="n">
        <x:v>0</x:v>
      </x:c>
      <x:c r="K149" s="17" t="n">
        <x:v>10000</x:v>
      </x:c>
      <x:c r="L149" s="17" t="n">
        <x:v>10000</x:v>
      </x:c>
      <x:c r="M149" s="17" t="n">
        <x:v>514104.39</x:v>
      </x:c>
      <x:c r="N149" s="14" t="str">
        <x:v>UPI</x:v>
      </x:c>
      <x:c r="O149" s="14" t="str">
        <x:v>No</x:v>
      </x:c>
      <x:c r="P149" s="14" t="str">
        <x:v>OMKARPATILOPOK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149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NEFT-CNRBH00124891693-QUALITY PLAST INDUSTRIES LIM</x:v>
      </x:c>
      <x:c r="H150" s="14" t="str"/>
      <x:c r="I150" s="14" t="str">
        <x:v>Receipt</x:v>
      </x:c>
      <x:c r="J150" s="17" t="n">
        <x:v>0</x:v>
      </x:c>
      <x:c r="K150" s="17" t="n">
        <x:v>9677</x:v>
      </x:c>
      <x:c r="L150" s="17" t="n">
        <x:v>9677</x:v>
      </x:c>
      <x:c r="M150" s="17" t="n">
        <x:v>523781.39</x:v>
      </x:c>
      <x:c r="N150" s="14" t="str">
        <x:v>Recurring Transaction</x:v>
      </x:c>
      <x:c r="O150" s="14" t="str">
        <x:v>Yes</x:v>
      </x:c>
      <x:c r="P150" s="14" t="str">
        <x:v>QUALITY PLAST INDUSTRIES LIM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150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EBANK:WIB/1503 EBANK:WIB/1503691094/Edfs</x:v>
      </x:c>
      <x:c r="H151" s="14" t="str"/>
      <x:c r="I151" s="14" t="str">
        <x:v>Payment</x:v>
      </x:c>
      <x:c r="J151" s="17" t="n">
        <x:v>521281.39</x:v>
      </x:c>
      <x:c r="K151" s="17" t="n">
        <x:v>0</x:v>
      </x:c>
      <x:c r="L151" s="17" t="n">
        <x:v>521281.39</x:v>
      </x:c>
      <x:c r="M151" s="17" t="n">
        <x:v>2500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151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NEFT-YESAP61032531277-PhonePe Limited</x:v>
      </x:c>
      <x:c r="H152" s="14" t="str"/>
      <x:c r="I152" s="14" t="str">
        <x:v>Receipt</x:v>
      </x:c>
      <x:c r="J152" s="17" t="n">
        <x:v>0</x:v>
      </x:c>
      <x:c r="K152" s="17" t="n">
        <x:v>250095</x:v>
      </x:c>
      <x:c r="L152" s="17" t="n">
        <x:v>250095</x:v>
      </x:c>
      <x:c r="M152" s="17" t="n">
        <x:v>252595</x:v>
      </x:c>
      <x:c r="N152" s="14" t="str">
        <x:v>High Transaction; Recurring Transaction</x:v>
      </x:c>
      <x:c r="O152" s="14" t="str">
        <x:v>Yes</x:v>
      </x:c>
      <x:c r="P152" s="14" t="str">
        <x:v>PHONEPE LIMITED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152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46125</x:v>
      </x:c>
      <x:c r="F153" s="15" t="n">
        <x:v>46125</x:v>
      </x:c>
      <x:c r="G153" s="16" t="str">
        <x:v>DIGITA-MUMBAI/ NEFT-AXNPN10394764176-PHONEPE LIMITED-PAYMENT AGGR</x:v>
      </x:c>
      <x:c r="H153" s="14" t="str"/>
      <x:c r="I153" s="14" t="str">
        <x:v>Receipt</x:v>
      </x:c>
      <x:c r="J153" s="17" t="n">
        <x:v>0</x:v>
      </x:c>
      <x:c r="K153" s="17" t="n">
        <x:v>73380.93</x:v>
      </x:c>
      <x:c r="L153" s="17" t="n">
        <x:v>73380.93</x:v>
      </x:c>
      <x:c r="M153" s="17" t="n">
        <x:v>325975.93</x:v>
      </x:c>
      <x:c r="N153" s="14" t="str">
        <x:v>Recurring Transaction</x:v>
      </x:c>
      <x:c r="O153" s="14" t="str">
        <x:v>Yes</x:v>
      </x:c>
      <x:c r="P153" s="14" t="str">
        <x:v>PHONEPE LIMITED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46125</x:v>
      </x:c>
    </x:row>
    <x:row r="154">
      <x:c r="A154" s="14" t="n">
        <x:v>153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46125</x:v>
      </x:c>
      <x:c r="F154" s="15" t="n">
        <x:v>46125</x:v>
      </x:c>
      <x:c r="G154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4" s="14" t="str"/>
      <x:c r="I154" s="14" t="str">
        <x:v>Receipt</x:v>
      </x:c>
      <x:c r="J154" s="17" t="n">
        <x:v>0</x:v>
      </x:c>
      <x:c r="K154" s="17" t="n">
        <x:v>13800</x:v>
      </x:c>
      <x:c r="L154" s="17" t="n">
        <x:v>13800</x:v>
      </x:c>
      <x:c r="M154" s="17" t="n">
        <x:v>339775.93</x:v>
      </x:c>
      <x:c r="N154" s="14" t="str">
        <x:v>Recurring Transaction</x:v>
      </x:c>
      <x:c r="O154" s="14" t="str">
        <x:v>Yes</x:v>
      </x:c>
      <x:c r="P154" s="14" t="str">
        <x:v>ONE MOBIKWIK SYSTEMS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46125</x:v>
      </x:c>
    </x:row>
    <x:row r="155">
      <x:c r="A155" s="14" t="n">
        <x:v>154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EBANK:15036990 EBANK:1503699072/Hindustan Petroleum/604137022998</x:v>
      </x:c>
      <x:c r="H155" s="14" t="str"/>
      <x:c r="I155" s="14" t="str">
        <x:v>Payment</x:v>
      </x:c>
      <x:c r="J155" s="17" t="n">
        <x:v>1000</x:v>
      </x:c>
      <x:c r="K155" s="17" t="n">
        <x:v>0</x:v>
      </x:c>
      <x:c r="L155" s="17" t="n">
        <x:v>1000</x:v>
      </x:c>
      <x:c r="M155" s="17" t="n">
        <x:v>338775.93</x:v>
      </x:c>
      <x:c r="N155" s="14" t="str">
        <x:v>Recurring Transaction</x:v>
      </x:c>
      <x:c r="O155" s="14" t="str">
        <x:v>Yes</x:v>
      </x:c>
      <x:c r="P155" s="14" t="str">
        <x:v>EBANK EBANK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NEFT-AXISCN1309952222-PINE LABS PRIVATE LIMITED-NO</x:v>
      </x:c>
      <x:c r="H156" s="14" t="str"/>
      <x:c r="I156" s="14" t="str">
        <x:v>Receipt</x:v>
      </x:c>
      <x:c r="J156" s="17" t="n">
        <x:v>0</x:v>
      </x:c>
      <x:c r="K156" s="17" t="n">
        <x:v>47686</x:v>
      </x:c>
      <x:c r="L156" s="17" t="n">
        <x:v>47686</x:v>
      </x:c>
      <x:c r="M156" s="17" t="n">
        <x:v>386461.93</x:v>
      </x:c>
      <x:c r="N156" s="14" t="str">
        <x:v>Recurring Transaction</x:v>
      </x:c>
      <x:c r="O156" s="14" t="str">
        <x:v>Yes</x:v>
      </x:c>
      <x:c r="P156" s="14" t="str">
        <x:v>PINE LABS PRIVATE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UPI/6103246468 24646865 UPI/610324646865/09:30:08/UPI/autofleetpetrolpump</x:v>
      </x:c>
      <x:c r="H157" s="14" t="str"/>
      <x:c r="I157" s="14" t="str">
        <x:v>Payment</x:v>
      </x:c>
      <x:c r="J157" s="17" t="n">
        <x:v>2000</x:v>
      </x:c>
      <x:c r="K157" s="17" t="n">
        <x:v>0</x:v>
      </x:c>
      <x:c r="L157" s="17" t="n">
        <x:v>2000</x:v>
      </x:c>
      <x:c r="M157" s="17" t="n">
        <x:v>384461.93</x:v>
      </x:c>
      <x:c r="N157" s="14" t="str">
        <x:v>UPI; Recurring Transaction</x:v>
      </x:c>
      <x:c r="O157" s="14" t="str">
        <x:v>Yes</x:v>
      </x:c>
      <x:c r="P157" s="14" t="str">
        <x:v>AUTOFLEETPETROLPUMP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UPI/6103049513 4951307 UPI/610304951307/09:30:56/UPI/autofleetpetrolpump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383461.93</x:v>
      </x:c>
      <x:c r="N158" s="14" t="str">
        <x:v>UPI; Recurring Transaction</x:v>
      </x:c>
      <x:c r="O158" s="14" t="str">
        <x:v>Yes</x:v>
      </x:c>
      <x:c r="P158" s="14" t="str">
        <x:v>AUTOFLEETPETROLPUMP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NEFT-AXODH10395993542-GRISHMA METAL TECHNOLOGY</x:v>
      </x:c>
      <x:c r="H159" s="14" t="str"/>
      <x:c r="I159" s="14" t="str">
        <x:v>Receipt</x:v>
      </x:c>
      <x:c r="J159" s="17" t="n">
        <x:v>0</x:v>
      </x:c>
      <x:c r="K159" s="17" t="n">
        <x:v>124000</x:v>
      </x:c>
      <x:c r="L159" s="17" t="n">
        <x:v>124000</x:v>
      </x:c>
      <x:c r="M159" s="17" t="n">
        <x:v>507461.93</x:v>
      </x:c>
      <x:c r="N159" s="14" t="str">
        <x:v>High Transaction; Recurring Transaction</x:v>
      </x:c>
      <x:c r="O159" s="14" t="str">
        <x:v>Yes</x:v>
      </x:c>
      <x:c r="P159" s="14" t="str">
        <x:v>GRISHMA METAL TECHNOLOGY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UPI/1265365595 36559565 UPI/126536559565/11:02:55/UPI/surajdhanotra1@ibl/</x:v>
      </x:c>
      <x:c r="H160" s="14" t="str"/>
      <x:c r="I160" s="14" t="str">
        <x:v>Receipt</x:v>
      </x:c>
      <x:c r="J160" s="17" t="n">
        <x:v>0</x:v>
      </x:c>
      <x:c r="K160" s="17" t="n">
        <x:v>2261</x:v>
      </x:c>
      <x:c r="L160" s="17" t="n">
        <x:v>2261</x:v>
      </x:c>
      <x:c r="M160" s="17" t="n">
        <x:v>509722.93</x:v>
      </x:c>
      <x:c r="N160" s="14" t="str">
        <x:v>UPI; Recurring Transaction</x:v>
      </x:c>
      <x:c r="O160" s="14" t="str">
        <x:v>Yes</x:v>
      </x:c>
      <x:c r="P160" s="14" t="str">
        <x:v>SURAJDHANOTRAIBL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160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UPI/6103603296 60329695 UPI/610360329695/11:04:28/UPI/paytmqr6ep7sx@ptys/</x:v>
      </x:c>
      <x:c r="H161" s="14" t="str"/>
      <x:c r="I161" s="14" t="str">
        <x:v>Payment</x:v>
      </x:c>
      <x:c r="J161" s="17" t="n">
        <x:v>3300</x:v>
      </x:c>
      <x:c r="K161" s="17" t="n">
        <x:v>0</x:v>
      </x:c>
      <x:c r="L161" s="17" t="n">
        <x:v>3300</x:v>
      </x:c>
      <x:c r="M161" s="17" t="n">
        <x:v>506422.93</x:v>
      </x:c>
      <x:c r="N161" s="14" t="str">
        <x:v>UPI</x:v>
      </x:c>
      <x:c r="O161" s="14" t="str">
        <x:v>No</x:v>
      </x:c>
      <x:c r="P161" s="14" t="str">
        <x:v>PAYTMQREPSXPTYS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161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NEFT-AXISCN1310059428-PINE LABS PRIVATE LIMITED-NO</x:v>
      </x:c>
      <x:c r="H162" s="14" t="str"/>
      <x:c r="I162" s="14" t="str">
        <x:v>Receipt</x:v>
      </x:c>
      <x:c r="J162" s="17" t="n">
        <x:v>0</x:v>
      </x:c>
      <x:c r="K162" s="17" t="n">
        <x:v>102789</x:v>
      </x:c>
      <x:c r="L162" s="17" t="n">
        <x:v>102789</x:v>
      </x:c>
      <x:c r="M162" s="17" t="n">
        <x:v>609211.93</x:v>
      </x:c>
      <x:c r="N162" s="14" t="str">
        <x:v>High Transaction; Recurring Transaction</x:v>
      </x:c>
      <x:c r="O162" s="14" t="str">
        <x:v>Yes</x:v>
      </x:c>
      <x:c r="P162" s="14" t="str">
        <x:v>PINE LABS PRIVATE LIMITED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162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Charges for Charges for PORD Customer Payment :003581616879</x:v>
      </x:c>
      <x:c r="H163" s="14" t="str"/>
      <x:c r="I163" s="14" t="str">
        <x:v>Payment</x:v>
      </x:c>
      <x:c r="J163" s="17" t="n">
        <x:v>2.65</x:v>
      </x:c>
      <x:c r="K163" s="17" t="n">
        <x:v>0</x:v>
      </x:c>
      <x:c r="L163" s="17" t="n">
        <x:v>2.65</x:v>
      </x:c>
      <x:c r="M163" s="17" t="n">
        <x:v>609209.28</x:v>
      </x:c>
      <x:c r="N163" s="14" t="str">
        <x:v>Recurring Transaction</x:v>
      </x:c>
      <x:c r="O163" s="14" t="str">
        <x:v>Yes</x:v>
      </x:c>
      <x:c r="P163" s="14" t="str">
        <x:v>CHARGES FOR CHARGES FOR PORD CUSTOMER PA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NEFT-BARBV2610 NEFT-BARBV26103046565-ATHARV FIRE AND SAFETY SERVI</x:v>
      </x:c>
      <x:c r="H164" s="14" t="str"/>
      <x:c r="I164" s="14" t="str">
        <x:v>Payment</x:v>
      </x:c>
      <x:c r="J164" s="17" t="n">
        <x:v>2065</x:v>
      </x:c>
      <x:c r="K164" s="17" t="n">
        <x:v>0</x:v>
      </x:c>
      <x:c r="L164" s="17" t="n">
        <x:v>2065</x:v>
      </x:c>
      <x:c r="M164" s="17" t="n">
        <x:v>607144.28</x:v>
      </x:c>
      <x:c r="N164" s="14" t="str">
        <x:v>Recurring Transaction</x:v>
      </x:c>
      <x:c r="O164" s="14" t="str">
        <x:v>Yes</x:v>
      </x:c>
      <x:c r="P164" s="14" t="str">
        <x:v>BARBV NEFT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NEFT-HDFCH00930723327-KUNDAN QUARRY</x:v>
      </x:c>
      <x:c r="H165" s="14" t="str"/>
      <x:c r="I165" s="14" t="str">
        <x:v>Receipt</x:v>
      </x:c>
      <x:c r="J165" s="17" t="n">
        <x:v>0</x:v>
      </x:c>
      <x:c r="K165" s="17" t="n">
        <x:v>5800</x:v>
      </x:c>
      <x:c r="L165" s="17" t="n">
        <x:v>5800</x:v>
      </x:c>
      <x:c r="M165" s="17" t="n">
        <x:v>612944.28</x:v>
      </x:c>
      <x:c r="N165" s="14" t="str">
        <x:v>Recurring Transaction</x:v>
      </x:c>
      <x:c r="O165" s="14" t="str">
        <x:v>Yes</x:v>
      </x:c>
      <x:c r="P165" s="14" t="str">
        <x:v>KUNDAN QUARRY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EBANK:WIB/1503 EBANK:WIB/1503777187/Edfs</x:v>
      </x:c>
      <x:c r="H166" s="14" t="str"/>
      <x:c r="I166" s="14" t="str">
        <x:v>Payment</x:v>
      </x:c>
      <x:c r="J166" s="17" t="n">
        <x:v>610444.28</x:v>
      </x:c>
      <x:c r="K166" s="17" t="n">
        <x:v>0</x:v>
      </x:c>
      <x:c r="L166" s="17" t="n">
        <x:v>610444.28</x:v>
      </x:c>
      <x:c r="M166" s="17" t="n">
        <x:v>2500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DIGITA-MUMBAI/ https://cbdrpt101.bankofbaroda.co.in:22000/finbranch/arjspmorph/INFENG/tran_rpt.jsp?... 04-05-2026 NEFT-HDFCH00930605811-Adekar enterprises pvt ltd</x:v>
      </x:c>
      <x:c r="H167" s="14" t="str"/>
      <x:c r="I167" s="14" t="str">
        <x:v>Receipt</x:v>
      </x:c>
      <x:c r="J167" s="17" t="n">
        <x:v>0</x:v>
      </x:c>
      <x:c r="K167" s="17" t="n">
        <x:v>128900</x:v>
      </x:c>
      <x:c r="L167" s="17" t="n">
        <x:v>128900</x:v>
      </x:c>
      <x:c r="M167" s="17" t="n">
        <x:v>131400</x:v>
      </x:c>
      <x:c r="N167" s="14" t="str">
        <x:v>High Transaction; Recurring Transaction</x:v>
      </x:c>
      <x:c r="O167" s="14" t="str">
        <x:v>Yes</x:v>
      </x:c>
      <x:c r="P167" s="14" t="str">
        <x:v>CBDRPTBANKOFBARODACOIN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NEFT-NKGSH26103010561-GEBI PRODUCTS PRIVATE LIMITE</x:v>
      </x:c>
      <x:c r="H168" s="14" t="str"/>
      <x:c r="I168" s="14" t="str">
        <x:v>Receipt</x:v>
      </x:c>
      <x:c r="J168" s="17" t="n">
        <x:v>0</x:v>
      </x:c>
      <x:c r="K168" s="17" t="n">
        <x:v>4415</x:v>
      </x:c>
      <x:c r="L168" s="17" t="n">
        <x:v>4415</x:v>
      </x:c>
      <x:c r="M168" s="17" t="n">
        <x:v>135815</x:v>
      </x:c>
      <x:c r="N168" s="14" t="str">
        <x:v>Recurring Transaction</x:v>
      </x:c>
      <x:c r="O168" s="14" t="str">
        <x:v>Yes</x:v>
      </x:c>
      <x:c r="P168" s="14" t="str">
        <x:v>GEBI PRODUCTS PRIVATE LIMITE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DIGITA-MUMBAI/ NEFT-IN42610355845941-N R COLOURS LIMITED</x:v>
      </x:c>
      <x:c r="H169" s="14" t="str"/>
      <x:c r="I169" s="14" t="str">
        <x:v>Receipt</x:v>
      </x:c>
      <x:c r="J169" s="17" t="n">
        <x:v>0</x:v>
      </x:c>
      <x:c r="K169" s="17" t="n">
        <x:v>12678.78</x:v>
      </x:c>
      <x:c r="L169" s="17" t="n">
        <x:v>12678.78</x:v>
      </x:c>
      <x:c r="M169" s="17" t="n">
        <x:v>148493.78</x:v>
      </x:c>
      <x:c r="N169" s="14" t="str">
        <x:v>Recurring Transaction</x:v>
      </x:c>
      <x:c r="O169" s="14" t="str">
        <x:v>Yes</x:v>
      </x:c>
      <x:c r="P169" s="14" t="str">
        <x:v>N R COLOURS LIMITED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0" s="14" t="str"/>
      <x:c r="I170" s="14" t="str">
        <x:v>Payment</x:v>
      </x:c>
      <x:c r="J170" s="17" t="n">
        <x:v>107993.78</x:v>
      </x:c>
      <x:c r="K170" s="17" t="n">
        <x:v>0</x:v>
      </x:c>
      <x:c r="L170" s="17" t="n">
        <x:v>107993.78</x:v>
      </x:c>
      <x:c r="M170" s="17" t="n">
        <x:v>40500</x:v>
      </x:c>
      <x:c r="N170" s="14" t="str">
        <x:v>High Transaction; Recurring Transaction</x:v>
      </x:c>
      <x:c r="O170" s="14" t="str">
        <x:v>Yes</x:v>
      </x:c>
      <x:c r="P170" s="14" t="str">
        <x:v>EBANKWIB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170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UPI/6103931725 93172546 UPI/610393172546/18:35:56/UPI/q17779140@ybl/color</x:v>
      </x:c>
      <x:c r="H171" s="14" t="str"/>
      <x:c r="I171" s="14" t="str">
        <x:v>Payment</x:v>
      </x:c>
      <x:c r="J171" s="17" t="n">
        <x:v>16000</x:v>
      </x:c>
      <x:c r="K171" s="17" t="n">
        <x:v>0</x:v>
      </x:c>
      <x:c r="L171" s="17" t="n">
        <x:v>16000</x:v>
      </x:c>
      <x:c r="M171" s="17" t="n">
        <x:v>24500</x:v>
      </x:c>
      <x:c r="N171" s="14" t="str">
        <x:v>UPI</x:v>
      </x:c>
      <x:c r="O171" s="14" t="str">
        <x:v>No</x:v>
      </x:c>
      <x:c r="P171" s="14" t="str">
        <x:v>UPI/# # UPI/#/#:#:#/UPI/Q#@YBL/COLOR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171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NEFT-IN22610317343563-PELL TECH HEALTH CARE PRIVAT</x:v>
      </x:c>
      <x:c r="H172" s="14" t="str"/>
      <x:c r="I172" s="14" t="str">
        <x:v>Receipt</x:v>
      </x:c>
      <x:c r="J172" s="17" t="n">
        <x:v>0</x:v>
      </x:c>
      <x:c r="K172" s="17" t="n">
        <x:v>12343</x:v>
      </x:c>
      <x:c r="L172" s="17" t="n">
        <x:v>12343</x:v>
      </x:c>
      <x:c r="M172" s="17" t="n">
        <x:v>36843</x:v>
      </x:c>
      <x:c r="N172" s="14" t="str">
        <x:v>Recurring Transaction</x:v>
      </x:c>
      <x:c r="O172" s="14" t="str">
        <x:v>Yes</x:v>
      </x:c>
      <x:c r="P172" s="14" t="str">
        <x:v>PELL TECH HEALTH CARE PRIVAT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172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46126</x:v>
      </x:c>
      <x:c r="F173" s="15" t="n">
        <x:v>46126</x:v>
      </x:c>
      <x:c r="G173" s="16" t="str">
        <x:v>DIGITA-MUMBAI/ NEFT-HDFCH00932431931-KAVITA ENTERPRISES</x:v>
      </x:c>
      <x:c r="H173" s="14" t="str"/>
      <x:c r="I173" s="14" t="str">
        <x:v>Receipt</x:v>
      </x:c>
      <x:c r="J173" s="17" t="n">
        <x:v>0</x:v>
      </x:c>
      <x:c r="K173" s="17" t="n">
        <x:v>110336</x:v>
      </x:c>
      <x:c r="L173" s="17" t="n">
        <x:v>110336</x:v>
      </x:c>
      <x:c r="M173" s="17" t="n">
        <x:v>147179</x:v>
      </x:c>
      <x:c r="N173" s="14" t="str">
        <x:v>High Transaction; Recurring Transaction</x:v>
      </x:c>
      <x:c r="O173" s="14" t="str">
        <x:v>Yes</x:v>
      </x:c>
      <x:c r="P173" s="14" t="str">
        <x:v>KAVITA ENTERPRISES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46126</x:v>
      </x:c>
    </x:row>
    <x:row r="174">
      <x:c r="A174" s="14" t="n">
        <x:v>173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46126</x:v>
      </x:c>
      <x:c r="F174" s="15" t="n">
        <x:v>46126</x:v>
      </x:c>
      <x:c r="G174" s="16" t="str">
        <x:v>DIGITA-MUMBAI/ NEFT-YESAP61042581238-PhonePe Limited</x:v>
      </x:c>
      <x:c r="H174" s="14" t="str"/>
      <x:c r="I174" s="14" t="str">
        <x:v>Receipt</x:v>
      </x:c>
      <x:c r="J174" s="17" t="n">
        <x:v>0</x:v>
      </x:c>
      <x:c r="K174" s="17" t="n">
        <x:v>227801</x:v>
      </x:c>
      <x:c r="L174" s="17" t="n">
        <x:v>227801</x:v>
      </x:c>
      <x:c r="M174" s="17" t="n">
        <x:v>374980</x:v>
      </x:c>
      <x:c r="N174" s="14" t="str">
        <x:v>High Transaction; Recurring Transaction</x:v>
      </x:c>
      <x:c r="O174" s="14" t="str">
        <x:v>Yes</x:v>
      </x:c>
      <x:c r="P174" s="14" t="str">
        <x:v>PHONEPE LIMITED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1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46126</x:v>
      </x:c>
    </x:row>
    <x:row r="175">
      <x:c r="A175" s="14" t="n">
        <x:v>174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46126</x:v>
      </x:c>
      <x:c r="F175" s="15" t="n">
        <x:v>46126</x:v>
      </x:c>
      <x:c r="G175" s="16" t="str">
        <x:v>DIGITA-MUMBAI/ NEFT-AXNPN10404023106-PHONEPE LIMITED-PAYMENT AGGR</x:v>
      </x:c>
      <x:c r="H175" s="14" t="str"/>
      <x:c r="I175" s="14" t="str">
        <x:v>Receipt</x:v>
      </x:c>
      <x:c r="J175" s="17" t="n">
        <x:v>0</x:v>
      </x:c>
      <x:c r="K175" s="17" t="n">
        <x:v>79141.65</x:v>
      </x:c>
      <x:c r="L175" s="17" t="n">
        <x:v>79141.65</x:v>
      </x:c>
      <x:c r="M175" s="17" t="n">
        <x:v>454121.65</x:v>
      </x:c>
      <x:c r="N175" s="14" t="str">
        <x:v>Recurring Transaction</x:v>
      </x:c>
      <x:c r="O175" s="14" t="str">
        <x:v>Yes</x:v>
      </x:c>
      <x:c r="P175" s="14" t="str">
        <x:v>PHONEPE LIMITED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46126</x:v>
      </x:c>
    </x:row>
    <x:row r="176">
      <x:c r="A176" s="14" t="n">
        <x:v>175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NEFT-AXISCN1310804202-ONE MOBIKWIK SYSTEMS LIMITED</x:v>
      </x:c>
      <x:c r="H176" s="14" t="str"/>
      <x:c r="I176" s="14" t="str">
        <x:v>Receipt</x:v>
      </x:c>
      <x:c r="J176" s="17" t="n">
        <x:v>0</x:v>
      </x:c>
      <x:c r="K176" s="17" t="n">
        <x:v>17500</x:v>
      </x:c>
      <x:c r="L176" s="17" t="n">
        <x:v>17500</x:v>
      </x:c>
      <x:c r="M176" s="17" t="n">
        <x:v>471621.65</x:v>
      </x:c>
      <x:c r="N176" s="14" t="str">
        <x:v>Recurring Transaction</x:v>
      </x:c>
      <x:c r="O176" s="14" t="str">
        <x:v>Yes</x:v>
      </x:c>
      <x:c r="P176" s="14" t="str">
        <x:v>ONE MOBIKWIK SYSTEMS LIMITED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EBANK:WIB/1503 EBANK:WIB/1503879023/Edfs</x:v>
      </x:c>
      <x:c r="H177" s="14" t="str"/>
      <x:c r="I177" s="14" t="str">
        <x:v>Payment</x:v>
      </x:c>
      <x:c r="J177" s="17" t="n">
        <x:v>421121.65</x:v>
      </x:c>
      <x:c r="K177" s="17" t="n">
        <x:v>0</x:v>
      </x:c>
      <x:c r="L177" s="17" t="n">
        <x:v>421121.65</x:v>
      </x:c>
      <x:c r="M177" s="17" t="n">
        <x:v>50500</x:v>
      </x:c>
      <x:c r="N177" s="14" t="str">
        <x:v>High Transaction; Recurring Transaction</x:v>
      </x:c>
      <x:c r="O177" s="14" t="str">
        <x:v>Yes</x:v>
      </x:c>
      <x:c r="P177" s="14" t="str">
        <x:v>EBANKWIB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EBANK:15038806 EBANK:1503880651/MSEDCL-LT Post Paid Energy Bill/</x:v>
      </x:c>
      <x:c r="H178" s="14" t="str"/>
      <x:c r="I178" s="14" t="str">
        <x:v>Payment</x:v>
      </x:c>
      <x:c r="J178" s="17" t="n">
        <x:v>1950</x:v>
      </x:c>
      <x:c r="K178" s="17" t="n">
        <x:v>0</x:v>
      </x:c>
      <x:c r="L178" s="17" t="n">
        <x:v>1950</x:v>
      </x:c>
      <x:c r="M178" s="17" t="n">
        <x:v>48550</x:v>
      </x:c>
      <x:c r="N178" s="14" t="str">
        <x:v>Recurring Transaction</x:v>
      </x:c>
      <x:c r="O178" s="14" t="str">
        <x:v>Yes</x:v>
      </x:c>
      <x:c r="P178" s="14" t="str">
        <x:v>EBANK EBANK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NEFT-AXISCN1310872121-PINE LABS PRIVATE LIMITED-NO</x:v>
      </x:c>
      <x:c r="H179" s="14" t="str"/>
      <x:c r="I179" s="14" t="str">
        <x:v>Receipt</x:v>
      </x:c>
      <x:c r="J179" s="17" t="n">
        <x:v>0</x:v>
      </x:c>
      <x:c r="K179" s="17" t="n">
        <x:v>181645</x:v>
      </x:c>
      <x:c r="L179" s="17" t="n">
        <x:v>181645</x:v>
      </x:c>
      <x:c r="M179" s="17" t="n">
        <x:v>230195</x:v>
      </x:c>
      <x:c r="N179" s="14" t="str">
        <x:v>High Transaction; Recurring Transaction</x:v>
      </x:c>
      <x:c r="O179" s="14" t="str">
        <x:v>Yes</x:v>
      </x:c>
      <x:c r="P179" s="14" t="str">
        <x:v>PINE LABS PRIVATE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1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DIGITA-MUMBAI/ NEFT-IDIBH10438167138-JAI AMBE TRANSPORT</x:v>
      </x:c>
      <x:c r="H180" s="14" t="str"/>
      <x:c r="I180" s="14" t="str">
        <x:v>Receipt</x:v>
      </x:c>
      <x:c r="J180" s="17" t="n">
        <x:v>0</x:v>
      </x:c>
      <x:c r="K180" s="17" t="n">
        <x:v>3660</x:v>
      </x:c>
      <x:c r="L180" s="17" t="n">
        <x:v>3660</x:v>
      </x:c>
      <x:c r="M180" s="17" t="n">
        <x:v>233855</x:v>
      </x:c>
      <x:c r="N180" s="14" t="str">
        <x:v>Recurring Transaction</x:v>
      </x:c>
      <x:c r="O180" s="14" t="str">
        <x:v>Yes</x:v>
      </x:c>
      <x:c r="P180" s="14" t="str">
        <x:v>JAI AMBE TRANSPORT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180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DIGITA-MUMBAI/ NEFT-KKBKH26104944678-ATLAS COMMODITIES PRIVATE LI</x:v>
      </x:c>
      <x:c r="H181" s="14" t="str"/>
      <x:c r="I181" s="14" t="str">
        <x:v>Receipt</x:v>
      </x:c>
      <x:c r="J181" s="17" t="n">
        <x:v>0</x:v>
      </x:c>
      <x:c r="K181" s="17" t="n">
        <x:v>8470</x:v>
      </x:c>
      <x:c r="L181" s="17" t="n">
        <x:v>8470</x:v>
      </x:c>
      <x:c r="M181" s="17" t="n">
        <x:v>242325</x:v>
      </x:c>
      <x:c r="N181" s="14" t="str">
        <x:v>Recurring Transaction</x:v>
      </x:c>
      <x:c r="O181" s="14" t="str">
        <x:v>Yes</x:v>
      </x:c>
      <x:c r="P181" s="14" t="str">
        <x:v>ATLAS COMMODITIES PRIVATE LI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181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EBANK:WIB/1504 EBANK:WIB/1504010401/Edfs</x:v>
      </x:c>
      <x:c r="H182" s="14" t="str"/>
      <x:c r="I182" s="14" t="str">
        <x:v>Payment</x:v>
      </x:c>
      <x:c r="J182" s="17" t="n">
        <x:v>240000</x:v>
      </x:c>
      <x:c r="K182" s="17" t="n">
        <x:v>0</x:v>
      </x:c>
      <x:c r="L182" s="17" t="n">
        <x:v>240000</x:v>
      </x:c>
      <x:c r="M182" s="17" t="n">
        <x:v>2325</x:v>
      </x:c>
      <x:c r="N182" s="14" t="str">
        <x:v>High Transaction; Recurring Transaction</x:v>
      </x:c>
      <x:c r="O182" s="14" t="str">
        <x:v>Yes</x:v>
      </x:c>
      <x:c r="P182" s="14" t="str">
        <x:v>EBANKWIB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182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46127</x:v>
      </x:c>
      <x:c r="F183" s="15" t="n">
        <x:v>46127</x:v>
      </x:c>
      <x:c r="G183" s="16" t="str">
        <x:v>DIGITA-MUMBAI/ NEFT-YESAP61053875611-PhonePe Limited</x:v>
      </x:c>
      <x:c r="H183" s="14" t="str"/>
      <x:c r="I183" s="14" t="str">
        <x:v>Receipt</x:v>
      </x:c>
      <x:c r="J183" s="17" t="n">
        <x:v>0</x:v>
      </x:c>
      <x:c r="K183" s="17" t="n">
        <x:v>289276.57</x:v>
      </x:c>
      <x:c r="L183" s="17" t="n">
        <x:v>289276.57</x:v>
      </x:c>
      <x:c r="M183" s="17" t="n">
        <x:v>291601.57</x:v>
      </x:c>
      <x:c r="N183" s="14" t="str">
        <x:v>High Transaction; Recurring Transaction</x:v>
      </x:c>
      <x:c r="O183" s="14" t="str">
        <x:v>Yes</x:v>
      </x:c>
      <x:c r="P183" s="14" t="str">
        <x:v>PHONEPE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1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46127</x:v>
      </x:c>
    </x:row>
    <x:row r="184">
      <x:c r="A184" s="14" t="n">
        <x:v>183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46127</x:v>
      </x:c>
      <x:c r="F184" s="15" t="n">
        <x:v>46127</x:v>
      </x:c>
      <x:c r="G184" s="16" t="str">
        <x:v>DIGITA-MUMBAI/ NEFT-AXNPN10512169091-PHONEPE LIMITED-PAYMENT AGGR</x:v>
      </x:c>
      <x:c r="H184" s="14" t="str"/>
      <x:c r="I184" s="14" t="str">
        <x:v>Receipt</x:v>
      </x:c>
      <x:c r="J184" s="17" t="n">
        <x:v>0</x:v>
      </x:c>
      <x:c r="K184" s="17" t="n">
        <x:v>106410</x:v>
      </x:c>
      <x:c r="L184" s="17" t="n">
        <x:v>106410</x:v>
      </x:c>
      <x:c r="M184" s="17" t="n">
        <x:v>398011.57</x:v>
      </x:c>
      <x:c r="N184" s="14" t="str">
        <x:v>High Transaction; Recurring Transaction</x:v>
      </x:c>
      <x:c r="O184" s="14" t="str">
        <x:v>Yes</x:v>
      </x:c>
      <x:c r="P184" s="14" t="str">
        <x:v>PHONEPE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46127</x:v>
      </x:c>
    </x:row>
    <x:row r="185">
      <x:c r="A185" s="14" t="n">
        <x:v>184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46127</x:v>
      </x:c>
      <x:c r="F185" s="15" t="n">
        <x:v>46127</x:v>
      </x:c>
      <x:c r="G185" s="16" t="str">
        <x:v>DIGITA-MUMBAI/ NEFT-AXISCN1311551702-ONE MOBIKWIK SYSTEMS LIMITED</x:v>
      </x:c>
      <x:c r="H185" s="14" t="str"/>
      <x:c r="I185" s="14" t="str">
        <x:v>Receipt</x:v>
      </x:c>
      <x:c r="J185" s="17" t="n">
        <x:v>0</x:v>
      </x:c>
      <x:c r="K185" s="17" t="n">
        <x:v>13630</x:v>
      </x:c>
      <x:c r="L185" s="17" t="n">
        <x:v>13630</x:v>
      </x:c>
      <x:c r="M185" s="17" t="n">
        <x:v>411641.57</x:v>
      </x:c>
      <x:c r="N185" s="14" t="str">
        <x:v>Recurring Transaction</x:v>
      </x:c>
      <x:c r="O185" s="14" t="str">
        <x:v>Yes</x:v>
      </x:c>
      <x:c r="P185" s="14" t="str">
        <x:v>ONE MOBIKWIK SYSTEMS LIMITED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46127</x:v>
      </x:c>
    </x:row>
    <x:row r="186">
      <x:c r="A186" s="14" t="n">
        <x:v>185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6" s="14" t="str"/>
      <x:c r="I186" s="14" t="str">
        <x:v>Payment</x:v>
      </x:c>
      <x:c r="J186" s="17" t="n">
        <x:v>401141.57</x:v>
      </x:c>
      <x:c r="K186" s="17" t="n">
        <x:v>0</x:v>
      </x:c>
      <x:c r="L186" s="17" t="n">
        <x:v>401141.57</x:v>
      </x:c>
      <x:c r="M186" s="17" t="n">
        <x:v>10500</x:v>
      </x:c>
      <x:c r="N186" s="14" t="str">
        <x:v>High Transaction; Recurring Transaction</x:v>
      </x:c>
      <x:c r="O186" s="14" t="str">
        <x:v>Yes</x:v>
      </x:c>
      <x:c r="P186" s="14" t="str">
        <x:v>EBANKWIB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186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NEFT-AXISCN1311689812-PINE LABS PRIVATE LIMITED-NO</x:v>
      </x:c>
      <x:c r="H187" s="14" t="str"/>
      <x:c r="I187" s="14" t="str">
        <x:v>Receipt</x:v>
      </x:c>
      <x:c r="J187" s="17" t="n">
        <x:v>0</x:v>
      </x:c>
      <x:c r="K187" s="17" t="n">
        <x:v>56935</x:v>
      </x:c>
      <x:c r="L187" s="17" t="n">
        <x:v>56935</x:v>
      </x:c>
      <x:c r="M187" s="17" t="n">
        <x:v>67435</x:v>
      </x:c>
      <x:c r="N187" s="14" t="str">
        <x:v>Recurring Transaction</x:v>
      </x:c>
      <x:c r="O187" s="14" t="str">
        <x:v>Yes</x:v>
      </x:c>
      <x:c r="P187" s="14" t="str">
        <x:v>PINE LABS PRIVATE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187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Dep-NEFT-IN42610556923441-JERAI FITNESS LIMITED</x:v>
      </x:c>
      <x:c r="H188" s="14" t="str"/>
      <x:c r="I188" s="14" t="str">
        <x:v>Receipt</x:v>
      </x:c>
      <x:c r="J188" s="17" t="n">
        <x:v>0</x:v>
      </x:c>
      <x:c r="K188" s="17" t="n">
        <x:v>18357.8</x:v>
      </x:c>
      <x:c r="L188" s="17" t="n">
        <x:v>18357.8</x:v>
      </x:c>
      <x:c r="M188" s="17" t="n">
        <x:v>85792.8</x:v>
      </x:c>
      <x:c r="N188" s="14" t="str">
        <x:v>Recurring Transaction</x:v>
      </x:c>
      <x:c r="O188" s="14" t="str">
        <x:v>Yes</x:v>
      </x:c>
      <x:c r="P188" s="14" t="str">
        <x:v>JERAI FITNESS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188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DIGITA-MUMBAI/ NEFT-KKBKH26105643449-VENKTESHWAR INDUSTRIAL CORPO</x:v>
      </x:c>
      <x:c r="H189" s="14" t="str"/>
      <x:c r="I189" s="14" t="str">
        <x:v>Receipt</x:v>
      </x:c>
      <x:c r="J189" s="17" t="n">
        <x:v>0</x:v>
      </x:c>
      <x:c r="K189" s="17" t="n">
        <x:v>28088</x:v>
      </x:c>
      <x:c r="L189" s="17" t="n">
        <x:v>28088</x:v>
      </x:c>
      <x:c r="M189" s="17" t="n">
        <x:v>113880.8</x:v>
      </x:c>
      <x:c r="N189" s="14" t="str">
        <x:v>Recurring Transaction</x:v>
      </x:c>
      <x:c r="O189" s="14" t="str">
        <x:v>Yes</x:v>
      </x:c>
      <x:c r="P189" s="14" t="str">
        <x:v>VENKTESHWAR INDUSTRIAL CORPO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189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NEFT-IN42610557031748-MITA FASTENERS PRIVATE LIMIT</x:v>
      </x:c>
      <x:c r="H190" s="14" t="str"/>
      <x:c r="I190" s="14" t="str">
        <x:v>Receipt</x:v>
      </x:c>
      <x:c r="J190" s="17" t="n">
        <x:v>0</x:v>
      </x:c>
      <x:c r="K190" s="17" t="n">
        <x:v>9044</x:v>
      </x:c>
      <x:c r="L190" s="17" t="n">
        <x:v>9044</x:v>
      </x:c>
      <x:c r="M190" s="17" t="n">
        <x:v>122924.8</x:v>
      </x:c>
      <x:c r="N190" s="14" t="str">
        <x:v>Recurring Transaction</x:v>
      </x:c>
      <x:c r="O190" s="14" t="str">
        <x:v>Yes</x:v>
      </x:c>
      <x:c r="P190" s="14" t="str">
        <x:v>MITA FASTENERS PRIVATE LIMIT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190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NEFT-HDFCH00934703842-QUEST ENTERPRISES PVT LTD</x:v>
      </x:c>
      <x:c r="H191" s="14" t="str"/>
      <x:c r="I191" s="14" t="str">
        <x:v>Receipt</x:v>
      </x:c>
      <x:c r="J191" s="17" t="n">
        <x:v>0</x:v>
      </x:c>
      <x:c r="K191" s="17" t="n">
        <x:v>5000</x:v>
      </x:c>
      <x:c r="L191" s="17" t="n">
        <x:v>5000</x:v>
      </x:c>
      <x:c r="M191" s="17" t="n">
        <x:v>127924.8</x:v>
      </x:c>
      <x:c r="N191" s="14" t="str">
        <x:v>Recurring Transaction</x:v>
      </x:c>
      <x:c r="O191" s="14" t="str">
        <x:v>Yes</x:v>
      </x:c>
      <x:c r="P191" s="14" t="str">
        <x:v>QUEST ENTERPRISES PVT LTD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191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EBANK:WIB/1504 EBANK:WIB/1504096201/Edfs</x:v>
      </x:c>
      <x:c r="H192" s="14" t="str"/>
      <x:c r="I192" s="14" t="str">
        <x:v>Payment</x:v>
      </x:c>
      <x:c r="J192" s="17" t="n">
        <x:v>125424</x:v>
      </x:c>
      <x:c r="K192" s="17" t="n">
        <x:v>0</x:v>
      </x:c>
      <x:c r="L192" s="17" t="n">
        <x:v>125424</x:v>
      </x:c>
      <x:c r="M192" s="17" t="n">
        <x:v>2500.8</x:v>
      </x:c>
      <x:c r="N192" s="14" t="str">
        <x:v>High Transaction; Recurring Transaction</x:v>
      </x:c>
      <x:c r="O192" s="14" t="str">
        <x:v>Yes</x:v>
      </x:c>
      <x:c r="P192" s="14" t="str">
        <x:v>EBANKWIB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1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192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NEFT-NKGSH26105037900-GEBI PRODUCTS PRIVATE LIMITE</x:v>
      </x:c>
      <x:c r="H193" s="14" t="str"/>
      <x:c r="I193" s="14" t="str">
        <x:v>Receipt</x:v>
      </x:c>
      <x:c r="J193" s="17" t="n">
        <x:v>0</x:v>
      </x:c>
      <x:c r="K193" s="17" t="n">
        <x:v>10119</x:v>
      </x:c>
      <x:c r="L193" s="17" t="n">
        <x:v>10119</x:v>
      </x:c>
      <x:c r="M193" s="17" t="n">
        <x:v>12619.8</x:v>
      </x:c>
      <x:c r="N193" s="14" t="str">
        <x:v>Recurring Transaction</x:v>
      </x:c>
      <x:c r="O193" s="14" t="str">
        <x:v>Yes</x:v>
      </x:c>
      <x:c r="P193" s="14" t="str">
        <x:v>GEBI PRODUCTS PRIVATE LIMITE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193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UPI/5133890676 89067648 UPI/513389067648/17:04:34/UPI/surajdhanotra1@ibl/</x:v>
      </x:c>
      <x:c r="H194" s="14" t="str"/>
      <x:c r="I194" s="14" t="str">
        <x:v>Receipt</x:v>
      </x:c>
      <x:c r="J194" s="17" t="n">
        <x:v>0</x:v>
      </x:c>
      <x:c r="K194" s="17" t="n">
        <x:v>3617</x:v>
      </x:c>
      <x:c r="L194" s="17" t="n">
        <x:v>3617</x:v>
      </x:c>
      <x:c r="M194" s="17" t="n">
        <x:v>16236.8</x:v>
      </x:c>
      <x:c r="N194" s="14" t="str">
        <x:v>UPI; Recurring Transaction</x:v>
      </x:c>
      <x:c r="O194" s="14" t="str">
        <x:v>Yes</x:v>
      </x:c>
      <x:c r="P194" s="14" t="str">
        <x:v>SURAJDHANOTRAIBL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194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EBANK:WIB/1504156827/Edfs</x:v>
      </x:c>
      <x:c r="H195" s="14" t="str"/>
      <x:c r="I195" s="14" t="str">
        <x:v>Payment</x:v>
      </x:c>
      <x:c r="J195" s="17" t="n">
        <x:v>13736</x:v>
      </x:c>
      <x:c r="K195" s="17" t="n">
        <x:v>0</x:v>
      </x:c>
      <x:c r="L195" s="17" t="n">
        <x:v>13736</x:v>
      </x:c>
      <x:c r="M195" s="17" t="n">
        <x:v>2500.8</x:v>
      </x:c>
      <x:c r="N195" s="14" t="str">
        <x:v>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195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IMPS/P2A/610519636341/VAKAS TEMPO SER/IMPSCNB9199</x:v>
      </x:c>
      <x:c r="H196" s="14" t="str"/>
      <x:c r="I196" s="14" t="str">
        <x:v>Receipt</x:v>
      </x:c>
      <x:c r="J196" s="17" t="n">
        <x:v>0</x:v>
      </x:c>
      <x:c r="K196" s="17" t="n">
        <x:v>28766</x:v>
      </x:c>
      <x:c r="L196" s="17" t="n">
        <x:v>28766</x:v>
      </x:c>
      <x:c r="M196" s="17" t="n">
        <x:v>31266.8</x:v>
      </x:c>
      <x:c r="N196" s="14" t="str">
        <x:v>Recurring Transaction</x:v>
      </x:c>
      <x:c r="O196" s="14" t="str">
        <x:v>Yes</x:v>
      </x:c>
      <x:c r="P196" s="14" t="str">
        <x:v>VAKAS TEMPO SER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196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DIGITA-MUMBAI/ IMPS/P2A/610519636774/VAKAS TEMPO SER/IMPSCNB9199</x:v>
      </x:c>
      <x:c r="H197" s="14" t="str"/>
      <x:c r="I197" s="14" t="str">
        <x:v>Receipt</x:v>
      </x:c>
      <x:c r="J197" s="17" t="n">
        <x:v>0</x:v>
      </x:c>
      <x:c r="K197" s="17" t="n">
        <x:v>25486</x:v>
      </x:c>
      <x:c r="L197" s="17" t="n">
        <x:v>25486</x:v>
      </x:c>
      <x:c r="M197" s="17" t="n">
        <x:v>56752.8</x:v>
      </x:c>
      <x:c r="N197" s="14" t="str">
        <x:v>Recurring Transaction</x:v>
      </x:c>
      <x:c r="O197" s="14" t="str">
        <x:v>Yes</x:v>
      </x:c>
      <x:c r="P197" s="14" t="str">
        <x:v>VAKAS TEMPO SER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197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EBANK:WIB/1504160264/Edfs</x:v>
      </x:c>
      <x:c r="H198" s="14" t="str"/>
      <x:c r="I198" s="14" t="str">
        <x:v>Payment</x:v>
      </x:c>
      <x:c r="J198" s="17" t="n">
        <x:v>54252.8</x:v>
      </x:c>
      <x:c r="K198" s="17" t="n">
        <x:v>0</x:v>
      </x:c>
      <x:c r="L198" s="17" t="n">
        <x:v>54252.8</x:v>
      </x:c>
      <x:c r="M198" s="17" t="n">
        <x:v>2500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198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NEFT-IN42610557385883-VINAYAK OIL INDUSTRIES</x:v>
      </x:c>
      <x:c r="H199" s="14" t="str"/>
      <x:c r="I199" s="14" t="str">
        <x:v>Receipt</x:v>
      </x:c>
      <x:c r="J199" s="17" t="n">
        <x:v>0</x:v>
      </x:c>
      <x:c r="K199" s="17" t="n">
        <x:v>44496</x:v>
      </x:c>
      <x:c r="L199" s="17" t="n">
        <x:v>44496</x:v>
      </x:c>
      <x:c r="M199" s="17" t="n">
        <x:v>46996</x:v>
      </x:c>
      <x:c r="N199" s="14" t="str">
        <x:v>Recurring Transaction</x:v>
      </x:c>
      <x:c r="O199" s="14" t="str">
        <x:v>Yes</x:v>
      </x:c>
      <x:c r="P199" s="14" t="str">
        <x:v>VINAYAK OIL INDUSTRIES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199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EBANK:WIB/1504 EBANK:WIB/1504165308/Edfs</x:v>
      </x:c>
      <x:c r="H200" s="14" t="str"/>
      <x:c r="I200" s="14" t="str">
        <x:v>Payment</x:v>
      </x:c>
      <x:c r="J200" s="17" t="n">
        <x:v>44496</x:v>
      </x:c>
      <x:c r="K200" s="17" t="n">
        <x:v>0</x:v>
      </x:c>
      <x:c r="L200" s="17" t="n">
        <x:v>44496</x:v>
      </x:c>
      <x:c r="M200" s="17" t="n">
        <x:v>2500</x:v>
      </x:c>
      <x:c r="N200" s="14" t="str">
        <x:v>Recurring Transaction</x:v>
      </x:c>
      <x:c r="O200" s="14" t="str">
        <x:v>Yes</x:v>
      </x:c>
      <x:c r="P200" s="14" t="str">
        <x:v>EBANKWIB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200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46128</x:v>
      </x:c>
      <x:c r="F201" s="15" t="n">
        <x:v>46128</x:v>
      </x:c>
      <x:c r="G20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1" s="14" t="str"/>
      <x:c r="I201" s="14" t="str">
        <x:v>Receipt</x:v>
      </x:c>
      <x:c r="J201" s="17" t="n">
        <x:v>0</x:v>
      </x:c>
      <x:c r="K201" s="17" t="n">
        <x:v>239756</x:v>
      </x:c>
      <x:c r="L201" s="17" t="n">
        <x:v>239756</x:v>
      </x:c>
      <x:c r="M201" s="17" t="n">
        <x:v>242256</x:v>
      </x:c>
      <x:c r="N201" s="14" t="str">
        <x:v>High Transaction; Recurring Transaction</x:v>
      </x:c>
      <x:c r="O201" s="14" t="str">
        <x:v>Yes</x:v>
      </x:c>
      <x:c r="P201" s="14" t="str">
        <x:v>PHONEPE LIMITED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1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46128</x:v>
      </x:c>
    </x:row>
    <x:row r="202">
      <x:c r="A202" s="14" t="n">
        <x:v>201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46128</x:v>
      </x:c>
      <x:c r="F202" s="15" t="n">
        <x:v>46128</x:v>
      </x:c>
      <x:c r="G202" s="16" t="str">
        <x:v>DIGITA-MUMBAI/ NEFT-AXNPN10621015464-PHONEPE LIMITED-PAYMENT AGGR</x:v>
      </x:c>
      <x:c r="H202" s="14" t="str"/>
      <x:c r="I202" s="14" t="str">
        <x:v>Receipt</x:v>
      </x:c>
      <x:c r="J202" s="17" t="n">
        <x:v>0</x:v>
      </x:c>
      <x:c r="K202" s="17" t="n">
        <x:v>74560.78</x:v>
      </x:c>
      <x:c r="L202" s="17" t="n">
        <x:v>74560.78</x:v>
      </x:c>
      <x:c r="M202" s="17" t="n">
        <x:v>316816.78</x:v>
      </x:c>
      <x:c r="N202" s="14" t="str">
        <x:v>Recurring Transaction</x:v>
      </x:c>
      <x:c r="O202" s="14" t="str">
        <x:v>Yes</x:v>
      </x:c>
      <x:c r="P202" s="14" t="str">
        <x:v>PHONEPE LIMITED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46128</x:v>
      </x:c>
    </x:row>
    <x:row r="203">
      <x:c r="A203" s="14" t="n">
        <x:v>202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46128</x:v>
      </x:c>
      <x:c r="F203" s="15" t="n">
        <x:v>46128</x:v>
      </x:c>
      <x:c r="G203" s="16" t="str">
        <x:v>DIGITA-MUMBAI/ NEFT-AXISCN1312951656-ONE MOBIKWIK SYSTEMS LIMITED</x:v>
      </x:c>
      <x:c r="H203" s="14" t="str"/>
      <x:c r="I203" s="14" t="str">
        <x:v>Receipt</x:v>
      </x:c>
      <x:c r="J203" s="17" t="n">
        <x:v>0</x:v>
      </x:c>
      <x:c r="K203" s="17" t="n">
        <x:v>1700</x:v>
      </x:c>
      <x:c r="L203" s="17" t="n">
        <x:v>1700</x:v>
      </x:c>
      <x:c r="M203" s="17" t="n">
        <x:v>318516.78</x:v>
      </x:c>
      <x:c r="N203" s="14" t="str">
        <x:v>Recurring Transaction</x:v>
      </x:c>
      <x:c r="O203" s="14" t="str">
        <x:v>Yes</x:v>
      </x:c>
      <x:c r="P203" s="14" t="str">
        <x:v>ONE MOBIKWIK SYSTEMS LIMITED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46128</x:v>
      </x:c>
    </x:row>
    <x:row r="204">
      <x:c r="A204" s="14" t="n">
        <x:v>203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NEFT-AXISCN1312996692-PINE LABS PRIVATE LIMITED-NO</x:v>
      </x:c>
      <x:c r="H204" s="14" t="str"/>
      <x:c r="I204" s="14" t="str">
        <x:v>Receipt</x:v>
      </x:c>
      <x:c r="J204" s="17" t="n">
        <x:v>0</x:v>
      </x:c>
      <x:c r="K204" s="17" t="n">
        <x:v>250421</x:v>
      </x:c>
      <x:c r="L204" s="17" t="n">
        <x:v>250421</x:v>
      </x:c>
      <x:c r="M204" s="17" t="n">
        <x:v>568937.78</x:v>
      </x:c>
      <x:c r="N204" s="14" t="str">
        <x:v>High Transaction; Recurring Transaction</x:v>
      </x:c>
      <x:c r="O204" s="14" t="str">
        <x:v>Yes</x:v>
      </x:c>
      <x:c r="P204" s="14" t="str">
        <x:v>PINE LABS PRIVATE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204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IMPS/P2A/610649287711/KAVITA ENTERPRI/Diesel paym</x:v>
      </x:c>
      <x:c r="H205" s="14" t="str"/>
      <x:c r="I205" s="14" t="str">
        <x:v>Receipt</x:v>
      </x:c>
      <x:c r="J205" s="17" t="n">
        <x:v>0</x:v>
      </x:c>
      <x:c r="K205" s="17" t="n">
        <x:v>66021</x:v>
      </x:c>
      <x:c r="L205" s="17" t="n">
        <x:v>66021</x:v>
      </x:c>
      <x:c r="M205" s="17" t="n">
        <x:v>634958.78</x:v>
      </x:c>
      <x:c r="N205" s="14" t="str">
        <x:v>Other</x:v>
      </x:c>
      <x:c r="O205" s="14" t="str">
        <x:v>No</x:v>
      </x:c>
      <x:c r="P205" s="14" t="str">
        <x:v>KAVITA ENTERPRI</x:v>
      </x:c>
      <x:c r="Q205" s="14" t="n">
        <x:v>0</x:v>
      </x:c>
      <x:c r="R205" s="14" t="n">
        <x:v>0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205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RTGS-UBINR2202 RTGS-UBINR22026041601283543-SAPNA BUILDING MATERIA</x:v>
      </x:c>
      <x:c r="H206" s="14" t="str"/>
      <x:c r="I206" s="14" t="str">
        <x:v>Receipt</x:v>
      </x:c>
      <x:c r="J206" s="17" t="n">
        <x:v>0</x:v>
      </x:c>
      <x:c r="K206" s="17" t="n">
        <x:v>200000</x:v>
      </x:c>
      <x:c r="L206" s="17" t="n">
        <x:v>200000</x:v>
      </x:c>
      <x:c r="M206" s="17" t="n">
        <x:v>834958.78</x:v>
      </x:c>
      <x:c r="N206" s="14" t="str">
        <x:v>High Transaction</x:v>
      </x:c>
      <x:c r="O206" s="14" t="str">
        <x:v>No</x:v>
      </x:c>
      <x:c r="P206" s="14" t="str">
        <x:v>UBINR RTGS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206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https://cbdrpt101.bankofbaroda.co.in:22000/finbranch/arjspmorph/INFENG/tran_rpt.jsp?... 04-05-2026 NEFT-NKGSH26106053406-GEBI PRODUCTS PRIVATE LIMITE</x:v>
      </x:c>
      <x:c r="H207" s="14" t="str"/>
      <x:c r="I207" s="14" t="str">
        <x:v>Receipt</x:v>
      </x:c>
      <x:c r="J207" s="17" t="n">
        <x:v>0</x:v>
      </x:c>
      <x:c r="K207" s="17" t="n">
        <x:v>2407</x:v>
      </x:c>
      <x:c r="L207" s="17" t="n">
        <x:v>2407</x:v>
      </x:c>
      <x:c r="M207" s="17" t="n">
        <x:v>837365.78</x:v>
      </x:c>
      <x:c r="N207" s="14" t="str">
        <x:v>Recurring Transaction</x:v>
      </x:c>
      <x:c r="O207" s="14" t="str">
        <x:v>Yes</x:v>
      </x:c>
      <x:c r="P207" s="14" t="str">
        <x:v>CBDRPTBANKOFBARODACOIN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207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IMPS/P2A/610615582026/SHREE GANESH EN/dieselVVS91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900673.78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208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EBANK:WIB/1504 EBANK:WIB/1504268202/Edfs</x:v>
      </x:c>
      <x:c r="H209" s="14" t="str"/>
      <x:c r="I209" s="14" t="str">
        <x:v>Payment</x:v>
      </x:c>
      <x:c r="J209" s="17" t="n">
        <x:v>898173.78</x:v>
      </x:c>
      <x:c r="K209" s="17" t="n">
        <x:v>0</x:v>
      </x:c>
      <x:c r="L209" s="17" t="n">
        <x:v>898173.78</x:v>
      </x:c>
      <x:c r="M209" s="17" t="n">
        <x:v>2500</x:v>
      </x:c>
      <x:c r="N209" s="14" t="str">
        <x:v>High Transaction; Recurring Transaction</x:v>
      </x:c>
      <x:c r="O209" s="14" t="str">
        <x:v>Yes</x:v>
      </x:c>
      <x:c r="P209" s="14" t="str">
        <x:v>EBANKWIB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209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NEFT-HDFCH00937546897-KUNDAN QUARRY</x:v>
      </x:c>
      <x:c r="H210" s="14" t="str"/>
      <x:c r="I210" s="14" t="str">
        <x:v>Receipt</x:v>
      </x:c>
      <x:c r="J210" s="17" t="n">
        <x:v>0</x:v>
      </x:c>
      <x:c r="K210" s="17" t="n">
        <x:v>6250</x:v>
      </x:c>
      <x:c r="L210" s="17" t="n">
        <x:v>6250</x:v>
      </x:c>
      <x:c r="M210" s="17" t="n">
        <x:v>8750</x:v>
      </x:c>
      <x:c r="N210" s="14" t="str">
        <x:v>Recurring Transaction</x:v>
      </x:c>
      <x:c r="O210" s="14" t="str">
        <x:v>Yes</x:v>
      </x:c>
      <x:c r="P210" s="14" t="str">
        <x:v>KUNDAN QUARRY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210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46129</x:v>
      </x:c>
      <x:c r="F211" s="15" t="n">
        <x:v>46129</x:v>
      </x:c>
      <x:c r="G211" s="16" t="str">
        <x:v>DIGITA-MUMBAI/ NEFT-YESAP61072570192-PhonePe Limited</x:v>
      </x:c>
      <x:c r="H211" s="14" t="str"/>
      <x:c r="I211" s="14" t="str">
        <x:v>Receipt</x:v>
      </x:c>
      <x:c r="J211" s="17" t="n">
        <x:v>0</x:v>
      </x:c>
      <x:c r="K211" s="17" t="n">
        <x:v>249326.76</x:v>
      </x:c>
      <x:c r="L211" s="17" t="n">
        <x:v>249326.76</x:v>
      </x:c>
      <x:c r="M211" s="17" t="n">
        <x:v>258076.76</x:v>
      </x:c>
      <x:c r="N211" s="14" t="str">
        <x:v>High Transaction; Recurring Transaction</x:v>
      </x:c>
      <x:c r="O211" s="14" t="str">
        <x:v>Yes</x:v>
      </x:c>
      <x:c r="P211" s="14" t="str">
        <x:v>PHONEPE LIMITED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46129</x:v>
      </x:c>
    </x:row>
    <x:row r="212">
      <x:c r="A212" s="14" t="n">
        <x:v>211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46129</x:v>
      </x:c>
      <x:c r="F212" s="15" t="n">
        <x:v>46129</x:v>
      </x:c>
      <x:c r="G212" s="16" t="str">
        <x:v>DIGITA-MUMBAI/ NEFT-AXNPN10729450166-PHONEPE LIMITED-PAYMENT AGGR</x:v>
      </x:c>
      <x:c r="H212" s="14" t="str"/>
      <x:c r="I212" s="14" t="str">
        <x:v>Receipt</x:v>
      </x:c>
      <x:c r="J212" s="17" t="n">
        <x:v>0</x:v>
      </x:c>
      <x:c r="K212" s="17" t="n">
        <x:v>72938</x:v>
      </x:c>
      <x:c r="L212" s="17" t="n">
        <x:v>72938</x:v>
      </x:c>
      <x:c r="M212" s="17" t="n">
        <x:v>331014.76</x:v>
      </x:c>
      <x:c r="N212" s="14" t="str">
        <x:v>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46129</x:v>
      </x:c>
    </x:row>
    <x:row r="213">
      <x:c r="A213" s="14" t="n">
        <x:v>212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46129</x:v>
      </x:c>
      <x:c r="F213" s="15" t="n">
        <x:v>46129</x:v>
      </x:c>
      <x:c r="G213" s="16" t="str">
        <x:v>EBANK:WIB/1504 EBANK:WIB/1504347697/Edfs</x:v>
      </x:c>
      <x:c r="H213" s="14" t="str"/>
      <x:c r="I213" s="14" t="str">
        <x:v>Payment</x:v>
      </x:c>
      <x:c r="J213" s="17" t="n">
        <x:v>328514.76</x:v>
      </x:c>
      <x:c r="K213" s="17" t="n">
        <x:v>0</x:v>
      </x:c>
      <x:c r="L213" s="17" t="n">
        <x:v>328514.76</x:v>
      </x:c>
      <x:c r="M213" s="17" t="n">
        <x:v>2500</x:v>
      </x:c>
      <x:c r="N213" s="14" t="str">
        <x:v>High Transaction; Recurring Transaction</x:v>
      </x:c>
      <x:c r="O213" s="14" t="str">
        <x:v>Yes</x:v>
      </x:c>
      <x:c r="P213" s="14" t="str">
        <x:v>EBANKWIB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46129</x:v>
      </x:c>
    </x:row>
    <x:row r="214">
      <x:c r="A214" s="14" t="n">
        <x:v>213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NEFT-AXISCN1314090244-ONE MOBIKWIK SYSTEMS LIMITED</x:v>
      </x:c>
      <x:c r="H214" s="14" t="str"/>
      <x:c r="I214" s="14" t="str">
        <x:v>Receipt</x:v>
      </x:c>
      <x:c r="J214" s="17" t="n">
        <x:v>0</x:v>
      </x:c>
      <x:c r="K214" s="17" t="n">
        <x:v>25410</x:v>
      </x:c>
      <x:c r="L214" s="17" t="n">
        <x:v>25410</x:v>
      </x:c>
      <x:c r="M214" s="17" t="n">
        <x:v>27910</x:v>
      </x:c>
      <x:c r="N214" s="14" t="str">
        <x:v>Recurring Transaction</x:v>
      </x:c>
      <x:c r="O214" s="14" t="str">
        <x:v>Yes</x:v>
      </x:c>
      <x:c r="P214" s="14" t="str">
        <x:v>ONE MOBIKWIK SYSTEMS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214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NEFT-AXISCN1314172091-PINE LABS PRIVATE LIMITED-NO</x:v>
      </x:c>
      <x:c r="H215" s="14" t="str"/>
      <x:c r="I215" s="14" t="str">
        <x:v>Receipt</x:v>
      </x:c>
      <x:c r="J215" s="17" t="n">
        <x:v>0</x:v>
      </x:c>
      <x:c r="K215" s="17" t="n">
        <x:v>33352</x:v>
      </x:c>
      <x:c r="L215" s="17" t="n">
        <x:v>33352</x:v>
      </x:c>
      <x:c r="M215" s="17" t="n">
        <x:v>61262</x:v>
      </x:c>
      <x:c r="N215" s="14" t="str">
        <x:v>Recurring Transaction</x:v>
      </x:c>
      <x:c r="O215" s="14" t="str">
        <x:v>Yes</x:v>
      </x:c>
      <x:c r="P215" s="14" t="str">
        <x:v>PINE LABS PRIVATE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215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DIGITA-MUMBAI/ IMPS/P2A/610752978132/SAYEDTAHIRUDDIN/IMPS P2A JI</x:v>
      </x:c>
      <x:c r="H216" s="14" t="str"/>
      <x:c r="I216" s="14" t="str">
        <x:v>Receipt</x:v>
      </x:c>
      <x:c r="J216" s="17" t="n">
        <x:v>0</x:v>
      </x:c>
      <x:c r="K216" s="17" t="n">
        <x:v>45220</x:v>
      </x:c>
      <x:c r="L216" s="17" t="n">
        <x:v>45220</x:v>
      </x:c>
      <x:c r="M216" s="17" t="n">
        <x:v>106482</x:v>
      </x:c>
      <x:c r="N216" s="14" t="str">
        <x:v>Recurring Transaction</x:v>
      </x:c>
      <x:c r="O216" s="14" t="str">
        <x:v>Yes</x:v>
      </x:c>
      <x:c r="P216" s="14" t="str">
        <x:v>SAYEDTAHIRUDDIN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216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17" s="14" t="str"/>
      <x:c r="I217" s="14" t="str">
        <x:v>Receipt</x:v>
      </x:c>
      <x:c r="J217" s="17" t="n">
        <x:v>0</x:v>
      </x:c>
      <x:c r="K217" s="17" t="n">
        <x:v>48786</x:v>
      </x:c>
      <x:c r="L217" s="17" t="n">
        <x:v>48786</x:v>
      </x:c>
      <x:c r="M217" s="17" t="n">
        <x:v>155268</x:v>
      </x:c>
      <x:c r="N217" s="14" t="str">
        <x:v>Recurring Transaction</x:v>
      </x:c>
      <x:c r="O217" s="14" t="str">
        <x:v>Yes</x:v>
      </x:c>
      <x:c r="P217" s="14" t="str">
        <x:v>PAGE TOTAL   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217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EBANK:WIB/1504 EBANK:WIB/1504424773/Edfs</x:v>
      </x:c>
      <x:c r="H218" s="14" t="str"/>
      <x:c r="I218" s="14" t="str">
        <x:v>Payment</x:v>
      </x:c>
      <x:c r="J218" s="17" t="n">
        <x:v>150000</x:v>
      </x:c>
      <x:c r="K218" s="17" t="n">
        <x:v>0</x:v>
      </x:c>
      <x:c r="L218" s="17" t="n">
        <x:v>150000</x:v>
      </x:c>
      <x:c r="M218" s="17" t="n">
        <x:v>5268</x:v>
      </x:c>
      <x:c r="N218" s="14" t="str">
        <x:v>High Transaction; Recurring Transaction</x:v>
      </x:c>
      <x:c r="O218" s="14" t="str">
        <x:v>Yes</x:v>
      </x:c>
      <x:c r="P218" s="14" t="str">
        <x:v>EBANKWIB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218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BOBID:1503699072</x:v>
      </x:c>
      <x:c r="H219" s="14" t="str"/>
      <x:c r="I219" s="14" t="str">
        <x:v>Receipt</x:v>
      </x:c>
      <x:c r="J219" s="17" t="n">
        <x:v>0</x:v>
      </x:c>
      <x:c r="K219" s="17" t="n">
        <x:v>1000</x:v>
      </x:c>
      <x:c r="L219" s="17" t="n">
        <x:v>1000</x:v>
      </x:c>
      <x:c r="M219" s="17" t="n">
        <x:v>6268</x:v>
      </x:c>
      <x:c r="N219" s="14" t="str">
        <x:v>Other</x:v>
      </x:c>
      <x:c r="O219" s="14" t="str">
        <x:v>No</x:v>
      </x:c>
      <x:c r="P219" s="14" t="str">
        <x:v>DIGITA-MUMBAI/ BOBID:#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219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NEFT-HDFCH00940845785-SUDHIR SWITCHGEARS PVT LTD</x:v>
      </x:c>
      <x:c r="H220" s="14" t="str"/>
      <x:c r="I220" s="14" t="str">
        <x:v>Receipt</x:v>
      </x:c>
      <x:c r="J220" s="17" t="n">
        <x:v>0</x:v>
      </x:c>
      <x:c r="K220" s="17" t="n">
        <x:v>58304</x:v>
      </x:c>
      <x:c r="L220" s="17" t="n">
        <x:v>58304</x:v>
      </x:c>
      <x:c r="M220" s="17" t="n">
        <x:v>64572</x:v>
      </x:c>
      <x:c r="N220" s="14" t="str">
        <x:v>Other</x:v>
      </x:c>
      <x:c r="O220" s="14" t="str">
        <x:v>No</x:v>
      </x:c>
      <x:c r="P220" s="14" t="str">
        <x:v>SUDHIR SWITCHGEARS PVT LTD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220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46130</x:v>
      </x:c>
      <x:c r="F221" s="15" t="n">
        <x:v>46130</x:v>
      </x:c>
      <x:c r="G221" s="16" t="str">
        <x:v>DIGITA-MUMBAI/ NEFT-YESAP61082703898-PhonePe Limited</x:v>
      </x:c>
      <x:c r="H221" s="14" t="str"/>
      <x:c r="I221" s="14" t="str">
        <x:v>Receipt</x:v>
      </x:c>
      <x:c r="J221" s="17" t="n">
        <x:v>0</x:v>
      </x:c>
      <x:c r="K221" s="17" t="n">
        <x:v>219193</x:v>
      </x:c>
      <x:c r="L221" s="17" t="n">
        <x:v>219193</x:v>
      </x:c>
      <x:c r="M221" s="17" t="n">
        <x:v>283765</x:v>
      </x:c>
      <x:c r="N221" s="14" t="str">
        <x:v>High Transaction; Recurring Transaction</x:v>
      </x:c>
      <x:c r="O221" s="14" t="str">
        <x:v>Yes</x:v>
      </x:c>
      <x:c r="P221" s="14" t="str">
        <x:v>PHONEPE LIMITED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46130</x:v>
      </x:c>
    </x:row>
    <x:row r="222">
      <x:c r="A222" s="14" t="n">
        <x:v>221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46130</x:v>
      </x:c>
      <x:c r="F222" s="15" t="n">
        <x:v>46130</x:v>
      </x:c>
      <x:c r="G222" s="16" t="str">
        <x:v>DIGITA-MUMBAI/ NEFT-AXNPN10838004592-PHONEPE LIMITED-PAYMENT AGGR</x:v>
      </x:c>
      <x:c r="H222" s="14" t="str"/>
      <x:c r="I222" s="14" t="str">
        <x:v>Receipt</x:v>
      </x:c>
      <x:c r="J222" s="17" t="n">
        <x:v>0</x:v>
      </x:c>
      <x:c r="K222" s="17" t="n">
        <x:v>61076.28</x:v>
      </x:c>
      <x:c r="L222" s="17" t="n">
        <x:v>61076.28</x:v>
      </x:c>
      <x:c r="M222" s="17" t="n">
        <x:v>344841.28</x:v>
      </x:c>
      <x:c r="N222" s="14" t="str">
        <x:v>Recurring Transaction</x:v>
      </x:c>
      <x:c r="O222" s="14" t="str">
        <x:v>Yes</x:v>
      </x:c>
      <x:c r="P222" s="14" t="str">
        <x:v>PHONEPE LIMITED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46130</x:v>
      </x:c>
    </x:row>
    <x:row r="223">
      <x:c r="A223" s="14" t="n">
        <x:v>222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46130</x:v>
      </x:c>
      <x:c r="F223" s="15" t="n">
        <x:v>46130</x:v>
      </x:c>
      <x:c r="G223" s="16" t="str">
        <x:v>DIGITA-MUMBAI/ NEFT-AXISCN1315312388-ONE MOBIKWIK SYSTEMS LIMITED</x:v>
      </x:c>
      <x:c r="H223" s="14" t="str"/>
      <x:c r="I223" s="14" t="str">
        <x:v>Receipt</x:v>
      </x:c>
      <x:c r="J223" s="17" t="n">
        <x:v>0</x:v>
      </x:c>
      <x:c r="K223" s="17" t="n">
        <x:v>15702</x:v>
      </x:c>
      <x:c r="L223" s="17" t="n">
        <x:v>15702</x:v>
      </x:c>
      <x:c r="M223" s="17" t="n">
        <x:v>360543.28</x:v>
      </x:c>
      <x:c r="N223" s="14" t="str">
        <x:v>Recurring Transaction</x:v>
      </x:c>
      <x:c r="O223" s="14" t="str">
        <x:v>Yes</x:v>
      </x:c>
      <x:c r="P223" s="14" t="str">
        <x:v>ONE MOBIKWIK SYSTEMS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46130</x:v>
      </x:c>
    </x:row>
    <x:row r="224">
      <x:c r="A224" s="14" t="n">
        <x:v>223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NEFT-AXISCN1315357169-PINE LABS PRIVATE LIMITED-NO</x:v>
      </x:c>
      <x:c r="H224" s="14" t="str"/>
      <x:c r="I224" s="14" t="str">
        <x:v>Receipt</x:v>
      </x:c>
      <x:c r="J224" s="17" t="n">
        <x:v>0</x:v>
      </x:c>
      <x:c r="K224" s="17" t="n">
        <x:v>52492</x:v>
      </x:c>
      <x:c r="L224" s="17" t="n">
        <x:v>52492</x:v>
      </x:c>
      <x:c r="M224" s="17" t="n">
        <x:v>413035.28</x:v>
      </x:c>
      <x:c r="N224" s="14" t="str">
        <x:v>Recurring Transaction</x:v>
      </x:c>
      <x:c r="O224" s="14" t="str">
        <x:v>Yes</x:v>
      </x:c>
      <x:c r="P224" s="14" t="str">
        <x:v>PINE LABS PRIVATE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224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UPI/1217782049 78204946 UPI/121778204946/11:06:59/UPI/sureshenterprises15</x:v>
      </x:c>
      <x:c r="H225" s="14" t="str"/>
      <x:c r="I225" s="14" t="str">
        <x:v>Receipt</x:v>
      </x:c>
      <x:c r="J225" s="17" t="n">
        <x:v>0</x:v>
      </x:c>
      <x:c r="K225" s="17" t="n">
        <x:v>15000</x:v>
      </x:c>
      <x:c r="L225" s="17" t="n">
        <x:v>15000</x:v>
      </x:c>
      <x:c r="M225" s="17" t="n">
        <x:v>428035.28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225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NEFT-IN42610859044614-SMITA STEELS ROLLING MILLS P</x:v>
      </x:c>
      <x:c r="H226" s="14" t="str"/>
      <x:c r="I226" s="14" t="str">
        <x:v>Receipt</x:v>
      </x:c>
      <x:c r="J226" s="17" t="n">
        <x:v>0</x:v>
      </x:c>
      <x:c r="K226" s="17" t="n">
        <x:v>18000</x:v>
      </x:c>
      <x:c r="L226" s="17" t="n">
        <x:v>18000</x:v>
      </x:c>
      <x:c r="M226" s="17" t="n">
        <x:v>446035.28</x:v>
      </x:c>
      <x:c r="N226" s="14" t="str">
        <x:v>Other</x:v>
      </x:c>
      <x:c r="O226" s="14" t="str">
        <x:v>No</x:v>
      </x:c>
      <x:c r="P226" s="14" t="str">
        <x:v>SMITA STEELS ROLLING MILLS P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226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NEFT-FBPT261087153653-PREMIER CONVEYORS PRIVATE LI</x:v>
      </x:c>
      <x:c r="H227" s="14" t="str"/>
      <x:c r="I227" s="14" t="str">
        <x:v>Receipt</x:v>
      </x:c>
      <x:c r="J227" s="17" t="n">
        <x:v>0</x:v>
      </x:c>
      <x:c r="K227" s="17" t="n">
        <x:v>37132</x:v>
      </x:c>
      <x:c r="L227" s="17" t="n">
        <x:v>37132</x:v>
      </x:c>
      <x:c r="M227" s="17" t="n">
        <x:v>483167.28</x:v>
      </x:c>
      <x:c r="N227" s="14" t="str">
        <x:v>EMI; Recurring Transaction</x:v>
      </x:c>
      <x:c r="O227" s="14" t="str">
        <x:v>Yes</x:v>
      </x:c>
      <x:c r="P227" s="14" t="str">
        <x:v>PREMIER CONVEYORS PRIVATE LI</x:v>
      </x:c>
      <x:c r="Q227" s="14" t="n">
        <x:v>0</x:v>
      </x:c>
      <x:c r="R227" s="14" t="n">
        <x:v>1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227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EBANK:WIB/1504 EBANK:WIB/1504650433/Edfs</x:v>
      </x:c>
      <x:c r="H228" s="14" t="str"/>
      <x:c r="I228" s="14" t="str">
        <x:v>Payment</x:v>
      </x:c>
      <x:c r="J228" s="17" t="n">
        <x:v>480667.28</x:v>
      </x:c>
      <x:c r="K228" s="17" t="n">
        <x:v>0</x:v>
      </x:c>
      <x:c r="L228" s="17" t="n">
        <x:v>480667.28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228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46131</x:v>
      </x:c>
      <x:c r="F229" s="15" t="n">
        <x:v>46131</x:v>
      </x:c>
      <x:c r="G229" s="16" t="str">
        <x:v>DIGITA-MUMBAI/ NEFT-AXNPN10949045747-PHONEPE LIMITED-PAYMENT AGGR</x:v>
      </x:c>
      <x:c r="H229" s="14" t="str"/>
      <x:c r="I229" s="14" t="str">
        <x:v>Receipt</x:v>
      </x:c>
      <x:c r="J229" s="17" t="n">
        <x:v>0</x:v>
      </x:c>
      <x:c r="K229" s="17" t="n">
        <x:v>66511</x:v>
      </x:c>
      <x:c r="L229" s="17" t="n">
        <x:v>66511</x:v>
      </x:c>
      <x:c r="M229" s="17" t="n">
        <x:v>69011</x:v>
      </x:c>
      <x:c r="N229" s="14" t="str">
        <x:v>Recurring Transaction</x:v>
      </x:c>
      <x:c r="O229" s="14" t="str">
        <x:v>Yes</x:v>
      </x:c>
      <x:c r="P229" s="14" t="str">
        <x:v>PHONEPE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46131</x:v>
      </x:c>
    </x:row>
    <x:row r="230">
      <x:c r="A230" s="14" t="n">
        <x:v>229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46131</x:v>
      </x:c>
      <x:c r="F230" s="15" t="n">
        <x:v>46131</x:v>
      </x:c>
      <x:c r="G230" s="16" t="str">
        <x:v>DIGITA-MUMBAI/ NEFT-YESAP61090338379-PhonePe Limited https://cbdrpt101.bankofbaroda.co.in:22000/finbranch/arjspmorph/INFENG/tran_rpt.jsp?... 04-05-2026</x:v>
      </x:c>
      <x:c r="H230" s="14" t="str"/>
      <x:c r="I230" s="14" t="str">
        <x:v>Receipt</x:v>
      </x:c>
      <x:c r="J230" s="17" t="n">
        <x:v>0</x:v>
      </x:c>
      <x:c r="K230" s="17" t="n">
        <x:v>218422</x:v>
      </x:c>
      <x:c r="L230" s="17" t="n">
        <x:v>218422</x:v>
      </x:c>
      <x:c r="M230" s="17" t="n">
        <x:v>287433</x:v>
      </x:c>
      <x:c r="N230" s="14" t="str">
        <x:v>High Transaction</x:v>
      </x:c>
      <x:c r="O230" s="14" t="str">
        <x:v>No</x:v>
      </x:c>
      <x:c r="P230" s="14" t="str">
        <x:v>PHONEPE LIMITED HTTPS</x:v>
      </x:c>
      <x:c r="Q230" s="14" t="n">
        <x:v>0</x:v>
      </x:c>
      <x:c r="R230" s="14" t="n">
        <x:v>0</x:v>
      </x:c>
      <x:c r="S230" s="14" t="n">
        <x:v>0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46131</x:v>
      </x:c>
    </x:row>
    <x:row r="231">
      <x:c r="A231" s="14" t="n">
        <x:v>230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46131</x:v>
      </x:c>
      <x:c r="F231" s="15" t="n">
        <x:v>46131</x:v>
      </x:c>
      <x:c r="G231" s="16" t="str">
        <x:v>DIGITA-MUMBAI/ NEFT-AXISCN1317988876-ONE MOBIKWIK SYSTEMS LIMITED</x:v>
      </x:c>
      <x:c r="H231" s="14" t="str"/>
      <x:c r="I231" s="14" t="str">
        <x:v>Receipt</x:v>
      </x:c>
      <x:c r="J231" s="17" t="n">
        <x:v>0</x:v>
      </x:c>
      <x:c r="K231" s="17" t="n">
        <x:v>2500</x:v>
      </x:c>
      <x:c r="L231" s="17" t="n">
        <x:v>2500</x:v>
      </x:c>
      <x:c r="M231" s="17" t="n">
        <x:v>289933</x:v>
      </x:c>
      <x:c r="N231" s="14" t="str">
        <x:v>Recurring Transaction</x:v>
      </x:c>
      <x:c r="O231" s="14" t="str">
        <x:v>Yes</x:v>
      </x:c>
      <x:c r="P231" s="14" t="str">
        <x:v>ONE MOBIKWIK SYSTEMS LIMITED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46131</x:v>
      </x:c>
    </x:row>
    <x:row r="232">
      <x:c r="A232" s="14" t="n">
        <x:v>231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EBANK:WIB/1504 EBANK:WIB/1504657570/Edfs</x:v>
      </x:c>
      <x:c r="H232" s="14" t="str"/>
      <x:c r="I232" s="14" t="str">
        <x:v>Payment</x:v>
      </x:c>
      <x:c r="J232" s="17" t="n">
        <x:v>259433</x:v>
      </x:c>
      <x:c r="K232" s="17" t="n">
        <x:v>0</x:v>
      </x:c>
      <x:c r="L232" s="17" t="n">
        <x:v>259433</x:v>
      </x:c>
      <x:c r="M232" s="17" t="n">
        <x:v>30500</x:v>
      </x:c>
      <x:c r="N232" s="14" t="str">
        <x:v>High Transaction; Recurring Transaction</x:v>
      </x:c>
      <x:c r="O232" s="14" t="str">
        <x:v>Yes</x:v>
      </x:c>
      <x:c r="P232" s="14" t="str">
        <x:v>EBANKWIB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1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232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3" s="14" t="str"/>
      <x:c r="I233" s="14" t="str">
        <x:v>Receipt</x:v>
      </x:c>
      <x:c r="J233" s="17" t="n">
        <x:v>0</x:v>
      </x:c>
      <x:c r="K233" s="17" t="n">
        <x:v>40698</x:v>
      </x:c>
      <x:c r="L233" s="17" t="n">
        <x:v>40698</x:v>
      </x:c>
      <x:c r="M233" s="17" t="n">
        <x:v>71198</x:v>
      </x:c>
      <x:c r="N233" s="14" t="str">
        <x:v>Recurring Transaction</x:v>
      </x:c>
      <x:c r="O233" s="14" t="str">
        <x:v>Yes</x:v>
      </x:c>
      <x:c r="P233" s="14" t="str">
        <x:v>PAGE TOTAL   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233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SMS Charges SMS Charges for MAR 26</x:v>
      </x:c>
      <x:c r="H234" s="14" t="str"/>
      <x:c r="I234" s="14" t="str">
        <x:v>Payment</x:v>
      </x:c>
      <x:c r="J234" s="17" t="n">
        <x:v>0.47</x:v>
      </x:c>
      <x:c r="K234" s="17" t="n">
        <x:v>0</x:v>
      </x:c>
      <x:c r="L234" s="17" t="n">
        <x:v>0.47</x:v>
      </x:c>
      <x:c r="M234" s="17" t="n">
        <x:v>71197.53</x:v>
      </x:c>
      <x:c r="N234" s="14" t="str">
        <x:v>Other</x:v>
      </x:c>
      <x:c r="O234" s="14" t="str">
        <x:v>No</x:v>
      </x:c>
      <x:c r="P234" s="14" t="str">
        <x:v>SMS CHARGES SMS CHARGES FOR MAR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234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DIGITA-MUMBAI/ IMPS/P2A/610911584011/SHREE GANESH EN/diesel VVS9</x:v>
      </x:c>
      <x:c r="H235" s="14" t="str"/>
      <x:c r="I235" s="14" t="str">
        <x:v>Receipt</x:v>
      </x:c>
      <x:c r="J235" s="17" t="n">
        <x:v>0</x:v>
      </x:c>
      <x:c r="K235" s="17" t="n">
        <x:v>63308</x:v>
      </x:c>
      <x:c r="L235" s="17" t="n">
        <x:v>63308</x:v>
      </x:c>
      <x:c r="M235" s="17" t="n">
        <x:v>134505.53</x:v>
      </x:c>
      <x:c r="N235" s="14" t="str">
        <x:v>Recurring Transaction</x:v>
      </x:c>
      <x:c r="O235" s="14" t="str">
        <x:v>Yes</x:v>
      </x:c>
      <x:c r="P235" s="14" t="str">
        <x:v>SHREE GANESH EN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235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UPI/4002793229 79322988 UPI/400279322988/11:44:31/UPI/surajdhanotra1@ibl/</x:v>
      </x:c>
      <x:c r="H236" s="14" t="str"/>
      <x:c r="I236" s="14" t="str">
        <x:v>Receipt</x:v>
      </x:c>
      <x:c r="J236" s="17" t="n">
        <x:v>0</x:v>
      </x:c>
      <x:c r="K236" s="17" t="n">
        <x:v>11305</x:v>
      </x:c>
      <x:c r="L236" s="17" t="n">
        <x:v>11305</x:v>
      </x:c>
      <x:c r="M236" s="17" t="n">
        <x:v>145810.53</x:v>
      </x:c>
      <x:c r="N236" s="14" t="str">
        <x:v>UPI; Recurring Transaction</x:v>
      </x:c>
      <x:c r="O236" s="14" t="str">
        <x:v>Yes</x:v>
      </x:c>
      <x:c r="P236" s="14" t="str">
        <x:v>SURAJDHANOTRAIBL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1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236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UPI/6109476580 47658049 UPI/610947658049/18:07:36/UPI/akashshelar41-2@oki</x:v>
      </x:c>
      <x:c r="H237" s="14" t="str"/>
      <x:c r="I237" s="14" t="str">
        <x:v>Receipt</x:v>
      </x:c>
      <x:c r="J237" s="17" t="n">
        <x:v>0</x:v>
      </x:c>
      <x:c r="K237" s="17" t="n">
        <x:v>58000</x:v>
      </x:c>
      <x:c r="L237" s="17" t="n">
        <x:v>58000</x:v>
      </x:c>
      <x:c r="M237" s="17" t="n">
        <x:v>203810.53</x:v>
      </x:c>
      <x:c r="N237" s="14" t="str">
        <x:v>UPI; Recurring Transaction</x:v>
      </x:c>
      <x:c r="O237" s="14" t="str">
        <x:v>Yes</x:v>
      </x:c>
      <x:c r="P237" s="14" t="str">
        <x:v>AKASHSHELAR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1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237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UPI/7858383104 38310405 UPI/785838310405/18:17:34/UPI/slaksmanaswamy@ybl/</x:v>
      </x:c>
      <x:c r="H238" s="14" t="str"/>
      <x:c r="I238" s="14" t="str">
        <x:v>Receipt</x:v>
      </x:c>
      <x:c r="J238" s="17" t="n">
        <x:v>0</x:v>
      </x:c>
      <x:c r="K238" s="17" t="n">
        <x:v>10000</x:v>
      </x:c>
      <x:c r="L238" s="17" t="n">
        <x:v>10000</x:v>
      </x:c>
      <x:c r="M238" s="17" t="n">
        <x:v>213810.53</x:v>
      </x:c>
      <x:c r="N238" s="14" t="str">
        <x:v>UPI</x:v>
      </x:c>
      <x:c r="O238" s="14" t="str">
        <x:v>No</x:v>
      </x:c>
      <x:c r="P238" s="14" t="str">
        <x:v>SLAKSMANASWAMYYBL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238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EBANK:WIB/1504 EBANK:WIB/1504707135/Edfs</x:v>
      </x:c>
      <x:c r="H239" s="14" t="str"/>
      <x:c r="I239" s="14" t="str">
        <x:v>Payment</x:v>
      </x:c>
      <x:c r="J239" s="17" t="n">
        <x:v>211310.53</x:v>
      </x:c>
      <x:c r="K239" s="17" t="n">
        <x:v>0</x:v>
      </x:c>
      <x:c r="L239" s="17" t="n">
        <x:v>211310.53</x:v>
      </x:c>
      <x:c r="M239" s="17" t="n">
        <x:v>2500</x:v>
      </x:c>
      <x:c r="N239" s="14" t="str">
        <x:v>High Transaction; Recurring Transaction</x:v>
      </x:c>
      <x:c r="O239" s="14" t="str">
        <x:v>Yes</x:v>
      </x:c>
      <x:c r="P239" s="14" t="str">
        <x:v>EBANKWIB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1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239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46132</x:v>
      </x:c>
      <x:c r="F240" s="15" t="n">
        <x:v>46132</x:v>
      </x:c>
      <x:c r="G240" s="16" t="str">
        <x:v>DIGITA-MUMBAI/ NEFT-YESAP61103651332-PhonePe Limited</x:v>
      </x:c>
      <x:c r="H240" s="14" t="str"/>
      <x:c r="I240" s="14" t="str">
        <x:v>Receipt</x:v>
      </x:c>
      <x:c r="J240" s="17" t="n">
        <x:v>0</x:v>
      </x:c>
      <x:c r="K240" s="17" t="n">
        <x:v>174695.6</x:v>
      </x:c>
      <x:c r="L240" s="17" t="n">
        <x:v>174695.6</x:v>
      </x:c>
      <x:c r="M240" s="17" t="n">
        <x:v>177195.6</x:v>
      </x:c>
      <x:c r="N240" s="14" t="str">
        <x:v>High Transaction; Recurring Transaction</x:v>
      </x:c>
      <x:c r="O240" s="14" t="str">
        <x:v>Yes</x:v>
      </x:c>
      <x:c r="P240" s="14" t="str">
        <x:v>PHONEPE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1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46132</x:v>
      </x:c>
    </x:row>
    <x:row r="241">
      <x:c r="A241" s="14" t="n">
        <x:v>240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46132</x:v>
      </x:c>
      <x:c r="F241" s="15" t="n">
        <x:v>46132</x:v>
      </x:c>
      <x:c r="G241" s="16" t="str">
        <x:v>DIGITA-MUMBAI/ NEFT-AXNPN11057011051-PHONEPE LIMITED-PAYMENT AGGR</x:v>
      </x:c>
      <x:c r="H241" s="14" t="str"/>
      <x:c r="I241" s="14" t="str">
        <x:v>Receipt</x:v>
      </x:c>
      <x:c r="J241" s="17" t="n">
        <x:v>0</x:v>
      </x:c>
      <x:c r="K241" s="17" t="n">
        <x:v>86876.92</x:v>
      </x:c>
      <x:c r="L241" s="17" t="n">
        <x:v>86876.92</x:v>
      </x:c>
      <x:c r="M241" s="17" t="n">
        <x:v>264072.52</x:v>
      </x:c>
      <x:c r="N241" s="14" t="str">
        <x:v>Recurring Transaction</x:v>
      </x:c>
      <x:c r="O241" s="14" t="str">
        <x:v>Yes</x:v>
      </x:c>
      <x:c r="P241" s="14" t="str">
        <x:v>PHONEPE LIMITED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46132</x:v>
      </x:c>
    </x:row>
    <x:row r="242">
      <x:c r="A242" s="14" t="n">
        <x:v>241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46132</x:v>
      </x:c>
      <x:c r="F242" s="15" t="n">
        <x:v>46132</x:v>
      </x:c>
      <x:c r="G242" s="16" t="str">
        <x:v>EBANK:WIB/1504 EBANK:WIB/1504717278/Edfs</x:v>
      </x:c>
      <x:c r="H242" s="14" t="str"/>
      <x:c r="I242" s="14" t="str">
        <x:v>Payment</x:v>
      </x:c>
      <x:c r="J242" s="17" t="n">
        <x:v>260572.52</x:v>
      </x:c>
      <x:c r="K242" s="17" t="n">
        <x:v>0</x:v>
      </x:c>
      <x:c r="L242" s="17" t="n">
        <x:v>260572.52</x:v>
      </x:c>
      <x:c r="M242" s="17" t="n">
        <x:v>3500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46132</x:v>
      </x:c>
    </x:row>
    <x:row r="243">
      <x:c r="A243" s="14" t="n">
        <x:v>242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IMPS/P2A/611008018806/VILLAGE STONE L/Diesel paym</x:v>
      </x:c>
      <x:c r="H243" s="14" t="str"/>
      <x:c r="I243" s="14" t="str">
        <x:v>Receipt</x:v>
      </x:c>
      <x:c r="J243" s="17" t="n">
        <x:v>0</x:v>
      </x:c>
      <x:c r="K243" s="17" t="n">
        <x:v>16000</x:v>
      </x:c>
      <x:c r="L243" s="17" t="n">
        <x:v>16000</x:v>
      </x:c>
      <x:c r="M243" s="17" t="n">
        <x:v>19500</x:v>
      </x:c>
      <x:c r="N243" s="14" t="str">
        <x:v>Recurring Transaction</x:v>
      </x:c>
      <x:c r="O243" s="14" t="str">
        <x:v>Yes</x:v>
      </x:c>
      <x:c r="P243" s="14" t="str">
        <x:v>VILLAGE STONE L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243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NEFT-AXISCN1318671183-PINE LABS PRIVATE LIMITED-NO</x:v>
      </x:c>
      <x:c r="H244" s="14" t="str"/>
      <x:c r="I244" s="14" t="str">
        <x:v>Receipt</x:v>
      </x:c>
      <x:c r="J244" s="17" t="n">
        <x:v>0</x:v>
      </x:c>
      <x:c r="K244" s="17" t="n">
        <x:v>17950</x:v>
      </x:c>
      <x:c r="L244" s="17" t="n">
        <x:v>17950</x:v>
      </x:c>
      <x:c r="M244" s="17" t="n">
        <x:v>37450</x:v>
      </x:c>
      <x:c r="N244" s="14" t="str">
        <x:v>Recurring Transaction</x:v>
      </x:c>
      <x:c r="O244" s="14" t="str">
        <x:v>Yes</x:v>
      </x:c>
      <x:c r="P244" s="14" t="str">
        <x:v>PINE LABS PRIVATE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244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DIGITA-MUMBAI/ NEFT-AXISCN1318760388-PINE LABS PRIVATE LIMITED-NO</x:v>
      </x:c>
      <x:c r="H245" s="14" t="str"/>
      <x:c r="I245" s="14" t="str">
        <x:v>Receipt</x:v>
      </x:c>
      <x:c r="J245" s="17" t="n">
        <x:v>0</x:v>
      </x:c>
      <x:c r="K245" s="17" t="n">
        <x:v>56731</x:v>
      </x:c>
      <x:c r="L245" s="17" t="n">
        <x:v>56731</x:v>
      </x:c>
      <x:c r="M245" s="17" t="n">
        <x:v>94181</x:v>
      </x:c>
      <x:c r="N245" s="14" t="str">
        <x:v>Recurring Transaction</x:v>
      </x:c>
      <x:c r="O245" s="14" t="str">
        <x:v>Yes</x:v>
      </x:c>
      <x:c r="P245" s="14" t="str">
        <x:v>PINE LABS PRIVATE LIMITED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245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NEFT-NKGSH26110097618-GEBI PRODUCTS PRIVATE LIMITE</x:v>
      </x:c>
      <x:c r="H246" s="14" t="str"/>
      <x:c r="I246" s="14" t="str">
        <x:v>Receipt</x:v>
      </x:c>
      <x:c r="J246" s="17" t="n">
        <x:v>0</x:v>
      </x:c>
      <x:c r="K246" s="17" t="n">
        <x:v>6226.78</x:v>
      </x:c>
      <x:c r="L246" s="17" t="n">
        <x:v>6226.78</x:v>
      </x:c>
      <x:c r="M246" s="17" t="n">
        <x:v>100407.78</x:v>
      </x:c>
      <x:c r="N246" s="14" t="str">
        <x:v>Recurring Transaction</x:v>
      </x:c>
      <x:c r="O246" s="14" t="str">
        <x:v>Yes</x:v>
      </x:c>
      <x:c r="P246" s="14" t="str">
        <x:v>GEBI PRODUCTS PRIVATE LIMITE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246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UPI/6476820079 82007940 UPI/647682007940/13:39:58/UPI/patilsojwal855@okax</x:v>
      </x:c>
      <x:c r="H247" s="14" t="str"/>
      <x:c r="I247" s="14" t="str">
        <x:v>Receipt</x:v>
      </x:c>
      <x:c r="J247" s="17" t="n">
        <x:v>0</x:v>
      </x:c>
      <x:c r="K247" s="17" t="n">
        <x:v>1</x:v>
      </x:c>
      <x:c r="L247" s="17" t="n">
        <x:v>1</x:v>
      </x:c>
      <x:c r="M247" s="17" t="n">
        <x:v>100408.78</x:v>
      </x:c>
      <x:c r="N247" s="14" t="str">
        <x:v>UPI; Recurring Transaction</x:v>
      </x:c>
      <x:c r="O247" s="14" t="str">
        <x:v>Yes</x:v>
      </x:c>
      <x:c r="P247" s="14" t="str">
        <x:v>PATILSOJWALOKAX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247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48" s="14" t="str"/>
      <x:c r="I248" s="14" t="str">
        <x:v>Receipt</x:v>
      </x:c>
      <x:c r="J248" s="17" t="n">
        <x:v>0</x:v>
      </x:c>
      <x:c r="K248" s="17" t="n">
        <x:v>14699</x:v>
      </x:c>
      <x:c r="L248" s="17" t="n">
        <x:v>14699</x:v>
      </x:c>
      <x:c r="M248" s="17" t="n">
        <x:v>115107.78</x:v>
      </x:c>
      <x:c r="N248" s="14" t="str">
        <x:v>UPI; Recurring Transaction</x:v>
      </x:c>
      <x:c r="O248" s="14" t="str">
        <x:v>Yes</x:v>
      </x:c>
      <x:c r="P248" s="14" t="str">
        <x:v>PATILSOJWALOKAX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1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248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NEFT-IDIBH11038876490-JAI AMBE TRANSPORT</x:v>
      </x:c>
      <x:c r="H249" s="14" t="str"/>
      <x:c r="I249" s="14" t="str">
        <x:v>Receipt</x:v>
      </x:c>
      <x:c r="J249" s="17" t="n">
        <x:v>0</x:v>
      </x:c>
      <x:c r="K249" s="17" t="n">
        <x:v>2930</x:v>
      </x:c>
      <x:c r="L249" s="17" t="n">
        <x:v>2930</x:v>
      </x:c>
      <x:c r="M249" s="17" t="n">
        <x:v>118037.78</x:v>
      </x:c>
      <x:c r="N249" s="14" t="str">
        <x:v>Recurring Transaction</x:v>
      </x:c>
      <x:c r="O249" s="14" t="str">
        <x:v>Yes</x:v>
      </x:c>
      <x:c r="P249" s="14" t="str">
        <x:v>JAI AMBE TRANSPORT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249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DIGITA-MUMBAI/ NEFT-KKBKH26110838388-ATLAS COMMODITIES PRIVATE LI</x:v>
      </x:c>
      <x:c r="H250" s="14" t="str"/>
      <x:c r="I250" s="14" t="str">
        <x:v>Receipt</x:v>
      </x:c>
      <x:c r="J250" s="17" t="n">
        <x:v>0</x:v>
      </x:c>
      <x:c r="K250" s="17" t="n">
        <x:v>8210</x:v>
      </x:c>
      <x:c r="L250" s="17" t="n">
        <x:v>8210</x:v>
      </x:c>
      <x:c r="M250" s="17" t="n">
        <x:v>126247.78</x:v>
      </x:c>
      <x:c r="N250" s="14" t="str">
        <x:v>Recurring Transaction</x:v>
      </x:c>
      <x:c r="O250" s="14" t="str">
        <x:v>Yes</x:v>
      </x:c>
      <x:c r="P250" s="14" t="str">
        <x:v>ATLAS COMMODITIES PRIVATE LI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250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DIGITA-MUMBAI/ NEFT-IN42611050112752-JERAI FITNESS LIMITED</x:v>
      </x:c>
      <x:c r="H251" s="14" t="str"/>
      <x:c r="I251" s="14" t="str">
        <x:v>Receipt</x:v>
      </x:c>
      <x:c r="J251" s="17" t="n">
        <x:v>0</x:v>
      </x:c>
      <x:c r="K251" s="17" t="n">
        <x:v>163337</x:v>
      </x:c>
      <x:c r="L251" s="17" t="n">
        <x:v>163337</x:v>
      </x:c>
      <x:c r="M251" s="17" t="n">
        <x:v>289584.78</x:v>
      </x:c>
      <x:c r="N251" s="14" t="str">
        <x:v>High Transaction; Recurring Transaction</x:v>
      </x:c>
      <x:c r="O251" s="14" t="str">
        <x:v>Yes</x:v>
      </x:c>
      <x:c r="P251" s="14" t="str">
        <x:v>JERAI FITNESS LIMITED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1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251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EBANK:WIB/1504 EBANK:WIB/1504868004/Edfs</x:v>
      </x:c>
      <x:c r="H252" s="14" t="str"/>
      <x:c r="I252" s="14" t="str">
        <x:v>Payment</x:v>
      </x:c>
      <x:c r="J252" s="17" t="n">
        <x:v>287084.78</x:v>
      </x:c>
      <x:c r="K252" s="17" t="n">
        <x:v>0</x:v>
      </x:c>
      <x:c r="L252" s="17" t="n">
        <x:v>287084.78</x:v>
      </x:c>
      <x:c r="M252" s="17" t="n">
        <x:v>2500</x:v>
      </x:c>
      <x:c r="N252" s="14" t="str">
        <x:v>High Transaction; Recurring Transaction</x:v>
      </x:c>
      <x:c r="O252" s="14" t="str">
        <x:v>Yes</x:v>
      </x:c>
      <x:c r="P252" s="14" t="str">
        <x:v>EBANKWIB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1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252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UPI/6476077667 7766718 UPI/647607766718/23:35:11/UPI/sureshenterprises15</x:v>
      </x:c>
      <x:c r="H253" s="14" t="str"/>
      <x:c r="I253" s="14" t="str">
        <x:v>Receipt</x:v>
      </x:c>
      <x:c r="J253" s="17" t="n">
        <x:v>0</x:v>
      </x:c>
      <x:c r="K253" s="17" t="n">
        <x:v>10000</x:v>
      </x:c>
      <x:c r="L253" s="17" t="n">
        <x:v>10000</x:v>
      </x:c>
      <x:c r="M253" s="17" t="n">
        <x:v>12500</x:v>
      </x:c>
      <x:c r="N253" s="14" t="str">
        <x:v>UPI; Recurring Transaction</x:v>
      </x:c>
      <x:c r="O253" s="14" t="str">
        <x:v>Yes</x:v>
      </x:c>
      <x:c r="P253" s="14" t="str">
        <x:v>SURESHENTERPRISES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253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46133</x:v>
      </x:c>
      <x:c r="F254" s="15" t="n">
        <x:v>46133</x:v>
      </x:c>
      <x:c r="G254" s="16" t="str">
        <x:v>DIGITA-MUMBAI/ NEFT-YESAP61112557088-PhonePe Limited</x:v>
      </x:c>
      <x:c r="H254" s="14" t="str"/>
      <x:c r="I254" s="14" t="str">
        <x:v>Receipt</x:v>
      </x:c>
      <x:c r="J254" s="17" t="n">
        <x:v>0</x:v>
      </x:c>
      <x:c r="K254" s="17" t="n">
        <x:v>252575.92</x:v>
      </x:c>
      <x:c r="L254" s="17" t="n">
        <x:v>252575.92</x:v>
      </x:c>
      <x:c r="M254" s="17" t="n">
        <x:v>265075.92</x:v>
      </x:c>
      <x:c r="N254" s="14" t="str">
        <x:v>High Transaction; Recurring Transaction</x:v>
      </x:c>
      <x:c r="O254" s="14" t="str">
        <x:v>Yes</x:v>
      </x:c>
      <x:c r="P254" s="14" t="str">
        <x:v>PHONEPE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46133</x:v>
      </x:c>
    </x:row>
    <x:row r="255">
      <x:c r="A255" s="14" t="n">
        <x:v>254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46133</x:v>
      </x:c>
      <x:c r="F255" s="15" t="n">
        <x:v>46133</x:v>
      </x:c>
      <x:c r="G255" s="16" t="str">
        <x:v>DIGITA-MUMBAI/ Dep-NEFT-AXNPN11165247615-PHONEPE LIMITED-PAYMENT</x:v>
      </x:c>
      <x:c r="H255" s="14" t="str"/>
      <x:c r="I255" s="14" t="str">
        <x:v>Receipt</x:v>
      </x:c>
      <x:c r="J255" s="17" t="n">
        <x:v>0</x:v>
      </x:c>
      <x:c r="K255" s="17" t="n">
        <x:v>70870</x:v>
      </x:c>
      <x:c r="L255" s="17" t="n">
        <x:v>70870</x:v>
      </x:c>
      <x:c r="M255" s="17" t="n">
        <x:v>335945.92</x:v>
      </x:c>
      <x:c r="N255" s="14" t="str">
        <x:v>Recurring Transaction</x:v>
      </x:c>
      <x:c r="O255" s="14" t="str">
        <x:v>Yes</x:v>
      </x:c>
      <x:c r="P255" s="14" t="str">
        <x:v>PHONEPE LIMITED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46133</x:v>
      </x:c>
    </x:row>
    <x:row r="256">
      <x:c r="A256" s="14" t="n">
        <x:v>255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46133</x:v>
      </x:c>
      <x:c r="F256" s="15" t="n">
        <x:v>46133</x:v>
      </x:c>
      <x:c r="G256" s="16" t="str">
        <x:v>EBANK:WIB/1504 EBANK:WIB/1504892301/Edfs</x:v>
      </x:c>
      <x:c r="H256" s="14" t="str"/>
      <x:c r="I256" s="14" t="str">
        <x:v>Payment</x:v>
      </x:c>
      <x:c r="J256" s="17" t="n">
        <x:v>333445.92</x:v>
      </x:c>
      <x:c r="K256" s="17" t="n">
        <x:v>0</x:v>
      </x:c>
      <x:c r="L256" s="17" t="n">
        <x:v>333445.92</x:v>
      </x:c>
      <x:c r="M256" s="17" t="n">
        <x:v>2500</x:v>
      </x:c>
      <x:c r="N256" s="14" t="str">
        <x:v>High Transaction; Recurring Transaction</x:v>
      </x:c>
      <x:c r="O256" s="14" t="str">
        <x:v>Yes</x:v>
      </x:c>
      <x:c r="P256" s="14" t="str">
        <x:v>EBANKWIB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1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46133</x:v>
      </x:c>
    </x:row>
    <x:row r="257">
      <x:c r="A257" s="14" t="n">
        <x:v>256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NEFT-AXISCN1319524277-ONE MOBIKWIK SYSTEMS LIMITED</x:v>
      </x:c>
      <x:c r="H257" s="14" t="str"/>
      <x:c r="I257" s="14" t="str">
        <x:v>Receipt</x:v>
      </x:c>
      <x:c r="J257" s="17" t="n">
        <x:v>0</x:v>
      </x:c>
      <x:c r="K257" s="17" t="n">
        <x:v>4510</x:v>
      </x:c>
      <x:c r="L257" s="17" t="n">
        <x:v>4510</x:v>
      </x:c>
      <x:c r="M257" s="17" t="n">
        <x:v>7010</x:v>
      </x:c>
      <x:c r="N257" s="14" t="str">
        <x:v>Recurring Transaction</x:v>
      </x:c>
      <x:c r="O257" s="14" t="str">
        <x:v>Yes</x:v>
      </x:c>
      <x:c r="P257" s="14" t="str">
        <x:v>ONE MOBIKWIK SYSTEMS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257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NEFT-AXISCN1319563932-PINE LABS PRIVATE LIMITED-NO</x:v>
      </x:c>
      <x:c r="H258" s="14" t="str"/>
      <x:c r="I258" s="14" t="str">
        <x:v>Receipt</x:v>
      </x:c>
      <x:c r="J258" s="17" t="n">
        <x:v>0</x:v>
      </x:c>
      <x:c r="K258" s="17" t="n">
        <x:v>9630</x:v>
      </x:c>
      <x:c r="L258" s="17" t="n">
        <x:v>9630</x:v>
      </x:c>
      <x:c r="M258" s="17" t="n">
        <x:v>16640</x:v>
      </x:c>
      <x:c r="N258" s="14" t="str">
        <x:v>Recurring Transaction</x:v>
      </x:c>
      <x:c r="O258" s="14" t="str">
        <x:v>Yes</x:v>
      </x:c>
      <x:c r="P258" s="14" t="str">
        <x:v>PINE LABS PRIVATE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258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DIGITA-MUMBAI/ NEFT-HDFCH00946369304-MOHANJI BHARAT WELFARE FOUND</x:v>
      </x:c>
      <x:c r="H259" s="14" t="str"/>
      <x:c r="I259" s="14" t="str">
        <x:v>Receipt</x:v>
      </x:c>
      <x:c r="J259" s="17" t="n">
        <x:v>0</x:v>
      </x:c>
      <x:c r="K259" s="17" t="n">
        <x:v>14200</x:v>
      </x:c>
      <x:c r="L259" s="17" t="n">
        <x:v>14200</x:v>
      </x:c>
      <x:c r="M259" s="17" t="n">
        <x:v>30840</x:v>
      </x:c>
      <x:c r="N259" s="14" t="str">
        <x:v>Recurring Transaction</x:v>
      </x:c>
      <x:c r="O259" s="14" t="str">
        <x:v>Yes</x:v>
      </x:c>
      <x:c r="P259" s="14" t="str">
        <x:v>MOHANJI BHARAT WELFARE FOUND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259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NEFT-IN42611150344998-ABC PETROCHEM PRIVATE LIMITE</x:v>
      </x:c>
      <x:c r="H260" s="14" t="str"/>
      <x:c r="I260" s="14" t="str">
        <x:v>Receipt</x:v>
      </x:c>
      <x:c r="J260" s="17" t="n">
        <x:v>0</x:v>
      </x:c>
      <x:c r="K260" s="17" t="n">
        <x:v>18088</x:v>
      </x:c>
      <x:c r="L260" s="17" t="n">
        <x:v>18088</x:v>
      </x:c>
      <x:c r="M260" s="17" t="n">
        <x:v>48928</x:v>
      </x:c>
      <x:c r="N260" s="14" t="str">
        <x:v>Other</x:v>
      </x:c>
      <x:c r="O260" s="14" t="str">
        <x:v>No</x:v>
      </x:c>
      <x:c r="P260" s="14" t="str">
        <x:v>ABC PETROCHEM PRIVATE LIMITE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260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NEFT-NKGSH26111112804-GEBI PRODUCTS PRIVATE LIMITE</x:v>
      </x:c>
      <x:c r="H261" s="14" t="str"/>
      <x:c r="I261" s="14" t="str">
        <x:v>Receipt</x:v>
      </x:c>
      <x:c r="J261" s="17" t="n">
        <x:v>0</x:v>
      </x:c>
      <x:c r="K261" s="17" t="n">
        <x:v>4874.7</x:v>
      </x:c>
      <x:c r="L261" s="17" t="n">
        <x:v>4874.7</x:v>
      </x:c>
      <x:c r="M261" s="17" t="n">
        <x:v>53802.7</x:v>
      </x:c>
      <x:c r="N261" s="14" t="str">
        <x:v>Recurring Transaction</x:v>
      </x:c>
      <x:c r="O261" s="14" t="str">
        <x:v>Yes</x:v>
      </x:c>
      <x:c r="P261" s="14" t="str">
        <x:v>GEBI PRODUCTS PRIVATE LIMITE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261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UPI/1219449507 44950796 UPI/121944950796/16:42:07/UPI/paytmqr6fbyta@ptys/</x:v>
      </x:c>
      <x:c r="H262" s="14" t="str"/>
      <x:c r="I262" s="14" t="str">
        <x:v>Payment</x:v>
      </x:c>
      <x:c r="J262" s="17" t="n">
        <x:v>1125</x:v>
      </x:c>
      <x:c r="K262" s="17" t="n">
        <x:v>0</x:v>
      </x:c>
      <x:c r="L262" s="17" t="n">
        <x:v>1125</x:v>
      </x:c>
      <x:c r="M262" s="17" t="n">
        <x:v>52677.7</x:v>
      </x:c>
      <x:c r="N262" s="14" t="str">
        <x:v>UPI</x:v>
      </x:c>
      <x:c r="O262" s="14" t="str">
        <x:v>No</x:v>
      </x:c>
      <x:c r="P262" s="14" t="str">
        <x:v>PAYTMQRFBYTAPTYS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262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NEFT-BACBH00004188066-VILLAGE STONE LLP</x:v>
      </x:c>
      <x:c r="H263" s="14" t="str"/>
      <x:c r="I263" s="14" t="str">
        <x:v>Receipt</x:v>
      </x:c>
      <x:c r="J263" s="17" t="n">
        <x:v>0</x:v>
      </x:c>
      <x:c r="K263" s="17" t="n">
        <x:v>58786</x:v>
      </x:c>
      <x:c r="L263" s="17" t="n">
        <x:v>58786</x:v>
      </x:c>
      <x:c r="M263" s="17" t="n">
        <x:v>111463.7</x:v>
      </x:c>
      <x:c r="N263" s="14" t="str">
        <x:v>Other</x:v>
      </x:c>
      <x:c r="O263" s="14" t="str">
        <x:v>No</x:v>
      </x:c>
      <x:c r="P263" s="14" t="str">
        <x:v>VILLAGE STONE LLP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263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4" s="14" t="str"/>
      <x:c r="I264" s="14" t="str">
        <x:v>Payment</x:v>
      </x:c>
      <x:c r="J264" s="17" t="n">
        <x:v>108963.7</x:v>
      </x:c>
      <x:c r="K264" s="17" t="n">
        <x:v>0</x:v>
      </x:c>
      <x:c r="L264" s="17" t="n">
        <x:v>108963.7</x:v>
      </x:c>
      <x:c r="M264" s="17" t="n">
        <x:v>2500</x:v>
      </x:c>
      <x:c r="N264" s="14" t="str">
        <x:v>High Transaction; Recurring Transaction</x:v>
      </x:c>
      <x:c r="O264" s="14" t="str">
        <x:v>Yes</x:v>
      </x:c>
      <x:c r="P264" s="14" t="str">
        <x:v>EBANKWIB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1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264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DIGITA-MUMBAI/ NEFT-HDFCH00948007276-QUEST ENTERPRISES PVT LTD</x:v>
      </x:c>
      <x:c r="H265" s="14" t="str"/>
      <x:c r="I265" s="14" t="str">
        <x:v>Receipt</x:v>
      </x:c>
      <x:c r="J265" s="17" t="n">
        <x:v>0</x:v>
      </x:c>
      <x:c r="K265" s="17" t="n">
        <x:v>5000</x:v>
      </x:c>
      <x:c r="L265" s="17" t="n">
        <x:v>5000</x:v>
      </x:c>
      <x:c r="M265" s="17" t="n">
        <x:v>7500</x:v>
      </x:c>
      <x:c r="N265" s="14" t="str">
        <x:v>Recurring Transaction</x:v>
      </x:c>
      <x:c r="O265" s="14" t="str">
        <x:v>Yes</x:v>
      </x:c>
      <x:c r="P265" s="14" t="str">
        <x:v>QUEST ENTERPRISES PVT LTD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265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46134</x:v>
      </x:c>
      <x:c r="F266" s="15" t="n">
        <x:v>46134</x:v>
      </x:c>
      <x:c r="G266" s="16" t="str">
        <x:v>DIGITA-MUMBAI/ NEFT-YESAP61123591632-PhonePe Limited</x:v>
      </x:c>
      <x:c r="H266" s="14" t="str"/>
      <x:c r="I266" s="14" t="str">
        <x:v>Receipt</x:v>
      </x:c>
      <x:c r="J266" s="17" t="n">
        <x:v>0</x:v>
      </x:c>
      <x:c r="K266" s="17" t="n">
        <x:v>195840</x:v>
      </x:c>
      <x:c r="L266" s="17" t="n">
        <x:v>195840</x:v>
      </x:c>
      <x:c r="M266" s="17" t="n">
        <x:v>203340</x:v>
      </x:c>
      <x:c r="N266" s="14" t="str">
        <x:v>High Transaction; Recurring Transaction</x:v>
      </x:c>
      <x:c r="O266" s="14" t="str">
        <x:v>Yes</x:v>
      </x:c>
      <x:c r="P266" s="14" t="str">
        <x:v>PHONEPE LIMITED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1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46134</x:v>
      </x:c>
    </x:row>
    <x:row r="267">
      <x:c r="A267" s="14" t="n">
        <x:v>266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46134</x:v>
      </x:c>
      <x:c r="F267" s="15" t="n">
        <x:v>46134</x:v>
      </x:c>
      <x:c r="G267" s="16" t="str">
        <x:v>DIGITA-MUMBAI/ NEFT-AXNPN11273516230-PHONEPE LIMITED-PAYMENT AGGR</x:v>
      </x:c>
      <x:c r="H267" s="14" t="str"/>
      <x:c r="I267" s="14" t="str">
        <x:v>Receipt</x:v>
      </x:c>
      <x:c r="J267" s="17" t="n">
        <x:v>0</x:v>
      </x:c>
      <x:c r="K267" s="17" t="n">
        <x:v>73388.24</x:v>
      </x:c>
      <x:c r="L267" s="17" t="n">
        <x:v>73388.24</x:v>
      </x:c>
      <x:c r="M267" s="17" t="n">
        <x:v>276728.24</x:v>
      </x:c>
      <x:c r="N267" s="14" t="str">
        <x:v>Recurring Transaction</x:v>
      </x:c>
      <x:c r="O267" s="14" t="str">
        <x:v>Yes</x:v>
      </x:c>
      <x:c r="P267" s="14" t="str">
        <x:v>PHONEPE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46134</x:v>
      </x:c>
    </x:row>
    <x:row r="268">
      <x:c r="A268" s="14" t="n">
        <x:v>267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46134</x:v>
      </x:c>
      <x:c r="F268" s="15" t="n">
        <x:v>46134</x:v>
      </x:c>
      <x:c r="G268" s="16" t="str">
        <x:v>DIGITA-MUMBAI/ NEFT-AXISCN1320689816-ONE MOBIKWIK SYSTEMS LIMITED</x:v>
      </x:c>
      <x:c r="H268" s="14" t="str"/>
      <x:c r="I268" s="14" t="str">
        <x:v>Receipt</x:v>
      </x:c>
      <x:c r="J268" s="17" t="n">
        <x:v>0</x:v>
      </x:c>
      <x:c r="K268" s="17" t="n">
        <x:v>3079</x:v>
      </x:c>
      <x:c r="L268" s="17" t="n">
        <x:v>3079</x:v>
      </x:c>
      <x:c r="M268" s="17" t="n">
        <x:v>279807.24</x:v>
      </x:c>
      <x:c r="N268" s="14" t="str">
        <x:v>Recurring Transaction</x:v>
      </x:c>
      <x:c r="O268" s="14" t="str">
        <x:v>Yes</x:v>
      </x:c>
      <x:c r="P268" s="14" t="str">
        <x:v>ONE MOBIKWIK SYSTEMS LIMITED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46134</x:v>
      </x:c>
    </x:row>
    <x:row r="269">
      <x:c r="A269" s="14" t="n">
        <x:v>268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EBANK:WIB/1505 EBANK:WIB/1505048812/Edfs</x:v>
      </x:c>
      <x:c r="H269" s="14" t="str"/>
      <x:c r="I269" s="14" t="str">
        <x:v>Payment</x:v>
      </x:c>
      <x:c r="J269" s="17" t="n">
        <x:v>259307.24</x:v>
      </x:c>
      <x:c r="K269" s="17" t="n">
        <x:v>0</x:v>
      </x:c>
      <x:c r="L269" s="17" t="n">
        <x:v>259307.24</x:v>
      </x:c>
      <x:c r="M269" s="17" t="n">
        <x:v>20500</x:v>
      </x:c>
      <x:c r="N269" s="14" t="str">
        <x:v>High Transaction; Recurring Transaction</x:v>
      </x:c>
      <x:c r="O269" s="14" t="str">
        <x:v>Yes</x:v>
      </x:c>
      <x:c r="P269" s="14" t="str">
        <x:v>EBANKWIB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269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https://cbdrpt101.bankofbaroda.co.in:22000/finbranch/arjspmorph/INFENG/tran_rpt.jsp?... 04-05-2026 IMPS/P2A/611209124412/VAKAS TEMPO SER/IMPSCNB9199</x:v>
      </x:c>
      <x:c r="H270" s="14" t="str"/>
      <x:c r="I270" s="14" t="str">
        <x:v>Receipt</x:v>
      </x:c>
      <x:c r="J270" s="17" t="n">
        <x:v>0</x:v>
      </x:c>
      <x:c r="K270" s="17" t="n">
        <x:v>15047</x:v>
      </x:c>
      <x:c r="L270" s="17" t="n">
        <x:v>15047</x:v>
      </x:c>
      <x:c r="M270" s="17" t="n">
        <x:v>35547</x:v>
      </x:c>
      <x:c r="N270" s="14" t="str">
        <x:v>Recurring Transaction</x:v>
      </x:c>
      <x:c r="O270" s="14" t="str">
        <x:v>Yes</x:v>
      </x:c>
      <x:c r="P270" s="14" t="str">
        <x:v>CBDRPTBANKOFBARODACOIN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270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NEFT-AXISCN1320801214-PINE LABS PRIVATE LIMITED-NO</x:v>
      </x:c>
      <x:c r="H271" s="14" t="str"/>
      <x:c r="I271" s="14" t="str">
        <x:v>Receipt</x:v>
      </x:c>
      <x:c r="J271" s="17" t="n">
        <x:v>0</x:v>
      </x:c>
      <x:c r="K271" s="17" t="n">
        <x:v>43401</x:v>
      </x:c>
      <x:c r="L271" s="17" t="n">
        <x:v>43401</x:v>
      </x:c>
      <x:c r="M271" s="17" t="n">
        <x:v>78948</x:v>
      </x:c>
      <x:c r="N271" s="14" t="str">
        <x:v>Recurring Transaction</x:v>
      </x:c>
      <x:c r="O271" s="14" t="str">
        <x:v>Yes</x:v>
      </x:c>
      <x:c r="P271" s="14" t="str">
        <x:v>PINE LABS PRIVATE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271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DIGITA-MUMBAI/ IMPS/P2A/611210623841/OMSANITRANSPORT/Diesel Bill</x:v>
      </x:c>
      <x:c r="H272" s="14" t="str"/>
      <x:c r="I272" s="14" t="str">
        <x:v>Receipt</x:v>
      </x:c>
      <x:c r="J272" s="17" t="n">
        <x:v>0</x:v>
      </x:c>
      <x:c r="K272" s="17" t="n">
        <x:v>37750</x:v>
      </x:c>
      <x:c r="L272" s="17" t="n">
        <x:v>37750</x:v>
      </x:c>
      <x:c r="M272" s="17" t="n">
        <x:v>116698</x:v>
      </x:c>
      <x:c r="N272" s="14" t="str">
        <x:v>Recurring Transaction</x:v>
      </x:c>
      <x:c r="O272" s="14" t="str">
        <x:v>Yes</x:v>
      </x:c>
      <x:c r="P272" s="14" t="str">
        <x:v>OMSANITRANSPORT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272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NEFT-CNRBH00126857051-M S COLLEGE OF PHARMACY</x:v>
      </x:c>
      <x:c r="H273" s="14" t="str"/>
      <x:c r="I273" s="14" t="str">
        <x:v>Receipt</x:v>
      </x:c>
      <x:c r="J273" s="17" t="n">
        <x:v>0</x:v>
      </x:c>
      <x:c r="K273" s="17" t="n">
        <x:v>100000</x:v>
      </x:c>
      <x:c r="L273" s="17" t="n">
        <x:v>100000</x:v>
      </x:c>
      <x:c r="M273" s="17" t="n">
        <x:v>216698</x:v>
      </x:c>
      <x:c r="N273" s="14" t="str">
        <x:v>High Transaction</x:v>
      </x:c>
      <x:c r="O273" s="14" t="str">
        <x:v>No</x:v>
      </x:c>
      <x:c r="P273" s="14" t="str">
        <x:v>M S COLLEGE OF PHARMACY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273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NEFT-NKGSH26112125723-GEBI PRODUCTS PRIVATE LIMITE</x:v>
      </x:c>
      <x:c r="H274" s="14" t="str"/>
      <x:c r="I274" s="14" t="str">
        <x:v>Receipt</x:v>
      </x:c>
      <x:c r="J274" s="17" t="n">
        <x:v>0</x:v>
      </x:c>
      <x:c r="K274" s="17" t="n">
        <x:v>7484.8</x:v>
      </x:c>
      <x:c r="L274" s="17" t="n">
        <x:v>7484.8</x:v>
      </x:c>
      <x:c r="M274" s="17" t="n">
        <x:v>224182.8</x:v>
      </x:c>
      <x:c r="N274" s="14" t="str">
        <x:v>Recurring Transaction</x:v>
      </x:c>
      <x:c r="O274" s="14" t="str">
        <x:v>Yes</x:v>
      </x:c>
      <x:c r="P274" s="14" t="str">
        <x:v>GEBI PRODUCTS PRIVATE LIMITE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274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NEFT-IN42611251127313-MITA FASTENERS PRIVATE LIMIT</x:v>
      </x:c>
      <x:c r="H275" s="14" t="str"/>
      <x:c r="I275" s="14" t="str">
        <x:v>Receipt</x:v>
      </x:c>
      <x:c r="J275" s="17" t="n">
        <x:v>0</x:v>
      </x:c>
      <x:c r="K275" s="17" t="n">
        <x:v>9044</x:v>
      </x:c>
      <x:c r="L275" s="17" t="n">
        <x:v>9044</x:v>
      </x:c>
      <x:c r="M275" s="17" t="n">
        <x:v>233226.8</x:v>
      </x:c>
      <x:c r="N275" s="14" t="str">
        <x:v>Recurring Transaction</x:v>
      </x:c>
      <x:c r="O275" s="14" t="str">
        <x:v>Yes</x:v>
      </x:c>
      <x:c r="P275" s="14" t="str">
        <x:v>MITA FASTENERS PRIVATE LIMIT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275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IMPS/P2A/611218586331/SHREE GANESH EN/diselVVS910</x:v>
      </x:c>
      <x:c r="H276" s="14" t="str"/>
      <x:c r="I276" s="14" t="str">
        <x:v>Receipt</x:v>
      </x:c>
      <x:c r="J276" s="17" t="n">
        <x:v>0</x:v>
      </x:c>
      <x:c r="K276" s="17" t="n">
        <x:v>63308</x:v>
      </x:c>
      <x:c r="L276" s="17" t="n">
        <x:v>63308</x:v>
      </x:c>
      <x:c r="M276" s="17" t="n">
        <x:v>296534.8</x:v>
      </x:c>
      <x:c r="N276" s="14" t="str">
        <x:v>Recurring Transaction</x:v>
      </x:c>
      <x:c r="O276" s="14" t="str">
        <x:v>Yes</x:v>
      </x:c>
      <x:c r="P276" s="14" t="str">
        <x:v>SHREE GANESH EN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276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NEFT-IN42611251256831-VINAYAK OIL INDUSTRIES</x:v>
      </x:c>
      <x:c r="H277" s="14" t="str"/>
      <x:c r="I277" s="14" t="str">
        <x:v>Receipt</x:v>
      </x:c>
      <x:c r="J277" s="17" t="n">
        <x:v>0</x:v>
      </x:c>
      <x:c r="K277" s="17" t="n">
        <x:v>62222</x:v>
      </x:c>
      <x:c r="L277" s="17" t="n">
        <x:v>62222</x:v>
      </x:c>
      <x:c r="M277" s="17" t="n">
        <x:v>358756.8</x:v>
      </x:c>
      <x:c r="N277" s="14" t="str">
        <x:v>Recurring Transaction</x:v>
      </x:c>
      <x:c r="O277" s="14" t="str">
        <x:v>Yes</x:v>
      </x:c>
      <x:c r="P277" s="14" t="str">
        <x:v>VINAYAK OIL INDUSTRIES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277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EBANK:WIB/1505 EBANK:WIB/1505171210/Edfs</x:v>
      </x:c>
      <x:c r="H278" s="14" t="str"/>
      <x:c r="I278" s="14" t="str">
        <x:v>Payment</x:v>
      </x:c>
      <x:c r="J278" s="17" t="n">
        <x:v>356256.8</x:v>
      </x:c>
      <x:c r="K278" s="17" t="n">
        <x:v>0</x:v>
      </x:c>
      <x:c r="L278" s="17" t="n">
        <x:v>356256.8</x:v>
      </x:c>
      <x:c r="M278" s="17" t="n">
        <x:v>2500</x:v>
      </x:c>
      <x:c r="N278" s="14" t="str">
        <x:v>High Transaction; Recurring Transaction</x:v>
      </x:c>
      <x:c r="O278" s="14" t="str">
        <x:v>Yes</x:v>
      </x:c>
      <x:c r="P278" s="14" t="str">
        <x:v>EBANKWIB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1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UPI/6112990875 99087582 UPI/611299087582/21:53:49/UPI/patildivya1511-1@ok</x:v>
      </x:c>
      <x:c r="H279" s="14" t="str"/>
      <x:c r="I279" s="14" t="str">
        <x:v>Receipt</x:v>
      </x:c>
      <x:c r="J279" s="17" t="n">
        <x:v>0</x:v>
      </x:c>
      <x:c r="K279" s="17" t="n">
        <x:v>50000</x:v>
      </x:c>
      <x:c r="L279" s="17" t="n">
        <x:v>50000</x:v>
      </x:c>
      <x:c r="M279" s="17" t="n">
        <x:v>52500</x:v>
      </x:c>
      <x:c r="N279" s="14" t="str">
        <x:v>UPI</x:v>
      </x:c>
      <x:c r="O279" s="14" t="str">
        <x:v>No</x:v>
      </x:c>
      <x:c r="P279" s="14" t="str">
        <x:v>PATILDIVYA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0" s="14" t="str"/>
      <x:c r="I280" s="14" t="str">
        <x:v>Payment</x:v>
      </x:c>
      <x:c r="J280" s="17" t="n">
        <x:v>50000</x:v>
      </x:c>
      <x:c r="K280" s="17" t="n">
        <x:v>0</x:v>
      </x:c>
      <x:c r="L280" s="17" t="n">
        <x:v>50000</x:v>
      </x:c>
      <x:c r="M280" s="17" t="n">
        <x:v>2500</x:v>
      </x:c>
      <x:c r="N280" s="14" t="str">
        <x:v>Recurring Transaction</x:v>
      </x:c>
      <x:c r="O280" s="14" t="str">
        <x:v>Yes</x:v>
      </x:c>
      <x:c r="P280" s="14" t="str">
        <x:v>EBANKWIB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280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46135</x:v>
      </x:c>
      <x:c r="F281" s="15" t="n">
        <x:v>46135</x:v>
      </x:c>
      <x:c r="G281" s="16" t="str">
        <x:v>DIGITA-MUMBAI/ NEFT-YESAP61133866852-PhonePe Limited</x:v>
      </x:c>
      <x:c r="H281" s="14" t="str"/>
      <x:c r="I281" s="14" t="str">
        <x:v>Receipt</x:v>
      </x:c>
      <x:c r="J281" s="17" t="n">
        <x:v>0</x:v>
      </x:c>
      <x:c r="K281" s="17" t="n">
        <x:v>224683</x:v>
      </x:c>
      <x:c r="L281" s="17" t="n">
        <x:v>224683</x:v>
      </x:c>
      <x:c r="M281" s="17" t="n">
        <x:v>227183</x:v>
      </x:c>
      <x:c r="N281" s="14" t="str">
        <x:v>High Transaction; Recurring Transaction</x:v>
      </x:c>
      <x:c r="O281" s="14" t="str">
        <x:v>Yes</x:v>
      </x:c>
      <x:c r="P281" s="14" t="str">
        <x:v>PHONEPE LIMITED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46135</x:v>
      </x:c>
    </x:row>
    <x:row r="282">
      <x:c r="A282" s="14" t="n">
        <x:v>281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46135</x:v>
      </x:c>
      <x:c r="F282" s="15" t="n">
        <x:v>46135</x:v>
      </x:c>
      <x:c r="G282" s="16" t="str">
        <x:v>EBANK:WIB/1505 EBANK:WIB/1505193929/Edfs</x:v>
      </x:c>
      <x:c r="H282" s="14" t="str"/>
      <x:c r="I282" s="14" t="str">
        <x:v>Payment</x:v>
      </x:c>
      <x:c r="J282" s="17" t="n">
        <x:v>224683</x:v>
      </x:c>
      <x:c r="K282" s="17" t="n">
        <x:v>0</x:v>
      </x:c>
      <x:c r="L282" s="17" t="n">
        <x:v>224683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46135</x:v>
      </x:c>
    </x:row>
    <x:row r="283">
      <x:c r="A283" s="14" t="n">
        <x:v>282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46135</x:v>
      </x:c>
      <x:c r="F283" s="15" t="n">
        <x:v>46135</x:v>
      </x:c>
      <x:c r="G283" s="16" t="str">
        <x:v>DIGITA-MUMBAI/ NEFT-AXNPN11382060759-PHONEPE LIMITED-PAYMENT AGGR</x:v>
      </x:c>
      <x:c r="H283" s="14" t="str"/>
      <x:c r="I283" s="14" t="str">
        <x:v>Receipt</x:v>
      </x:c>
      <x:c r="J283" s="17" t="n">
        <x:v>0</x:v>
      </x:c>
      <x:c r="K283" s="17" t="n">
        <x:v>82795.52</x:v>
      </x:c>
      <x:c r="L283" s="17" t="n">
        <x:v>82795.52</x:v>
      </x:c>
      <x:c r="M283" s="17" t="n">
        <x:v>85295.52</x:v>
      </x:c>
      <x:c r="N283" s="14" t="str">
        <x:v>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46135</x:v>
      </x:c>
    </x:row>
    <x:row r="284">
      <x:c r="A284" s="14" t="n">
        <x:v>283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EBANK:WIB/1505 EBANK:WIB/1505194002/Edfs</x:v>
      </x:c>
      <x:c r="H284" s="14" t="str"/>
      <x:c r="I284" s="14" t="str">
        <x:v>Payment</x:v>
      </x:c>
      <x:c r="J284" s="17" t="n">
        <x:v>82795.52</x:v>
      </x:c>
      <x:c r="K284" s="17" t="n">
        <x:v>0</x:v>
      </x:c>
      <x:c r="L284" s="17" t="n">
        <x:v>82795.52</x:v>
      </x:c>
      <x:c r="M284" s="17" t="n">
        <x:v>2500</x:v>
      </x:c>
      <x:c r="N284" s="14" t="str">
        <x:v>Recurring Transaction</x:v>
      </x:c>
      <x:c r="O284" s="14" t="str">
        <x:v>Yes</x:v>
      </x:c>
      <x:c r="P284" s="14" t="str">
        <x:v>EBANKWIB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284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DIGITA-MUMBAI/ NEFT-AXISCN1321967431-ONE MOBIKWIK SYSTEMS LIMITED</x:v>
      </x:c>
      <x:c r="H285" s="14" t="str"/>
      <x:c r="I285" s="14" t="str">
        <x:v>Receipt</x:v>
      </x:c>
      <x:c r="J285" s="17" t="n">
        <x:v>0</x:v>
      </x:c>
      <x:c r="K285" s="17" t="n">
        <x:v>9330</x:v>
      </x:c>
      <x:c r="L285" s="17" t="n">
        <x:v>9330</x:v>
      </x:c>
      <x:c r="M285" s="17" t="n">
        <x:v>11830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285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NEFT-AXISCN1322079433-PINE LABS PRIVATE LIMITED-NO</x:v>
      </x:c>
      <x:c r="H286" s="14" t="str"/>
      <x:c r="I286" s="14" t="str">
        <x:v>Receipt</x:v>
      </x:c>
      <x:c r="J286" s="17" t="n">
        <x:v>0</x:v>
      </x:c>
      <x:c r="K286" s="17" t="n">
        <x:v>214974</x:v>
      </x:c>
      <x:c r="L286" s="17" t="n">
        <x:v>214974</x:v>
      </x:c>
      <x:c r="M286" s="17" t="n">
        <x:v>226804</x:v>
      </x:c>
      <x:c r="N286" s="14" t="str">
        <x:v>High Transaction; Recurring Transaction</x:v>
      </x:c>
      <x:c r="O286" s="14" t="str">
        <x:v>Yes</x:v>
      </x:c>
      <x:c r="P286" s="14" t="str">
        <x:v>PINE LABS PRIVATE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286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DIGITA-MUMBAI/ NEFT-BACBH00004190643-APEX MINING CO</x:v>
      </x:c>
      <x:c r="H287" s="14" t="str"/>
      <x:c r="I287" s="14" t="str">
        <x:v>Receipt</x:v>
      </x:c>
      <x:c r="J287" s="17" t="n">
        <x:v>0</x:v>
      </x:c>
      <x:c r="K287" s="17" t="n">
        <x:v>45220</x:v>
      </x:c>
      <x:c r="L287" s="17" t="n">
        <x:v>45220</x:v>
      </x:c>
      <x:c r="M287" s="17" t="n">
        <x:v>272024</x:v>
      </x:c>
      <x:c r="N287" s="14" t="str">
        <x:v>Other</x:v>
      </x:c>
      <x:c r="O287" s="14" t="str">
        <x:v>No</x:v>
      </x:c>
      <x:c r="P287" s="14" t="str">
        <x:v>APEX MINING CO</x:v>
      </x:c>
      <x:c r="Q287" s="14" t="n">
        <x:v>0</x:v>
      </x:c>
      <x:c r="R287" s="14" t="n">
        <x:v>0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287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EBANK:WIB/1505 EBANK:WIB/1505205959/Edfs</x:v>
      </x:c>
      <x:c r="H288" s="14" t="str"/>
      <x:c r="I288" s="14" t="str">
        <x:v>Payment</x:v>
      </x:c>
      <x:c r="J288" s="17" t="n">
        <x:v>269000</x:v>
      </x:c>
      <x:c r="K288" s="17" t="n">
        <x:v>0</x:v>
      </x:c>
      <x:c r="L288" s="17" t="n">
        <x:v>269000</x:v>
      </x:c>
      <x:c r="M288" s="17" t="n">
        <x:v>3024</x:v>
      </x:c>
      <x:c r="N288" s="14" t="str">
        <x:v>High Transaction; Recurring Transaction</x:v>
      </x:c>
      <x:c r="O288" s="14" t="str">
        <x:v>Yes</x:v>
      </x:c>
      <x:c r="P288" s="14" t="str">
        <x:v>EBANKWIB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1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288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Charges for Charges for PORD Customer Payment :003606420745</x:v>
      </x:c>
      <x:c r="H289" s="14" t="str"/>
      <x:c r="I289" s="14" t="str">
        <x:v>Payment</x:v>
      </x:c>
      <x:c r="J289" s="17" t="n">
        <x:v>2.65</x:v>
      </x:c>
      <x:c r="K289" s="17" t="n">
        <x:v>0</x:v>
      </x:c>
      <x:c r="L289" s="17" t="n">
        <x:v>2.65</x:v>
      </x:c>
      <x:c r="M289" s="17" t="n">
        <x:v>3021.35</x:v>
      </x:c>
      <x:c r="N289" s="14" t="str">
        <x:v>Recurring Transaction</x:v>
      </x:c>
      <x:c r="O289" s="14" t="str">
        <x:v>Yes</x:v>
      </x:c>
      <x:c r="P289" s="14" t="str">
        <x:v>CHARGES FOR CHARGES FOR PORD CUSTOMER PA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289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NEFT-BARBV2611 NEFT-BARBV26113832164-RAMZAN HASNANI-CENTRAL BANK</x:v>
      </x:c>
      <x:c r="H290" s="14" t="str"/>
      <x:c r="I290" s="14" t="str">
        <x:v>Payment</x:v>
      </x:c>
      <x:c r="J290" s="17" t="n">
        <x:v>1000</x:v>
      </x:c>
      <x:c r="K290" s="17" t="n">
        <x:v>0</x:v>
      </x:c>
      <x:c r="L290" s="17" t="n">
        <x:v>1000</x:v>
      </x:c>
      <x:c r="M290" s="17" t="n">
        <x:v>2021.35</x:v>
      </x:c>
      <x:c r="N290" s="14" t="str">
        <x:v>Recurring Transaction</x:v>
      </x:c>
      <x:c r="O290" s="14" t="str">
        <x:v>Yes</x:v>
      </x:c>
      <x:c r="P290" s="14" t="str">
        <x:v>BARBV NEFT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290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DIGITA-MUMBAI/ NEFT-AXODH11383366299-GRISHMA METAL TECHNOLOGY</x:v>
      </x:c>
      <x:c r="H291" s="14" t="str"/>
      <x:c r="I291" s="14" t="str">
        <x:v>Receipt</x:v>
      </x:c>
      <x:c r="J291" s="17" t="n">
        <x:v>0</x:v>
      </x:c>
      <x:c r="K291" s="17" t="n">
        <x:v>124000</x:v>
      </x:c>
      <x:c r="L291" s="17" t="n">
        <x:v>124000</x:v>
      </x:c>
      <x:c r="M291" s="17" t="n">
        <x:v>126021.35</x:v>
      </x:c>
      <x:c r="N291" s="14" t="str">
        <x:v>High Transaction; Recurring Transaction</x:v>
      </x:c>
      <x:c r="O291" s="14" t="str">
        <x:v>Yes</x:v>
      </x:c>
      <x:c r="P291" s="14" t="str">
        <x:v>GRISHMA METAL TECHNOLOGY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291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DIGITA-MUMBAI/ NEFT-IN42611351480279-PRANJ METAL INDUSTRIES</x:v>
      </x:c>
      <x:c r="H292" s="14" t="str"/>
      <x:c r="I292" s="14" t="str">
        <x:v>Receipt</x:v>
      </x:c>
      <x:c r="J292" s="17" t="n">
        <x:v>0</x:v>
      </x:c>
      <x:c r="K292" s="17" t="n">
        <x:v>4000</x:v>
      </x:c>
      <x:c r="L292" s="17" t="n">
        <x:v>4000</x:v>
      </x:c>
      <x:c r="M292" s="17" t="n">
        <x:v>130021.35</x:v>
      </x:c>
      <x:c r="N292" s="14" t="str">
        <x:v>Other</x:v>
      </x:c>
      <x:c r="O292" s="14" t="str">
        <x:v>No</x:v>
      </x:c>
      <x:c r="P292" s="14" t="str">
        <x:v>PRANJ METAL INDUSTRIES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292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DIGITA-MUMBAI/ NEFT-KKBKH26113992510-ATLAS COMMODITIES PRIVATE LI</x:v>
      </x:c>
      <x:c r="H293" s="14" t="str"/>
      <x:c r="I293" s="14" t="str">
        <x:v>Receipt</x:v>
      </x:c>
      <x:c r="J293" s="17" t="n">
        <x:v>0</x:v>
      </x:c>
      <x:c r="K293" s="17" t="n">
        <x:v>4796</x:v>
      </x:c>
      <x:c r="L293" s="17" t="n">
        <x:v>4796</x:v>
      </x:c>
      <x:c r="M293" s="17" t="n">
        <x:v>134817.35</x:v>
      </x:c>
      <x:c r="N293" s="14" t="str">
        <x:v>Recurring Transaction</x:v>
      </x:c>
      <x:c r="O293" s="14" t="str">
        <x:v>Yes</x:v>
      </x:c>
      <x:c r="P293" s="14" t="str">
        <x:v>ATLAS COMMODITIES PRIVATE LI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293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https://cbdrpt101.bankofbaroda.co.in:22000/finbranch/arjspmorph/INFENG/tran_rpt.jsp?... 04-05-2026 NEFT-NKGSH26113138754-GEBI PRODUCTS PRIVATE LIMITE</x:v>
      </x:c>
      <x:c r="H294" s="14" t="str"/>
      <x:c r="I294" s="14" t="str">
        <x:v>Receipt</x:v>
      </x:c>
      <x:c r="J294" s="17" t="n">
        <x:v>0</x:v>
      </x:c>
      <x:c r="K294" s="17" t="n">
        <x:v>4400</x:v>
      </x:c>
      <x:c r="L294" s="17" t="n">
        <x:v>4400</x:v>
      </x:c>
      <x:c r="M294" s="17" t="n">
        <x:v>139217.35</x:v>
      </x:c>
      <x:c r="N294" s="14" t="str">
        <x:v>Recurring Transaction</x:v>
      </x:c>
      <x:c r="O294" s="14" t="str">
        <x:v>Yes</x:v>
      </x:c>
      <x:c r="P294" s="14" t="str">
        <x:v>CBDRPTBANKOFBARODACOIN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294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5" s="14" t="str"/>
      <x:c r="I295" s="14" t="str">
        <x:v>Receipt</x:v>
      </x:c>
      <x:c r="J295" s="17" t="n">
        <x:v>0</x:v>
      </x:c>
      <x:c r="K295" s="17" t="n">
        <x:v>54264</x:v>
      </x:c>
      <x:c r="L295" s="17" t="n">
        <x:v>54264</x:v>
      </x:c>
      <x:c r="M295" s="17" t="n">
        <x:v>193481.35</x:v>
      </x:c>
      <x:c r="N295" s="14" t="str">
        <x:v>Other</x:v>
      </x:c>
      <x:c r="O295" s="14" t="str">
        <x:v>No</x:v>
      </x:c>
      <x:c r="P295" s="14" t="str">
        <x:v>WELLSUN TEXCHEM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295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NEFT-JAKAH26113006414-NIKIVIK TUBE INDUSTRIES P LT</x:v>
      </x:c>
      <x:c r="H296" s="14" t="str"/>
      <x:c r="I296" s="14" t="str">
        <x:v>Receipt</x:v>
      </x:c>
      <x:c r="J296" s="17" t="n">
        <x:v>0</x:v>
      </x:c>
      <x:c r="K296" s="17" t="n">
        <x:v>31654</x:v>
      </x:c>
      <x:c r="L296" s="17" t="n">
        <x:v>31654</x:v>
      </x:c>
      <x:c r="M296" s="17" t="n">
        <x:v>225135.35</x:v>
      </x:c>
      <x:c r="N296" s="14" t="str">
        <x:v>Other</x:v>
      </x:c>
      <x:c r="O296" s="14" t="str">
        <x:v>No</x:v>
      </x:c>
      <x:c r="P296" s="14" t="str">
        <x:v>NIKIVIK TUBE INDUSTRIES P LT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296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EBANK:WIB/1505 EBANK:WIB/1505315722/Edfs</x:v>
      </x:c>
      <x:c r="H297" s="14" t="str"/>
      <x:c r="I297" s="14" t="str">
        <x:v>Payment</x:v>
      </x:c>
      <x:c r="J297" s="17" t="n">
        <x:v>222635.35</x:v>
      </x:c>
      <x:c r="K297" s="17" t="n">
        <x:v>0</x:v>
      </x:c>
      <x:c r="L297" s="17" t="n">
        <x:v>222635.35</x:v>
      </x:c>
      <x:c r="M297" s="17" t="n">
        <x:v>2500</x:v>
      </x:c>
      <x:c r="N297" s="14" t="str">
        <x:v>High Transaction; Recurring Transaction</x:v>
      </x:c>
      <x:c r="O297" s="14" t="str">
        <x:v>Yes</x:v>
      </x:c>
      <x:c r="P297" s="14" t="str">
        <x:v>EBANKWIB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297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46136</x:v>
      </x:c>
      <x:c r="F298" s="15" t="n">
        <x:v>46136</x:v>
      </x:c>
      <x:c r="G298" s="16" t="str">
        <x:v>DIGITA-MUMBAI/ NEFT-YESAP61143829163-PhonePe Limited</x:v>
      </x:c>
      <x:c r="H298" s="14" t="str"/>
      <x:c r="I298" s="14" t="str">
        <x:v>Receipt</x:v>
      </x:c>
      <x:c r="J298" s="17" t="n">
        <x:v>0</x:v>
      </x:c>
      <x:c r="K298" s="17" t="n">
        <x:v>234281</x:v>
      </x:c>
      <x:c r="L298" s="17" t="n">
        <x:v>234281</x:v>
      </x:c>
      <x:c r="M298" s="17" t="n">
        <x:v>236781</x:v>
      </x:c>
      <x:c r="N298" s="14" t="str">
        <x:v>High Transaction; Recurring Transaction</x:v>
      </x:c>
      <x:c r="O298" s="14" t="str">
        <x:v>Yes</x:v>
      </x:c>
      <x:c r="P298" s="14" t="str">
        <x:v>PHONEPE LIMITED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1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46136</x:v>
      </x:c>
    </x:row>
    <x:row r="299">
      <x:c r="A299" s="14" t="n">
        <x:v>298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46136</x:v>
      </x:c>
      <x:c r="F299" s="15" t="n">
        <x:v>46136</x:v>
      </x:c>
      <x:c r="G299" s="16" t="str">
        <x:v>DIGITA-MUMBAI/ NEFT-AXNPN11490153195-PHONEPE LIMITED-PAYMENT AGGR</x:v>
      </x:c>
      <x:c r="H299" s="14" t="str"/>
      <x:c r="I299" s="14" t="str">
        <x:v>Receipt</x:v>
      </x:c>
      <x:c r="J299" s="17" t="n">
        <x:v>0</x:v>
      </x:c>
      <x:c r="K299" s="17" t="n">
        <x:v>81529</x:v>
      </x:c>
      <x:c r="L299" s="17" t="n">
        <x:v>81529</x:v>
      </x:c>
      <x:c r="M299" s="17" t="n">
        <x:v>318310</x:v>
      </x:c>
      <x:c r="N299" s="14" t="str">
        <x:v>Recurring Transaction</x:v>
      </x:c>
      <x:c r="O299" s="14" t="str">
        <x:v>Yes</x:v>
      </x:c>
      <x:c r="P299" s="14" t="str">
        <x:v>PHONEPE LIMITED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46136</x:v>
      </x:c>
    </x:row>
    <x:row r="300">
      <x:c r="A300" s="14" t="n">
        <x:v>299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46136</x:v>
      </x:c>
      <x:c r="F300" s="15" t="n">
        <x:v>46136</x:v>
      </x:c>
      <x:c r="G300" s="16" t="str">
        <x:v>DIGITA-MUMBAI/ NEFT-AXISCN1322890868-ONE MOBIKWIK SYSTEMS LIMITED</x:v>
      </x:c>
      <x:c r="H300" s="14" t="str"/>
      <x:c r="I300" s="14" t="str">
        <x:v>Receipt</x:v>
      </x:c>
      <x:c r="J300" s="17" t="n">
        <x:v>0</x:v>
      </x:c>
      <x:c r="K300" s="17" t="n">
        <x:v>3100</x:v>
      </x:c>
      <x:c r="L300" s="17" t="n">
        <x:v>3100</x:v>
      </x:c>
      <x:c r="M300" s="17" t="n">
        <x:v>321410</x:v>
      </x:c>
      <x:c r="N300" s="14" t="str">
        <x:v>Recurring Transaction</x:v>
      </x:c>
      <x:c r="O300" s="14" t="str">
        <x:v>Yes</x:v>
      </x:c>
      <x:c r="P300" s="14" t="str">
        <x:v>ONE MOBIKWIK SYSTEMS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46136</x:v>
      </x:c>
    </x:row>
    <x:row r="301">
      <x:c r="A301" s="14" t="n">
        <x:v>300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NEFT-AXISCN1322996900-PINE LABS PRIVATE LIMITED-NO</x:v>
      </x:c>
      <x:c r="H301" s="14" t="str"/>
      <x:c r="I301" s="14" t="str">
        <x:v>Receipt</x:v>
      </x:c>
      <x:c r="J301" s="17" t="n">
        <x:v>0</x:v>
      </x:c>
      <x:c r="K301" s="17" t="n">
        <x:v>90493</x:v>
      </x:c>
      <x:c r="L301" s="17" t="n">
        <x:v>90493</x:v>
      </x:c>
      <x:c r="M301" s="17" t="n">
        <x:v>411903</x:v>
      </x:c>
      <x:c r="N301" s="14" t="str">
        <x:v>Recurring Transaction</x:v>
      </x:c>
      <x:c r="O301" s="14" t="str">
        <x:v>Yes</x:v>
      </x:c>
      <x:c r="P301" s="14" t="str">
        <x:v>PINE LABS PRIVATE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301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EBANK:WIB/1505 EBANK:WIB/1505337172/Edfs</x:v>
      </x:c>
      <x:c r="H302" s="14" t="str"/>
      <x:c r="I302" s="14" t="str">
        <x:v>Payment</x:v>
      </x:c>
      <x:c r="J302" s="17" t="n">
        <x:v>400403</x:v>
      </x:c>
      <x:c r="K302" s="17" t="n">
        <x:v>0</x:v>
      </x:c>
      <x:c r="L302" s="17" t="n">
        <x:v>400403</x:v>
      </x:c>
      <x:c r="M302" s="17" t="n">
        <x:v>11500</x:v>
      </x:c>
      <x:c r="N302" s="14" t="str">
        <x:v>High Transaction; Recurring Transaction</x:v>
      </x:c>
      <x:c r="O302" s="14" t="str">
        <x:v>Yes</x:v>
      </x:c>
      <x:c r="P302" s="14" t="str">
        <x:v>EBANKWIB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302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NEFT-NKGSH26114148361-GEBI PRODUCTS PRIVATE LIMITE</x:v>
      </x:c>
      <x:c r="H303" s="14" t="str"/>
      <x:c r="I303" s="14" t="str">
        <x:v>Receipt</x:v>
      </x:c>
      <x:c r="J303" s="17" t="n">
        <x:v>0</x:v>
      </x:c>
      <x:c r="K303" s="17" t="n">
        <x:v>2710</x:v>
      </x:c>
      <x:c r="L303" s="17" t="n">
        <x:v>2710</x:v>
      </x:c>
      <x:c r="M303" s="17" t="n">
        <x:v>14210</x:v>
      </x:c>
      <x:c r="N303" s="14" t="str">
        <x:v>Recurring Transaction</x:v>
      </x:c>
      <x:c r="O303" s="14" t="str">
        <x:v>Yes</x:v>
      </x:c>
      <x:c r="P303" s="14" t="str">
        <x:v>GEBI PRODUCTS PRIVATE LIMITE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303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NEFT-IN42611452122935-N R COLOURS LIMITED</x:v>
      </x:c>
      <x:c r="H304" s="14" t="str"/>
      <x:c r="I304" s="14" t="str">
        <x:v>Receipt</x:v>
      </x:c>
      <x:c r="J304" s="17" t="n">
        <x:v>0</x:v>
      </x:c>
      <x:c r="K304" s="17" t="n">
        <x:v>20000</x:v>
      </x:c>
      <x:c r="L304" s="17" t="n">
        <x:v>20000</x:v>
      </x:c>
      <x:c r="M304" s="17" t="n">
        <x:v>34210</x:v>
      </x:c>
      <x:c r="N304" s="14" t="str">
        <x:v>Recurring Transaction</x:v>
      </x:c>
      <x:c r="O304" s="14" t="str">
        <x:v>Yes</x:v>
      </x:c>
      <x:c r="P304" s="14" t="str">
        <x:v>N R COLOURS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304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DIGITA-MUMBAI/ NEFT-IDIBH11439372913-JAI AMBE TRANSPORT</x:v>
      </x:c>
      <x:c r="H305" s="14" t="str"/>
      <x:c r="I305" s="14" t="str">
        <x:v>Receipt</x:v>
      </x:c>
      <x:c r="J305" s="17" t="n">
        <x:v>0</x:v>
      </x:c>
      <x:c r="K305" s="17" t="n">
        <x:v>4545</x:v>
      </x:c>
      <x:c r="L305" s="17" t="n">
        <x:v>4545</x:v>
      </x:c>
      <x:c r="M305" s="17" t="n">
        <x:v>38755</x:v>
      </x:c>
      <x:c r="N305" s="14" t="str">
        <x:v>Recurring Transaction</x:v>
      </x:c>
      <x:c r="O305" s="14" t="str">
        <x:v>Yes</x:v>
      </x:c>
      <x:c r="P305" s="14" t="str">
        <x:v>JAI AMBE TRANSPORT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305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EBANK:15054403 EBANK:1505440385/icicibank/114463157029/AVENUES I</x:v>
      </x:c>
      <x:c r="H306" s="14" t="str"/>
      <x:c r="I306" s="14" t="str">
        <x:v>Payment</x:v>
      </x:c>
      <x:c r="J306" s="17" t="n">
        <x:v>13249</x:v>
      </x:c>
      <x:c r="K306" s="17" t="n">
        <x:v>0</x:v>
      </x:c>
      <x:c r="L306" s="17" t="n">
        <x:v>13249</x:v>
      </x:c>
      <x:c r="M306" s="17" t="n">
        <x:v>25506</x:v>
      </x:c>
      <x:c r="N306" s="14" t="str">
        <x:v>Recurring Transaction</x:v>
      </x:c>
      <x:c r="O306" s="14" t="str">
        <x:v>Yes</x:v>
      </x:c>
      <x:c r="P306" s="14" t="str">
        <x:v>EBANK EBANK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306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NEFT-IN22611428762276-PELL TECH HEALTH CARE PRIVAT</x:v>
      </x:c>
      <x:c r="H307" s="14" t="str"/>
      <x:c r="I307" s="14" t="str">
        <x:v>Receipt</x:v>
      </x:c>
      <x:c r="J307" s="17" t="n">
        <x:v>0</x:v>
      </x:c>
      <x:c r="K307" s="17" t="n">
        <x:v>12063</x:v>
      </x:c>
      <x:c r="L307" s="17" t="n">
        <x:v>12063</x:v>
      </x:c>
      <x:c r="M307" s="17" t="n">
        <x:v>37569</x:v>
      </x:c>
      <x:c r="N307" s="14" t="str">
        <x:v>Recurring Transaction</x:v>
      </x:c>
      <x:c r="O307" s="14" t="str">
        <x:v>Yes</x:v>
      </x:c>
      <x:c r="P307" s="14" t="str">
        <x:v>PELL TECH HEALTH CARE PRIVAT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307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UPI/8429589140 58914051 UPI/842958914051/18:57:56/UPI/9423374100@ybl/Paym</x:v>
      </x:c>
      <x:c r="H308" s="14" t="str"/>
      <x:c r="I308" s="14" t="str">
        <x:v>Receipt</x:v>
      </x:c>
      <x:c r="J308" s="17" t="n">
        <x:v>0</x:v>
      </x:c>
      <x:c r="K308" s="17" t="n">
        <x:v>80000</x:v>
      </x:c>
      <x:c r="L308" s="17" t="n">
        <x:v>80000</x:v>
      </x:c>
      <x:c r="M308" s="17" t="n">
        <x:v>117569</x:v>
      </x:c>
      <x:c r="N308" s="14" t="str">
        <x:v>UPI</x:v>
      </x:c>
      <x:c r="O308" s="14" t="str">
        <x:v>No</x:v>
      </x:c>
      <x:c r="P308" s="14" t="str">
        <x:v>UPI/# # UPI/#/#:#:#/UPI/#@YBL/PAYM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1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308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EBANK:WIB/1505 EBANK:WIB/1505452714/Edfs</x:v>
      </x:c>
      <x:c r="H309" s="14" t="str"/>
      <x:c r="I309" s="14" t="str">
        <x:v>Payment</x:v>
      </x:c>
      <x:c r="J309" s="17" t="n">
        <x:v>115069</x:v>
      </x:c>
      <x:c r="K309" s="17" t="n">
        <x:v>0</x:v>
      </x:c>
      <x:c r="L309" s="17" t="n">
        <x:v>115069</x:v>
      </x:c>
      <x:c r="M309" s="17" t="n">
        <x:v>2500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309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46137</x:v>
      </x:c>
      <x:c r="F310" s="15" t="n">
        <x:v>46137</x:v>
      </x:c>
      <x:c r="G310" s="16" t="str">
        <x:v>DIGITA-MUMBAI/ NEFT-YESAP61152331743-PhonePe Limited</x:v>
      </x:c>
      <x:c r="H310" s="14" t="str"/>
      <x:c r="I310" s="14" t="str">
        <x:v>Receipt</x:v>
      </x:c>
      <x:c r="J310" s="17" t="n">
        <x:v>0</x:v>
      </x:c>
      <x:c r="K310" s="17" t="n">
        <x:v>273418</x:v>
      </x:c>
      <x:c r="L310" s="17" t="n">
        <x:v>273418</x:v>
      </x:c>
      <x:c r="M310" s="17" t="n">
        <x:v>275918</x:v>
      </x:c>
      <x:c r="N310" s="14" t="str">
        <x:v>High Transaction; Recurring Transaction</x:v>
      </x:c>
      <x:c r="O310" s="14" t="str">
        <x:v>Yes</x:v>
      </x:c>
      <x:c r="P310" s="14" t="str">
        <x:v>PHONEPE LIMITED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1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46137</x:v>
      </x:c>
    </x:row>
    <x:row r="311">
      <x:c r="A311" s="14" t="n">
        <x:v>310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46137</x:v>
      </x:c>
      <x:c r="F311" s="15" t="n">
        <x:v>46137</x:v>
      </x:c>
      <x:c r="G31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1" s="14" t="str"/>
      <x:c r="I311" s="14" t="str">
        <x:v>Payment</x:v>
      </x:c>
      <x:c r="J311" s="17" t="n">
        <x:v>273418</x:v>
      </x:c>
      <x:c r="K311" s="17" t="n">
        <x:v>0</x:v>
      </x:c>
      <x:c r="L311" s="17" t="n">
        <x:v>273418</x:v>
      </x:c>
      <x:c r="M311" s="17" t="n">
        <x:v>2500</x:v>
      </x:c>
      <x:c r="N311" s="14" t="str">
        <x:v>High Transaction; Recurring Transaction</x:v>
      </x:c>
      <x:c r="O311" s="14" t="str">
        <x:v>Yes</x:v>
      </x:c>
      <x:c r="P311" s="14" t="str">
        <x:v>EBANKWIB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46137</x:v>
      </x:c>
    </x:row>
    <x:row r="312">
      <x:c r="A312" s="14" t="n">
        <x:v>311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46137</x:v>
      </x:c>
      <x:c r="F312" s="15" t="n">
        <x:v>46137</x:v>
      </x:c>
      <x:c r="G312" s="16" t="str">
        <x:v>DIGITA-MUMBAI/ NEFT-AXNPN11598935300-PHONEPE LIMITED-PAYMENT AGGR</x:v>
      </x:c>
      <x:c r="H312" s="14" t="str"/>
      <x:c r="I312" s="14" t="str">
        <x:v>Receipt</x:v>
      </x:c>
      <x:c r="J312" s="17" t="n">
        <x:v>0</x:v>
      </x:c>
      <x:c r="K312" s="17" t="n">
        <x:v>72545.93</x:v>
      </x:c>
      <x:c r="L312" s="17" t="n">
        <x:v>72545.93</x:v>
      </x:c>
      <x:c r="M312" s="17" t="n">
        <x:v>75045.93</x:v>
      </x:c>
      <x:c r="N312" s="14" t="str">
        <x:v>Recurring Transaction</x:v>
      </x:c>
      <x:c r="O312" s="14" t="str">
        <x:v>Yes</x:v>
      </x:c>
      <x:c r="P312" s="14" t="str">
        <x:v>PHONEPE LIMITED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46137</x:v>
      </x:c>
    </x:row>
    <x:row r="313">
      <x:c r="A313" s="14" t="n">
        <x:v>312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EBANK:WIB/1505 EBANK:WIB/1505471386/Edfs</x:v>
      </x:c>
      <x:c r="H313" s="14" t="str"/>
      <x:c r="I313" s="14" t="str">
        <x:v>Payment</x:v>
      </x:c>
      <x:c r="J313" s="17" t="n">
        <x:v>72545.93</x:v>
      </x:c>
      <x:c r="K313" s="17" t="n">
        <x:v>0</x:v>
      </x:c>
      <x:c r="L313" s="17" t="n">
        <x:v>72545.93</x:v>
      </x:c>
      <x:c r="M313" s="17" t="n">
        <x:v>2500</x:v>
      </x:c>
      <x:c r="N313" s="14" t="str">
        <x:v>Recurring Transaction</x:v>
      </x:c>
      <x:c r="O313" s="14" t="str">
        <x:v>Yes</x:v>
      </x:c>
      <x:c r="P313" s="14" t="str">
        <x:v>EBANKWIB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313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DIGITA-MUMBAI/ NEFT-AXISCN1323965473-ONE MOBIKWIK SYSTEMS LIMITED</x:v>
      </x:c>
      <x:c r="H314" s="14" t="str"/>
      <x:c r="I314" s="14" t="str">
        <x:v>Receipt</x:v>
      </x:c>
      <x:c r="J314" s="17" t="n">
        <x:v>0</x:v>
      </x:c>
      <x:c r="K314" s="17" t="n">
        <x:v>1000</x:v>
      </x:c>
      <x:c r="L314" s="17" t="n">
        <x:v>1000</x:v>
      </x:c>
      <x:c r="M314" s="17" t="n">
        <x:v>3500</x:v>
      </x:c>
      <x:c r="N314" s="14" t="str">
        <x:v>Recurring Transaction</x:v>
      </x:c>
      <x:c r="O314" s="14" t="str">
        <x:v>Yes</x:v>
      </x:c>
      <x:c r="P314" s="14" t="str">
        <x:v>ONE MOBIKWIK SYSTEMS LIMITED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314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NEFT-AXISCN1324050087-PINE LABS PRIVATE LIMITED-NO</x:v>
      </x:c>
      <x:c r="H315" s="14" t="str"/>
      <x:c r="I315" s="14" t="str">
        <x:v>Receipt</x:v>
      </x:c>
      <x:c r="J315" s="17" t="n">
        <x:v>0</x:v>
      </x:c>
      <x:c r="K315" s="17" t="n">
        <x:v>29350</x:v>
      </x:c>
      <x:c r="L315" s="17" t="n">
        <x:v>29350</x:v>
      </x:c>
      <x:c r="M315" s="17" t="n">
        <x:v>32850</x:v>
      </x:c>
      <x:c r="N315" s="14" t="str">
        <x:v>Recurring Transaction</x:v>
      </x:c>
      <x:c r="O315" s="14" t="str">
        <x:v>Yes</x:v>
      </x:c>
      <x:c r="P315" s="14" t="str">
        <x:v>PINE LABS PRIVATE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315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Charges for Charges for PORD Customer Payment :003610812913</x:v>
      </x:c>
      <x:c r="H316" s="14" t="str"/>
      <x:c r="I316" s="14" t="str">
        <x:v>Payment</x:v>
      </x:c>
      <x:c r="J316" s="17" t="n">
        <x:v>5.6</x:v>
      </x:c>
      <x:c r="K316" s="17" t="n">
        <x:v>0</x:v>
      </x:c>
      <x:c r="L316" s="17" t="n">
        <x:v>5.6</x:v>
      </x:c>
      <x:c r="M316" s="17" t="n">
        <x:v>32844.4</x:v>
      </x:c>
      <x:c r="N316" s="14" t="str">
        <x:v>Recurring Transaction</x:v>
      </x:c>
      <x:c r="O316" s="14" t="str">
        <x:v>Yes</x:v>
      </x:c>
      <x:c r="P316" s="14" t="str">
        <x:v>CHARGES FOR CHARGES FOR PORD CUSTOMER PA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316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NEFT-BARBZ2611 NEFT-BARBZ26115868320-E COLLECTION RETAIL SBU HDFC</x:v>
      </x:c>
      <x:c r="H317" s="14" t="str"/>
      <x:c r="I317" s="14" t="str">
        <x:v>Payment</x:v>
      </x:c>
      <x:c r="J317" s="17" t="n">
        <x:v>21988.35</x:v>
      </x:c>
      <x:c r="K317" s="17" t="n">
        <x:v>0</x:v>
      </x:c>
      <x:c r="L317" s="17" t="n">
        <x:v>21988.35</x:v>
      </x:c>
      <x:c r="M317" s="17" t="n">
        <x:v>10856.05</x:v>
      </x:c>
      <x:c r="N317" s="14" t="str">
        <x:v>Other</x:v>
      </x:c>
      <x:c r="O317" s="14" t="str">
        <x:v>No</x:v>
      </x:c>
      <x:c r="P317" s="14" t="str">
        <x:v>BARBZ NEFT</x:v>
      </x:c>
      <x:c r="Q317" s="14" t="n">
        <x:v>0</x:v>
      </x:c>
      <x:c r="R317" s="14" t="n">
        <x:v>0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317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IMPS/P2A/611512825992/ENKTESHWAR INDU/KKBKTransfe</x:v>
      </x:c>
      <x:c r="H318" s="14" t="str"/>
      <x:c r="I318" s="14" t="str">
        <x:v>Receipt</x:v>
      </x:c>
      <x:c r="J318" s="17" t="n">
        <x:v>0</x:v>
      </x:c>
      <x:c r="K318" s="17" t="n">
        <x:v>28088</x:v>
      </x:c>
      <x:c r="L318" s="17" t="n">
        <x:v>28088</x:v>
      </x:c>
      <x:c r="M318" s="17" t="n">
        <x:v>38944.05</x:v>
      </x:c>
      <x:c r="N318" s="14" t="str">
        <x:v>Other</x:v>
      </x:c>
      <x:c r="O318" s="14" t="str">
        <x:v>No</x:v>
      </x:c>
      <x:c r="P318" s="14" t="str">
        <x:v>ENKTESHWAR INDU</x:v>
      </x:c>
      <x:c r="Q318" s="14" t="n">
        <x:v>0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318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DIGITA-MUMBAI/ IMPS/P2A/611513033420/VILLAGE STONE L/Diesel paym</x:v>
      </x:c>
      <x:c r="H319" s="14" t="str"/>
      <x:c r="I319" s="14" t="str">
        <x:v>Receipt</x:v>
      </x:c>
      <x:c r="J319" s="17" t="n">
        <x:v>0</x:v>
      </x:c>
      <x:c r="K319" s="17" t="n">
        <x:v>100000</x:v>
      </x:c>
      <x:c r="L319" s="17" t="n">
        <x:v>100000</x:v>
      </x:c>
      <x:c r="M319" s="17" t="n">
        <x:v>138944.05</x:v>
      </x:c>
      <x:c r="N319" s="14" t="str">
        <x:v>High Transaction; Recurring Transaction</x:v>
      </x:c>
      <x:c r="O319" s="14" t="str">
        <x:v>Yes</x:v>
      </x:c>
      <x:c r="P319" s="14" t="str">
        <x:v>VILLAGE STONE L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319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DIGITA-MUMBAI/ NEFT-KKBKH26115923099-ATLAS COMMODITIES PRIVATE LI</x:v>
      </x:c>
      <x:c r="H320" s="14" t="str"/>
      <x:c r="I320" s="14" t="str">
        <x:v>Receipt</x:v>
      </x:c>
      <x:c r="J320" s="17" t="n">
        <x:v>0</x:v>
      </x:c>
      <x:c r="K320" s="17" t="n">
        <x:v>7389</x:v>
      </x:c>
      <x:c r="L320" s="17" t="n">
        <x:v>7389</x:v>
      </x:c>
      <x:c r="M320" s="17" t="n">
        <x:v>146333.05</x:v>
      </x:c>
      <x:c r="N320" s="14" t="str">
        <x:v>Recurring Transaction</x:v>
      </x:c>
      <x:c r="O320" s="14" t="str">
        <x:v>Yes</x:v>
      </x:c>
      <x:c r="P320" s="14" t="str">
        <x:v>ATLAS COMMODITIES PRIVATE LI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320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IMPS/P2A/611516467183/MUKESH OIL CORP/IMPS transa</x:v>
      </x:c>
      <x:c r="H321" s="14" t="str"/>
      <x:c r="I321" s="14" t="str">
        <x:v>Receipt</x:v>
      </x:c>
      <x:c r="J321" s="17" t="n">
        <x:v>0</x:v>
      </x:c>
      <x:c r="K321" s="17" t="n">
        <x:v>19014.1</x:v>
      </x:c>
      <x:c r="L321" s="17" t="n">
        <x:v>19014.1</x:v>
      </x:c>
      <x:c r="M321" s="17" t="n">
        <x:v>165347.15</x:v>
      </x:c>
      <x:c r="N321" s="14" t="str">
        <x:v>Other</x:v>
      </x:c>
      <x:c r="O321" s="14" t="str">
        <x:v>No</x:v>
      </x:c>
      <x:c r="P321" s="14" t="str">
        <x:v>MUKESH OIL CORP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321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IMPS/P2A/611516181925/S TRANS 14851/Mh04ju3738I</x:v>
      </x:c>
      <x:c r="H322" s="14" t="str"/>
      <x:c r="I322" s="14" t="str">
        <x:v>Receipt</x:v>
      </x:c>
      <x:c r="J322" s="17" t="n">
        <x:v>0</x:v>
      </x:c>
      <x:c r="K322" s="17" t="n">
        <x:v>9400</x:v>
      </x:c>
      <x:c r="L322" s="17" t="n">
        <x:v>9400</x:v>
      </x:c>
      <x:c r="M322" s="17" t="n">
        <x:v>174747.15</x:v>
      </x:c>
      <x:c r="N322" s="14" t="str">
        <x:v>Recurring Transaction</x:v>
      </x:c>
      <x:c r="O322" s="14" t="str">
        <x:v>Yes</x:v>
      </x:c>
      <x:c r="P322" s="14" t="str">
        <x:v>DIGITA-MUMBAI/ IMPS/P#A/#/S TRANS #/MH#JU#I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322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EBANK:WIB/1505 EBANK:WIB/1505585919/Edfs</x:v>
      </x:c>
      <x:c r="H323" s="14" t="str"/>
      <x:c r="I323" s="14" t="str">
        <x:v>Payment</x:v>
      </x:c>
      <x:c r="J323" s="17" t="n">
        <x:v>172247.15</x:v>
      </x:c>
      <x:c r="K323" s="17" t="n">
        <x:v>0</x:v>
      </x:c>
      <x:c r="L323" s="17" t="n">
        <x:v>172247.15</x:v>
      </x:c>
      <x:c r="M323" s="17" t="n">
        <x:v>2500</x:v>
      </x:c>
      <x:c r="N323" s="14" t="str">
        <x:v>High Transaction; Recurring Transaction</x:v>
      </x:c>
      <x:c r="O323" s="14" t="str">
        <x:v>Yes</x:v>
      </x:c>
      <x:c r="P323" s="14" t="str">
        <x:v>EBANKWIB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323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46138</x:v>
      </x:c>
      <x:c r="F324" s="15" t="n">
        <x:v>46138</x:v>
      </x:c>
      <x:c r="G324" s="16" t="str">
        <x:v>DIGITA-MUMBAI/ NEFT-YESAP61163896825-PhonePe Limited</x:v>
      </x:c>
      <x:c r="H324" s="14" t="str"/>
      <x:c r="I324" s="14" t="str">
        <x:v>Receipt</x:v>
      </x:c>
      <x:c r="J324" s="17" t="n">
        <x:v>0</x:v>
      </x:c>
      <x:c r="K324" s="17" t="n">
        <x:v>244934</x:v>
      </x:c>
      <x:c r="L324" s="17" t="n">
        <x:v>244934</x:v>
      </x:c>
      <x:c r="M324" s="17" t="n">
        <x:v>247434</x:v>
      </x:c>
      <x:c r="N324" s="14" t="str">
        <x:v>High Transaction; Recurring Transaction</x:v>
      </x:c>
      <x:c r="O324" s="14" t="str">
        <x:v>Yes</x:v>
      </x:c>
      <x:c r="P324" s="14" t="str">
        <x:v>PHONEPE LIMITED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1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46138</x:v>
      </x:c>
    </x:row>
    <x:row r="325">
      <x:c r="A325" s="14" t="n">
        <x:v>324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46138</x:v>
      </x:c>
      <x:c r="F325" s="15" t="n">
        <x:v>46138</x:v>
      </x:c>
      <x:c r="G325" s="16" t="str">
        <x:v>DIGITA-MUMBAI/ NEFT-AXNPN11607066053-PHONEPE LIMITED-PAYMENT AGGR</x:v>
      </x:c>
      <x:c r="H325" s="14" t="str"/>
      <x:c r="I325" s="14" t="str">
        <x:v>Receipt</x:v>
      </x:c>
      <x:c r="J325" s="17" t="n">
        <x:v>0</x:v>
      </x:c>
      <x:c r="K325" s="17" t="n">
        <x:v>100291.79</x:v>
      </x:c>
      <x:c r="L325" s="17" t="n">
        <x:v>100291.79</x:v>
      </x:c>
      <x:c r="M325" s="17" t="n">
        <x:v>347725.79</x:v>
      </x:c>
      <x:c r="N325" s="14" t="str">
        <x:v>High Transaction; Recurring Transaction</x:v>
      </x:c>
      <x:c r="O325" s="14" t="str">
        <x:v>Yes</x:v>
      </x:c>
      <x:c r="P325" s="14" t="str">
        <x:v>PHONEPE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46138</x:v>
      </x:c>
    </x:row>
    <x:row r="326">
      <x:c r="A326" s="14" t="n">
        <x:v>325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46138</x:v>
      </x:c>
      <x:c r="F326" s="15" t="n">
        <x:v>46138</x:v>
      </x:c>
      <x:c r="G326" s="16" t="str">
        <x:v>DIGITA-MUMBAI/ NEFT-AXISCN1324632883-ONE MOBIKWIK SYSTEMS LIMITED</x:v>
      </x:c>
      <x:c r="H326" s="14" t="str"/>
      <x:c r="I326" s="14" t="str">
        <x:v>Receipt</x:v>
      </x:c>
      <x:c r="J326" s="17" t="n">
        <x:v>0</x:v>
      </x:c>
      <x:c r="K326" s="17" t="n">
        <x:v>3765</x:v>
      </x:c>
      <x:c r="L326" s="17" t="n">
        <x:v>3765</x:v>
      </x:c>
      <x:c r="M326" s="17" t="n">
        <x:v>351490.79</x:v>
      </x:c>
      <x:c r="N326" s="14" t="str">
        <x:v>Recurring Transaction</x:v>
      </x:c>
      <x:c r="O326" s="14" t="str">
        <x:v>Yes</x:v>
      </x:c>
      <x:c r="P326" s="14" t="str">
        <x:v>ONE MOBIKWIK SYSTEMS LIMITED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46138</x:v>
      </x:c>
    </x:row>
    <x:row r="327">
      <x:c r="A327" s="14" t="n">
        <x:v>326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7" s="14" t="str"/>
      <x:c r="I327" s="14" t="str">
        <x:v>Payment</x:v>
      </x:c>
      <x:c r="J327" s="17" t="n">
        <x:v>300990.79</x:v>
      </x:c>
      <x:c r="K327" s="17" t="n">
        <x:v>0</x:v>
      </x:c>
      <x:c r="L327" s="17" t="n">
        <x:v>300990.79</x:v>
      </x:c>
      <x:c r="M327" s="17" t="n">
        <x:v>50500</x:v>
      </x:c>
      <x:c r="N327" s="14" t="str">
        <x:v>High Transaction; 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327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IMPS/P2A/611609588661/SHREE GANESH EN/billVVS9100</x:v>
      </x:c>
      <x:c r="H328" s="14" t="str"/>
      <x:c r="I328" s="14" t="str">
        <x:v>Receipt</x:v>
      </x:c>
      <x:c r="J328" s="17" t="n">
        <x:v>0</x:v>
      </x:c>
      <x:c r="K328" s="17" t="n">
        <x:v>63308</x:v>
      </x:c>
      <x:c r="L328" s="17" t="n">
        <x:v>63308</x:v>
      </x:c>
      <x:c r="M328" s="17" t="n">
        <x:v>113808</x:v>
      </x:c>
      <x:c r="N328" s="14" t="str">
        <x:v>Recurring Transaction</x:v>
      </x:c>
      <x:c r="O328" s="14" t="str">
        <x:v>Yes</x:v>
      </x:c>
      <x:c r="P328" s="14" t="str">
        <x:v>SHREE GANESH EN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328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NEFT-HDFCH00955439283-MARK LUBES PRIVATE LIMITED</x:v>
      </x:c>
      <x:c r="H329" s="14" t="str"/>
      <x:c r="I329" s="14" t="str">
        <x:v>Receipt</x:v>
      </x:c>
      <x:c r="J329" s="17" t="n">
        <x:v>0</x:v>
      </x:c>
      <x:c r="K329" s="17" t="n">
        <x:v>3420</x:v>
      </x:c>
      <x:c r="L329" s="17" t="n">
        <x:v>3420</x:v>
      </x:c>
      <x:c r="M329" s="17" t="n">
        <x:v>117228</x:v>
      </x:c>
      <x:c r="N329" s="14" t="str">
        <x:v>Recurring Transaction</x:v>
      </x:c>
      <x:c r="O329" s="14" t="str">
        <x:v>Yes</x:v>
      </x:c>
      <x:c r="P329" s="14" t="str">
        <x:v>MARK LUBES PRIVATE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329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EBANK:WIB/1505633295/Edfs</x:v>
      </x:c>
      <x:c r="H330" s="14" t="str"/>
      <x:c r="I330" s="14" t="str">
        <x:v>Payment</x:v>
      </x:c>
      <x:c r="J330" s="17" t="n">
        <x:v>114728</x:v>
      </x:c>
      <x:c r="K330" s="17" t="n">
        <x:v>0</x:v>
      </x:c>
      <x:c r="L330" s="17" t="n">
        <x:v>114728</x:v>
      </x:c>
      <x:c r="M330" s="17" t="n">
        <x:v>2500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330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46139</x:v>
      </x:c>
      <x:c r="F331" s="15" t="n">
        <x:v>46139</x:v>
      </x:c>
      <x:c r="G331" s="16" t="str">
        <x:v>DIGITA-MUMBAI/ NEFT-YESAP61174218113-PhonePe Limited</x:v>
      </x:c>
      <x:c r="H331" s="14" t="str"/>
      <x:c r="I331" s="14" t="str">
        <x:v>Receipt</x:v>
      </x:c>
      <x:c r="J331" s="17" t="n">
        <x:v>0</x:v>
      </x:c>
      <x:c r="K331" s="17" t="n">
        <x:v>243320.8</x:v>
      </x:c>
      <x:c r="L331" s="17" t="n">
        <x:v>243320.8</x:v>
      </x:c>
      <x:c r="M331" s="17" t="n">
        <x:v>245820.8</x:v>
      </x:c>
      <x:c r="N331" s="14" t="str">
        <x:v>High Transaction; Recurring Transaction</x:v>
      </x:c>
      <x:c r="O331" s="14" t="str">
        <x:v>Yes</x:v>
      </x:c>
      <x:c r="P331" s="14" t="str">
        <x:v>PHONEPE LIMITED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1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46139</x:v>
      </x:c>
    </x:row>
    <x:row r="332">
      <x:c r="A332" s="14" t="n">
        <x:v>331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46139</x:v>
      </x:c>
      <x:c r="F332" s="15" t="n">
        <x:v>46139</x:v>
      </x:c>
      <x:c r="G332" s="16" t="str">
        <x:v>DIGITA-MUMBAI/ NEFT-AXNPN11714754008-PHONEPE LIMITED-PAYMENT AGGR</x:v>
      </x:c>
      <x:c r="H332" s="14" t="str"/>
      <x:c r="I332" s="14" t="str">
        <x:v>Receipt</x:v>
      </x:c>
      <x:c r="J332" s="17" t="n">
        <x:v>0</x:v>
      </x:c>
      <x:c r="K332" s="17" t="n">
        <x:v>109488</x:v>
      </x:c>
      <x:c r="L332" s="17" t="n">
        <x:v>109488</x:v>
      </x:c>
      <x:c r="M332" s="17" t="n">
        <x:v>355308.8</x:v>
      </x:c>
      <x:c r="N332" s="14" t="str">
        <x:v>High Transaction; Recurring Transaction</x:v>
      </x:c>
      <x:c r="O332" s="14" t="str">
        <x:v>Yes</x:v>
      </x:c>
      <x:c r="P332" s="14" t="str">
        <x:v>PHONEPE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1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46139</x:v>
      </x:c>
    </x:row>
    <x:row r="333">
      <x:c r="A333" s="14" t="n">
        <x:v>332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46139</x:v>
      </x:c>
      <x:c r="F333" s="15" t="n">
        <x:v>46139</x:v>
      </x:c>
      <x:c r="G333" s="16" t="str">
        <x:v>DIGITA-MUMBAI/ NEFT-AXISCN1325294472-ONE MOBIKWIK SYSTEMS LIMITED https://cbdrpt101.bankofbaroda.co.in:22000/finbranch/arjspmorph/INFENG/tran_rpt.jsp?... 04-05-2026</x:v>
      </x:c>
      <x:c r="H333" s="14" t="str"/>
      <x:c r="I333" s="14" t="str">
        <x:v>Receipt</x:v>
      </x:c>
      <x:c r="J333" s="17" t="n">
        <x:v>0</x:v>
      </x:c>
      <x:c r="K333" s="17" t="n">
        <x:v>1900</x:v>
      </x:c>
      <x:c r="L333" s="17" t="n">
        <x:v>1900</x:v>
      </x:c>
      <x:c r="M333" s="17" t="n">
        <x:v>357208.8</x:v>
      </x:c>
      <x:c r="N333" s="14" t="str">
        <x:v>Recurring Transaction</x:v>
      </x:c>
      <x:c r="O333" s="14" t="str">
        <x:v>Yes</x:v>
      </x:c>
      <x:c r="P333" s="14" t="str">
        <x:v>ONE MOBIKWIK SYSTEMS LIMITED HTTPS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46139</x:v>
      </x:c>
    </x:row>
    <x:row r="334">
      <x:c r="A334" s="14" t="n">
        <x:v>333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NEFT-AXISCN1325402930-PINE LABS PRIVATE LIMITED-NO</x:v>
      </x:c>
      <x:c r="H334" s="14" t="str"/>
      <x:c r="I334" s="14" t="str">
        <x:v>Receipt</x:v>
      </x:c>
      <x:c r="J334" s="17" t="n">
        <x:v>0</x:v>
      </x:c>
      <x:c r="K334" s="17" t="n">
        <x:v>73824</x:v>
      </x:c>
      <x:c r="L334" s="17" t="n">
        <x:v>73824</x:v>
      </x:c>
      <x:c r="M334" s="17" t="n">
        <x:v>431032.8</x:v>
      </x:c>
      <x:c r="N334" s="14" t="str">
        <x:v>Recurring Transaction</x:v>
      </x:c>
      <x:c r="O334" s="14" t="str">
        <x:v>Yes</x:v>
      </x:c>
      <x:c r="P334" s="14" t="str">
        <x:v>PINE LABS PRIVATE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334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NEFT-AXISCN1325456778-PINE LABS PRIVATE LIMITED-NO</x:v>
      </x:c>
      <x:c r="H335" s="14" t="str"/>
      <x:c r="I335" s="14" t="str">
        <x:v>Receipt</x:v>
      </x:c>
      <x:c r="J335" s="17" t="n">
        <x:v>0</x:v>
      </x:c>
      <x:c r="K335" s="17" t="n">
        <x:v>31285</x:v>
      </x:c>
      <x:c r="L335" s="17" t="n">
        <x:v>31285</x:v>
      </x:c>
      <x:c r="M335" s="17" t="n">
        <x:v>462317.8</x:v>
      </x:c>
      <x:c r="N335" s="14" t="str">
        <x:v>Recurring Transaction</x:v>
      </x:c>
      <x:c r="O335" s="14" t="str">
        <x:v>Yes</x:v>
      </x:c>
      <x:c r="P335" s="14" t="str">
        <x:v>PINE LABS PRIVATE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335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EBANK:WIB/1505 EBANK:WIB/1505672686/Edfs</x:v>
      </x:c>
      <x:c r="H336" s="14" t="str"/>
      <x:c r="I336" s="14" t="str">
        <x:v>Payment</x:v>
      </x:c>
      <x:c r="J336" s="17" t="n">
        <x:v>460000.8</x:v>
      </x:c>
      <x:c r="K336" s="17" t="n">
        <x:v>0</x:v>
      </x:c>
      <x:c r="L336" s="17" t="n">
        <x:v>460000.8</x:v>
      </x:c>
      <x:c r="M336" s="17" t="n">
        <x:v>2317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336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FORTAP-MUMBAI/ EBANK:WIB/1505676092/</x:v>
      </x:c>
      <x:c r="H337" s="14" t="str"/>
      <x:c r="I337" s="14" t="str">
        <x:v>Receipt</x:v>
      </x:c>
      <x:c r="J337" s="17" t="n">
        <x:v>0</x:v>
      </x:c>
      <x:c r="K337" s="17" t="n">
        <x:v>90440</x:v>
      </x:c>
      <x:c r="L337" s="17" t="n">
        <x:v>90440</x:v>
      </x:c>
      <x:c r="M337" s="17" t="n">
        <x:v>92757</x:v>
      </x:c>
      <x:c r="N337" s="14" t="str">
        <x:v>Other</x:v>
      </x:c>
      <x:c r="O337" s="14" t="str">
        <x:v>No</x:v>
      </x:c>
      <x:c r="P337" s="14" t="str">
        <x:v>EBANKWIB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337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UPI/6117042006 4200667 UPI/611704200667/14:46:49/UPI/harad9480-3@okicici</x:v>
      </x:c>
      <x:c r="H338" s="14" t="str"/>
      <x:c r="I338" s="14" t="str">
        <x:v>Receipt</x:v>
      </x:c>
      <x:c r="J338" s="17" t="n">
        <x:v>0</x:v>
      </x:c>
      <x:c r="K338" s="17" t="n">
        <x:v>1</x:v>
      </x:c>
      <x:c r="L338" s="17" t="n">
        <x:v>1</x:v>
      </x:c>
      <x:c r="M338" s="17" t="n">
        <x:v>92758</x:v>
      </x:c>
      <x:c r="N338" s="14" t="str">
        <x:v>UPI</x:v>
      </x:c>
      <x:c r="O338" s="14" t="str">
        <x:v>No</x:v>
      </x:c>
      <x:c r="P338" s="14" t="str">
        <x:v>UPI/# # UPI/#/#:#:#/UPI/HARAD#-#@OKICICI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1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338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UPI/6117458829 45882969 UPI/611745882969/14:47:57/UPI/harad9480-3@okaxis/</x:v>
      </x:c>
      <x:c r="H339" s="14" t="str"/>
      <x:c r="I339" s="14" t="str">
        <x:v>Receipt</x:v>
      </x:c>
      <x:c r="J339" s="17" t="n">
        <x:v>0</x:v>
      </x:c>
      <x:c r="K339" s="17" t="n">
        <x:v>45000</x:v>
      </x:c>
      <x:c r="L339" s="17" t="n">
        <x:v>45000</x:v>
      </x:c>
      <x:c r="M339" s="17" t="n">
        <x:v>137758</x:v>
      </x:c>
      <x:c r="N339" s="14" t="str">
        <x:v>UPI</x:v>
      </x:c>
      <x:c r="O339" s="14" t="str">
        <x:v>No</x:v>
      </x:c>
      <x:c r="P339" s="14" t="str">
        <x:v>UPI/# # UPI/#/#:#:#/UPI/HARAD#-#@OKAXIS/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339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DIGITA-MUMBAI/ NEFT-HDFCH00956609022-SL CORBOX PRIVATE LIMITED</x:v>
      </x:c>
      <x:c r="H340" s="14" t="str"/>
      <x:c r="I340" s="14" t="str">
        <x:v>Receipt</x:v>
      </x:c>
      <x:c r="J340" s="17" t="n">
        <x:v>0</x:v>
      </x:c>
      <x:c r="K340" s="17" t="n">
        <x:v>24058</x:v>
      </x:c>
      <x:c r="L340" s="17" t="n">
        <x:v>24058</x:v>
      </x:c>
      <x:c r="M340" s="17" t="n">
        <x:v>161816</x:v>
      </x:c>
      <x:c r="N340" s="14" t="str">
        <x:v>Recurring Transaction</x:v>
      </x:c>
      <x:c r="O340" s="14" t="str">
        <x:v>Yes</x:v>
      </x:c>
      <x:c r="P340" s="14" t="str">
        <x:v>SL CORBOX PRIVATE LIMITED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340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DIGITA-MUMBAI/ NEFT-BACBH00004205594-GAONDEVI BUILDING MATERIAL S</x:v>
      </x:c>
      <x:c r="H341" s="14" t="str"/>
      <x:c r="I341" s="14" t="str">
        <x:v>Receipt</x:v>
      </x:c>
      <x:c r="J341" s="17" t="n">
        <x:v>0</x:v>
      </x:c>
      <x:c r="K341" s="17" t="n">
        <x:v>150000</x:v>
      </x:c>
      <x:c r="L341" s="17" t="n">
        <x:v>150000</x:v>
      </x:c>
      <x:c r="M341" s="17" t="n">
        <x:v>311816</x:v>
      </x:c>
      <x:c r="N341" s="14" t="str">
        <x:v>High Transaction</x:v>
      </x:c>
      <x:c r="O341" s="14" t="str">
        <x:v>No</x:v>
      </x:c>
      <x:c r="P341" s="14" t="str">
        <x:v>GAONDEVI BUILDING MATERIAL S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341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2" s="14" t="str"/>
      <x:c r="I342" s="14" t="str">
        <x:v>Receipt</x:v>
      </x:c>
      <x:c r="J342" s="17" t="n">
        <x:v>0</x:v>
      </x:c>
      <x:c r="K342" s="17" t="n">
        <x:v>5189</x:v>
      </x:c>
      <x:c r="L342" s="17" t="n">
        <x:v>5189</x:v>
      </x:c>
      <x:c r="M342" s="17" t="n">
        <x:v>317005</x:v>
      </x:c>
      <x:c r="N342" s="14" t="str">
        <x:v>Recurring Transaction</x:v>
      </x:c>
      <x:c r="O342" s="14" t="str">
        <x:v>Yes</x:v>
      </x:c>
      <x:c r="P342" s="14" t="str">
        <x:v>GEBI PRODUCTS PRIVATE LIMITE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342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NEFT-TDCBH26117000588-V C ENTERPRISES</x:v>
      </x:c>
      <x:c r="H343" s="14" t="str"/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367005</x:v>
      </x:c>
      <x:c r="N343" s="14" t="str">
        <x:v>Recurring Transaction</x:v>
      </x:c>
      <x:c r="O343" s="14" t="str">
        <x:v>Yes</x:v>
      </x:c>
      <x:c r="P343" s="14" t="str">
        <x:v>V C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343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EBANK:WIB/1505 EBANK:WIB/1505752441/Edfs</x:v>
      </x:c>
      <x:c r="H344" s="14" t="str"/>
      <x:c r="I344" s="14" t="str">
        <x:v>Payment</x:v>
      </x:c>
      <x:c r="J344" s="17" t="n">
        <x:v>365005</x:v>
      </x:c>
      <x:c r="K344" s="17" t="n">
        <x:v>0</x:v>
      </x:c>
      <x:c r="L344" s="17" t="n">
        <x:v>365005</x:v>
      </x:c>
      <x:c r="M344" s="17" t="n">
        <x:v>2000</x:v>
      </x:c>
      <x:c r="N344" s="14" t="str">
        <x:v>High Transaction; Recurring Transaction</x:v>
      </x:c>
      <x:c r="O344" s="14" t="str">
        <x:v>Yes</x:v>
      </x:c>
      <x:c r="P344" s="14" t="str">
        <x:v>EBANKWIB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344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NEFT-HDFCH00957371480-PETROINOX PIPES TUBES PVT</x:v>
      </x:c>
      <x:c r="H345" s="14" t="str"/>
      <x:c r="I345" s="14" t="str">
        <x:v>Receipt</x:v>
      </x:c>
      <x:c r="J345" s="17" t="n">
        <x:v>0</x:v>
      </x:c>
      <x:c r="K345" s="17" t="n">
        <x:v>300</x:v>
      </x:c>
      <x:c r="L345" s="17" t="n">
        <x:v>300</x:v>
      </x:c>
      <x:c r="M345" s="17" t="n">
        <x:v>2300</x:v>
      </x:c>
      <x:c r="N345" s="14" t="str">
        <x:v>Other</x:v>
      </x:c>
      <x:c r="O345" s="14" t="str">
        <x:v>No</x:v>
      </x:c>
      <x:c r="P345" s="14" t="str">
        <x:v>PETROINOX PIPES TUBES PVT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345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46140</x:v>
      </x:c>
      <x:c r="F346" s="15" t="n">
        <x:v>46140</x:v>
      </x:c>
      <x:c r="G346" s="16" t="str">
        <x:v>DIGITA-MUMBAI/ NEFT-YESAP61183745951-PhonePe Limited</x:v>
      </x:c>
      <x:c r="H346" s="14" t="str"/>
      <x:c r="I346" s="14" t="str">
        <x:v>Receipt</x:v>
      </x:c>
      <x:c r="J346" s="17" t="n">
        <x:v>0</x:v>
      </x:c>
      <x:c r="K346" s="17" t="n">
        <x:v>213696</x:v>
      </x:c>
      <x:c r="L346" s="17" t="n">
        <x:v>213696</x:v>
      </x:c>
      <x:c r="M346" s="17" t="n">
        <x:v>215996</x:v>
      </x:c>
      <x:c r="N346" s="14" t="str">
        <x:v>High Transaction; Recurring Transaction</x:v>
      </x:c>
      <x:c r="O346" s="14" t="str">
        <x:v>Yes</x:v>
      </x:c>
      <x:c r="P346" s="14" t="str">
        <x:v>PHONEPE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46140</x:v>
      </x:c>
    </x:row>
    <x:row r="347">
      <x:c r="A347" s="14" t="n">
        <x:v>346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46140</x:v>
      </x:c>
      <x:c r="F347" s="15" t="n">
        <x:v>46140</x:v>
      </x:c>
      <x:c r="G347" s="16" t="str">
        <x:v>DIGITA-MUMBAI/ NEFT-AXNPN11823277068-PHONEPE LIMITED-PAYMENT AGGR</x:v>
      </x:c>
      <x:c r="H347" s="14" t="str"/>
      <x:c r="I347" s="14" t="str">
        <x:v>Receipt</x:v>
      </x:c>
      <x:c r="J347" s="17" t="n">
        <x:v>0</x:v>
      </x:c>
      <x:c r="K347" s="17" t="n">
        <x:v>51517.6</x:v>
      </x:c>
      <x:c r="L347" s="17" t="n">
        <x:v>51517.6</x:v>
      </x:c>
      <x:c r="M347" s="17" t="n">
        <x:v>267513.6</x:v>
      </x:c>
      <x:c r="N347" s="14" t="str">
        <x:v>Recurring Transaction</x:v>
      </x:c>
      <x:c r="O347" s="14" t="str">
        <x:v>Yes</x:v>
      </x:c>
      <x:c r="P347" s="14" t="str">
        <x:v>PHONEPE LIMITED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46140</x:v>
      </x:c>
    </x:row>
    <x:row r="348">
      <x:c r="A348" s="14" t="n">
        <x:v>347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46140</x:v>
      </x:c>
      <x:c r="F348" s="15" t="n">
        <x:v>46140</x:v>
      </x:c>
      <x:c r="G348" s="16" t="str">
        <x:v>DIGITA-MUMBAI/ NEFT-AXISCN1326481885-PINE LABS PRIVATE LIMITED-NO</x:v>
      </x:c>
      <x:c r="H348" s="14" t="str"/>
      <x:c r="I348" s="14" t="str">
        <x:v>Receipt</x:v>
      </x:c>
      <x:c r="J348" s="17" t="n">
        <x:v>0</x:v>
      </x:c>
      <x:c r="K348" s="17" t="n">
        <x:v>23786</x:v>
      </x:c>
      <x:c r="L348" s="17" t="n">
        <x:v>23786</x:v>
      </x:c>
      <x:c r="M348" s="17" t="n">
        <x:v>291299.6</x:v>
      </x:c>
      <x:c r="N348" s="14" t="str">
        <x:v>Recurring Transaction</x:v>
      </x:c>
      <x:c r="O348" s="14" t="str">
        <x:v>Yes</x:v>
      </x:c>
      <x:c r="P348" s="14" t="str">
        <x:v>PINE LABS PRIVATE LIMITED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46140</x:v>
      </x:c>
    </x:row>
    <x:row r="349">
      <x:c r="A349" s="14" t="n">
        <x:v>348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NEFT-002710581295-OM SANI TRANSPORT SERVICE</x:v>
      </x:c>
      <x:c r="H349" s="14" t="str"/>
      <x:c r="I349" s="14" t="str">
        <x:v>Receipt</x:v>
      </x:c>
      <x:c r="J349" s="17" t="n">
        <x:v>0</x:v>
      </x:c>
      <x:c r="K349" s="17" t="n">
        <x:v>52450</x:v>
      </x:c>
      <x:c r="L349" s="17" t="n">
        <x:v>52450</x:v>
      </x:c>
      <x:c r="M349" s="17" t="n">
        <x:v>343749.6</x:v>
      </x:c>
      <x:c r="N349" s="14" t="str">
        <x:v>Other</x:v>
      </x:c>
      <x:c r="O349" s="14" t="str">
        <x:v>No</x:v>
      </x:c>
      <x:c r="P349" s="14" t="str">
        <x:v>OM SANI TRANSPORT SERVICE</x:v>
      </x:c>
      <x:c r="Q349" s="14" t="n">
        <x:v>0</x:v>
      </x:c>
      <x:c r="R349" s="14" t="n">
        <x:v>0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349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UPI/6118698401 69840157 UPI/611869840157/10:49:20/UPI/akashshelar41-2@oki</x:v>
      </x:c>
      <x:c r="H350" s="14" t="str"/>
      <x:c r="I350" s="14" t="str">
        <x:v>Receipt</x:v>
      </x:c>
      <x:c r="J350" s="17" t="n">
        <x:v>0</x:v>
      </x:c>
      <x:c r="K350" s="17" t="n">
        <x:v>4200</x:v>
      </x:c>
      <x:c r="L350" s="17" t="n">
        <x:v>4200</x:v>
      </x:c>
      <x:c r="M350" s="17" t="n">
        <x:v>347949.6</x:v>
      </x:c>
      <x:c r="N350" s="14" t="str">
        <x:v>UPI; Recurring Transaction</x:v>
      </x:c>
      <x:c r="O350" s="14" t="str">
        <x:v>Yes</x:v>
      </x:c>
      <x:c r="P350" s="14" t="str">
        <x:v>AKASHSHELAR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350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IMPS/P2A/611855252288/SAYEDTAHIRUDDIN/IMPS P2A JI</x:v>
      </x:c>
      <x:c r="H351" s="14" t="str"/>
      <x:c r="I351" s="14" t="str">
        <x:v>Receipt</x:v>
      </x:c>
      <x:c r="J351" s="17" t="n">
        <x:v>0</x:v>
      </x:c>
      <x:c r="K351" s="17" t="n">
        <x:v>1</x:v>
      </x:c>
      <x:c r="L351" s="17" t="n">
        <x:v>1</x:v>
      </x:c>
      <x:c r="M351" s="17" t="n">
        <x:v>347950.6</x:v>
      </x:c>
      <x:c r="N351" s="14" t="str">
        <x:v>Recurring Transaction</x:v>
      </x:c>
      <x:c r="O351" s="14" t="str">
        <x:v>Yes</x:v>
      </x:c>
      <x:c r="P351" s="14" t="str">
        <x:v>SAYEDTAHIRUDDIN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351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IMPS/P2A/611855252655/SAYEDTAHIRUDDIN/IMPS P2A JI</x:v>
      </x:c>
      <x:c r="H352" s="14" t="str"/>
      <x:c r="I352" s="14" t="str">
        <x:v>Receipt</x:v>
      </x:c>
      <x:c r="J352" s="17" t="n">
        <x:v>0</x:v>
      </x:c>
      <x:c r="K352" s="17" t="n">
        <x:v>45220</x:v>
      </x:c>
      <x:c r="L352" s="17" t="n">
        <x:v>45220</x:v>
      </x:c>
      <x:c r="M352" s="17" t="n">
        <x:v>393170.6</x:v>
      </x:c>
      <x:c r="N352" s="14" t="str">
        <x:v>Recurring Transaction</x:v>
      </x:c>
      <x:c r="O352" s="14" t="str">
        <x:v>Yes</x:v>
      </x:c>
      <x:c r="P352" s="14" t="str">
        <x:v>SAYEDTAHIRUDDIN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352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DIGITA-MUMBAI/ NEFT-IDIBH11839674549-JAI AMBE TRANSPORT</x:v>
      </x:c>
      <x:c r="H353" s="14" t="str"/>
      <x:c r="I353" s="14" t="str">
        <x:v>Receipt</x:v>
      </x:c>
      <x:c r="J353" s="17" t="n">
        <x:v>0</x:v>
      </x:c>
      <x:c r="K353" s="17" t="n">
        <x:v>5500</x:v>
      </x:c>
      <x:c r="L353" s="17" t="n">
        <x:v>5500</x:v>
      </x:c>
      <x:c r="M353" s="17" t="n">
        <x:v>398670.6</x:v>
      </x:c>
      <x:c r="N353" s="14" t="str">
        <x:v>Recurring Transaction</x:v>
      </x:c>
      <x:c r="O353" s="14" t="str">
        <x:v>Yes</x:v>
      </x:c>
      <x:c r="P353" s="14" t="str">
        <x:v>JAI AMBE TRANSPORT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353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IMPS/P2A/611812542007/VAKAS TEMPO SER/IMPSCNB9199</x:v>
      </x:c>
      <x:c r="H354" s="14" t="str"/>
      <x:c r="I354" s="14" t="str">
        <x:v>Receipt</x:v>
      </x:c>
      <x:c r="J354" s="17" t="n">
        <x:v>0</x:v>
      </x:c>
      <x:c r="K354" s="17" t="n">
        <x:v>20049</x:v>
      </x:c>
      <x:c r="L354" s="17" t="n">
        <x:v>20049</x:v>
      </x:c>
      <x:c r="M354" s="17" t="n">
        <x:v>418719.6</x:v>
      </x:c>
      <x:c r="N354" s="14" t="str">
        <x:v>Recurring Transaction</x:v>
      </x:c>
      <x:c r="O354" s="14" t="str">
        <x:v>Yes</x:v>
      </x:c>
      <x:c r="P354" s="14" t="str">
        <x:v>VAKAS TEMPO SER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354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NEFT-NKGSH26118186705-GEBI PRODUCTS PRIVATE LIMITE</x:v>
      </x:c>
      <x:c r="H355" s="14" t="str"/>
      <x:c r="I355" s="14" t="str">
        <x:v>Receipt</x:v>
      </x:c>
      <x:c r="J355" s="17" t="n">
        <x:v>0</x:v>
      </x:c>
      <x:c r="K355" s="17" t="n">
        <x:v>4579</x:v>
      </x:c>
      <x:c r="L355" s="17" t="n">
        <x:v>4579</x:v>
      </x:c>
      <x:c r="M355" s="17" t="n">
        <x:v>423298.6</x:v>
      </x:c>
      <x:c r="N355" s="14" t="str">
        <x:v>Recurring Transaction</x:v>
      </x:c>
      <x:c r="O355" s="14" t="str">
        <x:v>Yes</x:v>
      </x:c>
      <x:c r="P355" s="14" t="str">
        <x:v>GEBI PRODUCTS PRIVATE LIMITE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355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EBANK:WIB/1505 EBANK:WIB/1505883831/Edfs</x:v>
      </x:c>
      <x:c r="H356" s="14" t="str"/>
      <x:c r="I356" s="14" t="str">
        <x:v>Payment</x:v>
      </x:c>
      <x:c r="J356" s="17" t="n">
        <x:v>402798.6</x:v>
      </x:c>
      <x:c r="K356" s="17" t="n">
        <x:v>0</x:v>
      </x:c>
      <x:c r="L356" s="17" t="n">
        <x:v>402798.6</x:v>
      </x:c>
      <x:c r="M356" s="17" t="n">
        <x:v>20500</x:v>
      </x:c>
      <x:c r="N356" s="14" t="str">
        <x:v>High Transaction; Recurring Transaction</x:v>
      </x:c>
      <x:c r="O356" s="14" t="str">
        <x:v>Yes</x:v>
      </x:c>
      <x:c r="P356" s="14" t="str">
        <x:v>EBANKWIB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356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https://cbdrpt101.bankofbaroda.co.in:22000/finbranch/arjspmorph/INFENG/tran_rpt.jsp?... 04-05-2026 NEFT-KKBKH26118959856-ATLAS COMMODITIES PRIVATE LI</x:v>
      </x:c>
      <x:c r="H357" s="14" t="str"/>
      <x:c r="I357" s="14" t="str">
        <x:v>Receipt</x:v>
      </x:c>
      <x:c r="J357" s="17" t="n">
        <x:v>0</x:v>
      </x:c>
      <x:c r="K357" s="17" t="n">
        <x:v>4741</x:v>
      </x:c>
      <x:c r="L357" s="17" t="n">
        <x:v>4741</x:v>
      </x:c>
      <x:c r="M357" s="17" t="n">
        <x:v>25241</x:v>
      </x:c>
      <x:c r="N357" s="14" t="str">
        <x:v>Recurring Transaction</x:v>
      </x:c>
      <x:c r="O357" s="14" t="str">
        <x:v>Yes</x:v>
      </x:c>
      <x:c r="P357" s="14" t="str">
        <x:v>CBDRPTBANKOFBARODACOIN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357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58" s="14" t="str"/>
      <x:c r="I358" s="14" t="str">
        <x:v>Receipt</x:v>
      </x:c>
      <x:c r="J358" s="17" t="n">
        <x:v>0</x:v>
      </x:c>
      <x:c r="K358" s="17" t="n">
        <x:v>106203</x:v>
      </x:c>
      <x:c r="L358" s="17" t="n">
        <x:v>106203</x:v>
      </x:c>
      <x:c r="M358" s="17" t="n">
        <x:v>131444</x:v>
      </x:c>
      <x:c r="N358" s="14" t="str">
        <x:v>High Transaction; Recurring Transaction</x:v>
      </x:c>
      <x:c r="O358" s="14" t="str">
        <x:v>Yes</x:v>
      </x:c>
      <x:c r="P358" s="14" t="str">
        <x:v>PAGE TOTAL   CR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1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358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DIGITA-MUMBAI/ IMPS/P2A/611819590384/SHREE GANESH EN/diselVVS910</x:v>
      </x:c>
      <x:c r="H359" s="14" t="str"/>
      <x:c r="I359" s="14" t="str">
        <x:v>Receipt</x:v>
      </x:c>
      <x:c r="J359" s="17" t="n">
        <x:v>0</x:v>
      </x:c>
      <x:c r="K359" s="17" t="n">
        <x:v>45155.79</x:v>
      </x:c>
      <x:c r="L359" s="17" t="n">
        <x:v>45155.79</x:v>
      </x:c>
      <x:c r="M359" s="17" t="n">
        <x:v>176599.79</x:v>
      </x:c>
      <x:c r="N359" s="14" t="str">
        <x:v>Recurring Transaction</x:v>
      </x:c>
      <x:c r="O359" s="14" t="str">
        <x:v>Yes</x:v>
      </x:c>
      <x:c r="P359" s="14" t="str">
        <x:v>SHREE GANESH EN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359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IMPS/P2A/611820590404/SHREE GANESH EN/d billVVS91</x:v>
      </x:c>
      <x:c r="H360" s="14" t="str"/>
      <x:c r="I360" s="14" t="str">
        <x:v>Receipt</x:v>
      </x:c>
      <x:c r="J360" s="17" t="n">
        <x:v>0</x:v>
      </x:c>
      <x:c r="K360" s="17" t="n">
        <x:v>18152</x:v>
      </x:c>
      <x:c r="L360" s="17" t="n">
        <x:v>18152</x:v>
      </x:c>
      <x:c r="M360" s="17" t="n">
        <x:v>194751.79</x:v>
      </x:c>
      <x:c r="N360" s="14" t="str">
        <x:v>Recurring Transaction</x:v>
      </x:c>
      <x:c r="O360" s="14" t="str">
        <x:v>Yes</x:v>
      </x:c>
      <x:c r="P360" s="14" t="str">
        <x:v>SHREE GANESH EN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360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EBANK:WIB/1505 EBANK:WIB/1505948506/Edfs</x:v>
      </x:c>
      <x:c r="H361" s="14" t="str"/>
      <x:c r="I361" s="14" t="str">
        <x:v>Payment</x:v>
      </x:c>
      <x:c r="J361" s="17" t="n">
        <x:v>192251.79</x:v>
      </x:c>
      <x:c r="K361" s="17" t="n">
        <x:v>0</x:v>
      </x:c>
      <x:c r="L361" s="17" t="n">
        <x:v>192251.79</x:v>
      </x:c>
      <x:c r="M361" s="17" t="n">
        <x:v>2500</x:v>
      </x:c>
      <x:c r="N361" s="14" t="str">
        <x:v>High Transaction; Recurring Transaction</x:v>
      </x:c>
      <x:c r="O361" s="14" t="str">
        <x:v>Yes</x:v>
      </x:c>
      <x:c r="P361" s="14" t="str">
        <x:v>EBANKWIB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361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46141</x:v>
      </x:c>
      <x:c r="F362" s="15" t="n">
        <x:v>46141</x:v>
      </x:c>
      <x:c r="G362" s="16" t="str">
        <x:v>DIGITA-MUMBAI/ NEFT-YESAP61192379931-PhonePe Limited</x:v>
      </x:c>
      <x:c r="H362" s="14" t="str"/>
      <x:c r="I362" s="14" t="str">
        <x:v>Receipt</x:v>
      </x:c>
      <x:c r="J362" s="17" t="n">
        <x:v>0</x:v>
      </x:c>
      <x:c r="K362" s="17" t="n">
        <x:v>300724.33</x:v>
      </x:c>
      <x:c r="L362" s="17" t="n">
        <x:v>300724.33</x:v>
      </x:c>
      <x:c r="M362" s="17" t="n">
        <x:v>303224.33</x:v>
      </x:c>
      <x:c r="N362" s="14" t="str">
        <x:v>High Transaction; Recurring Transaction</x:v>
      </x:c>
      <x:c r="O362" s="14" t="str">
        <x:v>Yes</x:v>
      </x:c>
      <x:c r="P362" s="14" t="str">
        <x:v>PHONEPE LIMITED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1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46141</x:v>
      </x:c>
    </x:row>
    <x:row r="363">
      <x:c r="A363" s="14" t="n">
        <x:v>362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46141</x:v>
      </x:c>
      <x:c r="F363" s="15" t="n">
        <x:v>46141</x:v>
      </x:c>
      <x:c r="G363" s="16" t="str">
        <x:v>DIGITA-MUMBAI/ NEFT-AXNPN11931554437-PHONEPE LIMITED-PAYMENT AGGR</x:v>
      </x:c>
      <x:c r="H363" s="14" t="str"/>
      <x:c r="I363" s="14" t="str">
        <x:v>Receipt</x:v>
      </x:c>
      <x:c r="J363" s="17" t="n">
        <x:v>0</x:v>
      </x:c>
      <x:c r="K363" s="17" t="n">
        <x:v>80141</x:v>
      </x:c>
      <x:c r="L363" s="17" t="n">
        <x:v>80141</x:v>
      </x:c>
      <x:c r="M363" s="17" t="n">
        <x:v>383365.33</x:v>
      </x:c>
      <x:c r="N363" s="14" t="str">
        <x:v>Recurring Transaction</x:v>
      </x:c>
      <x:c r="O363" s="14" t="str">
        <x:v>Yes</x:v>
      </x:c>
      <x:c r="P363" s="14" t="str">
        <x:v>PHONEPE LIMITED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46141</x:v>
      </x:c>
    </x:row>
    <x:row r="364">
      <x:c r="A364" s="14" t="n">
        <x:v>363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46141</x:v>
      </x:c>
      <x:c r="F364" s="15" t="n">
        <x:v>46141</x:v>
      </x:c>
      <x:c r="G364" s="16" t="str">
        <x:v>DIGITA-MUMBAI/ NEFT-AXISCN1327518007-ONE MOBIKWIK SYSTEMS LIMITED</x:v>
      </x:c>
      <x:c r="H364" s="14" t="str"/>
      <x:c r="I364" s="14" t="str">
        <x:v>Receipt</x:v>
      </x:c>
      <x:c r="J364" s="17" t="n">
        <x:v>0</x:v>
      </x:c>
      <x:c r="K364" s="17" t="n">
        <x:v>2500</x:v>
      </x:c>
      <x:c r="L364" s="17" t="n">
        <x:v>2500</x:v>
      </x:c>
      <x:c r="M364" s="17" t="n">
        <x:v>385865.33</x:v>
      </x:c>
      <x:c r="N364" s="14" t="str">
        <x:v>Recurring Transaction</x:v>
      </x:c>
      <x:c r="O364" s="14" t="str">
        <x:v>Yes</x:v>
      </x:c>
      <x:c r="P364" s="14" t="str">
        <x:v>ONE MOBIKWIK SYSTEMS LIMITED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46141</x:v>
      </x:c>
    </x:row>
    <x:row r="365">
      <x:c r="A365" s="14" t="n">
        <x:v>364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EBANK:WIB/1505 EBANK:WIB/1505959390/Edfs</x:v>
      </x:c>
      <x:c r="H365" s="14" t="str"/>
      <x:c r="I365" s="14" t="str">
        <x:v>Payment</x:v>
      </x:c>
      <x:c r="J365" s="17" t="n">
        <x:v>383365.33</x:v>
      </x:c>
      <x:c r="K365" s="17" t="n">
        <x:v>0</x:v>
      </x:c>
      <x:c r="L365" s="17" t="n">
        <x:v>383365.33</x:v>
      </x:c>
      <x:c r="M365" s="17" t="n">
        <x:v>2500</x:v>
      </x:c>
      <x:c r="N365" s="14" t="str">
        <x:v>High Transaction; Recurring Transaction</x:v>
      </x:c>
      <x:c r="O365" s="14" t="str">
        <x:v>Yes</x:v>
      </x:c>
      <x:c r="P365" s="14" t="str">
        <x:v>EBANKWIB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365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NEFT-AXISCN1327725971-PINE LABS PRIVATE LIMITED-NO</x:v>
      </x:c>
      <x:c r="H366" s="14" t="str"/>
      <x:c r="I366" s="14" t="str">
        <x:v>Receipt</x:v>
      </x:c>
      <x:c r="J366" s="17" t="n">
        <x:v>0</x:v>
      </x:c>
      <x:c r="K366" s="17" t="n">
        <x:v>161953</x:v>
      </x:c>
      <x:c r="L366" s="17" t="n">
        <x:v>161953</x:v>
      </x:c>
      <x:c r="M366" s="17" t="n">
        <x:v>164453</x:v>
      </x:c>
      <x:c r="N366" s="14" t="str">
        <x:v>High Transaction; Recurring Transaction</x:v>
      </x:c>
      <x:c r="O366" s="14" t="str">
        <x:v>Yes</x:v>
      </x:c>
      <x:c r="P366" s="14" t="str">
        <x:v>PINE LABS PRIVATE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1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366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EBANK:WIB/1505 EBANK:WIB/1505997293/Edfs</x:v>
      </x:c>
      <x:c r="H367" s="14" t="str"/>
      <x:c r="I367" s="14" t="str">
        <x:v>Payment</x:v>
      </x:c>
      <x:c r="J367" s="17" t="n">
        <x:v>161953</x:v>
      </x:c>
      <x:c r="K367" s="17" t="n">
        <x:v>0</x:v>
      </x:c>
      <x:c r="L367" s="17" t="n">
        <x:v>161953</x:v>
      </x:c>
      <x:c r="M367" s="17" t="n">
        <x:v>2500</x:v>
      </x:c>
      <x:c r="N367" s="14" t="str">
        <x:v>High Transaction; Recurring Transaction</x:v>
      </x:c>
      <x:c r="O367" s="14" t="str">
        <x:v>Yes</x:v>
      </x:c>
      <x:c r="P367" s="14" t="str">
        <x:v>EBANKWIB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1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367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UPI/6485981469 98146908 UPI/648598146908/13:51:58/UPI/akashshelar41-2@oki</x:v>
      </x:c>
      <x:c r="H368" s="14" t="str"/>
      <x:c r="I368" s="14" t="str">
        <x:v>Receipt</x:v>
      </x:c>
      <x:c r="J368" s="17" t="n">
        <x:v>0</x:v>
      </x:c>
      <x:c r="K368" s="17" t="n">
        <x:v>4000</x:v>
      </x:c>
      <x:c r="L368" s="17" t="n">
        <x:v>4000</x:v>
      </x:c>
      <x:c r="M368" s="17" t="n">
        <x:v>6500</x:v>
      </x:c>
      <x:c r="N368" s="14" t="str">
        <x:v>UPI; Recurring Transaction</x:v>
      </x:c>
      <x:c r="O368" s="14" t="str">
        <x:v>Yes</x:v>
      </x:c>
      <x:c r="P368" s="14" t="str">
        <x:v>AKASHSHELAR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368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NEFT-IN42611955128051-N R COLOURS LIMITED</x:v>
      </x:c>
      <x:c r="H369" s="14" t="str"/>
      <x:c r="I369" s="14" t="str">
        <x:v>Receipt</x:v>
      </x:c>
      <x:c r="J369" s="17" t="n">
        <x:v>0</x:v>
      </x:c>
      <x:c r="K369" s="17" t="n">
        <x:v>20000</x:v>
      </x:c>
      <x:c r="L369" s="17" t="n">
        <x:v>20000</x:v>
      </x:c>
      <x:c r="M369" s="17" t="n">
        <x:v>26500</x:v>
      </x:c>
      <x:c r="N369" s="14" t="str">
        <x:v>Recurring Transaction</x:v>
      </x:c>
      <x:c r="O369" s="14" t="str">
        <x:v>Yes</x:v>
      </x:c>
      <x:c r="P369" s="14" t="str">
        <x:v>N R COLOURS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369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DIGITA-MUMBAI/ IMPS/P2A/611916141538/S TRANS 14851/Mh04ju3738I</x:v>
      </x:c>
      <x:c r="H370" s="14" t="str"/>
      <x:c r="I370" s="14" t="str">
        <x:v>Receipt</x:v>
      </x:c>
      <x:c r="J370" s="17" t="n">
        <x:v>0</x:v>
      </x:c>
      <x:c r="K370" s="17" t="n">
        <x:v>13500</x:v>
      </x:c>
      <x:c r="L370" s="17" t="n">
        <x:v>13500</x:v>
      </x:c>
      <x:c r="M370" s="17" t="n">
        <x:v>40000</x:v>
      </x:c>
      <x:c r="N370" s="14" t="str">
        <x:v>Recurring Transaction</x:v>
      </x:c>
      <x:c r="O370" s="14" t="str">
        <x:v>Yes</x:v>
      </x:c>
      <x:c r="P370" s="14" t="str">
        <x:v>DIGITA-MUMBAI/ IMPS/P#A/#/S TRANS #/MH#JU#I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370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DIGITA-MUMBAI/ NEFT-NKGSH26119201393-GEBI PRODUCTS PRIVATE LIMITE</x:v>
      </x:c>
      <x:c r="H371" s="14" t="str"/>
      <x:c r="I371" s="14" t="str">
        <x:v>Receipt</x:v>
      </x:c>
      <x:c r="J371" s="17" t="n">
        <x:v>0</x:v>
      </x:c>
      <x:c r="K371" s="17" t="n">
        <x:v>4372</x:v>
      </x:c>
      <x:c r="L371" s="17" t="n">
        <x:v>4372</x:v>
      </x:c>
      <x:c r="M371" s="17" t="n">
        <x:v>44372</x:v>
      </x:c>
      <x:c r="N371" s="14" t="str">
        <x:v>Recurring Transaction</x:v>
      </x:c>
      <x:c r="O371" s="14" t="str">
        <x:v>Yes</x:v>
      </x:c>
      <x:c r="P371" s="14" t="str">
        <x:v>GEBI PRODUCTS PRIVATE LIMITE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371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NEFT-HDFCH00961650004-SL CORBOX PRIVATE LIMITED</x:v>
      </x:c>
      <x:c r="H372" s="14" t="str"/>
      <x:c r="I372" s="14" t="str">
        <x:v>Receipt</x:v>
      </x:c>
      <x:c r="J372" s="17" t="n">
        <x:v>0</x:v>
      </x:c>
      <x:c r="K372" s="17" t="n">
        <x:v>42165</x:v>
      </x:c>
      <x:c r="L372" s="17" t="n">
        <x:v>42165</x:v>
      </x:c>
      <x:c r="M372" s="17" t="n">
        <x:v>86537</x:v>
      </x:c>
      <x:c r="N372" s="14" t="str">
        <x:v>Recurring Transaction</x:v>
      </x:c>
      <x:c r="O372" s="14" t="str">
        <x:v>Yes</x:v>
      </x:c>
      <x:c r="P372" s="14" t="str">
        <x:v>SL CORBOX PRIVATE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372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NEFT-HDFCH00961665348-CORPAK</x:v>
      </x:c>
      <x:c r="H373" s="14" t="str"/>
      <x:c r="I373" s="14" t="str">
        <x:v>Receipt</x:v>
      </x:c>
      <x:c r="J373" s="17" t="n">
        <x:v>0</x:v>
      </x:c>
      <x:c r="K373" s="17" t="n">
        <x:v>9227</x:v>
      </x:c>
      <x:c r="L373" s="17" t="n">
        <x:v>9227</x:v>
      </x:c>
      <x:c r="M373" s="17" t="n">
        <x:v>95764</x:v>
      </x:c>
      <x:c r="N373" s="14" t="str">
        <x:v>Recurring Transaction</x:v>
      </x:c>
      <x:c r="O373" s="14" t="str">
        <x:v>Yes</x:v>
      </x:c>
      <x:c r="P373" s="14" t="str">
        <x:v>DIGITA-MUMBAI/ NEFT-HDFCH#-CORPAK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373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4" s="14" t="str"/>
      <x:c r="I374" s="14" t="str">
        <x:v>Payment</x:v>
      </x:c>
      <x:c r="J374" s="17" t="n">
        <x:v>93264</x:v>
      </x:c>
      <x:c r="K374" s="17" t="n">
        <x:v>0</x:v>
      </x:c>
      <x:c r="L374" s="17" t="n">
        <x:v>93264</x:v>
      </x:c>
      <x:c r="M374" s="17" t="n">
        <x:v>2500</x:v>
      </x:c>
      <x:c r="N374" s="14" t="str">
        <x:v>Recurring Transaction</x:v>
      </x:c>
      <x:c r="O374" s="14" t="str">
        <x:v>Yes</x:v>
      </x:c>
      <x:c r="P374" s="14" t="str">
        <x:v>EBANKWIB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374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IMPS/P2A/611920044748/VILLAGE STONE L/Diesel paym</x:v>
      </x:c>
      <x:c r="H375" s="14" t="str"/>
      <x:c r="I375" s="14" t="str">
        <x:v>Receipt</x:v>
      </x:c>
      <x:c r="J375" s="17" t="n">
        <x:v>0</x:v>
      </x:c>
      <x:c r="K375" s="17" t="n">
        <x:v>47933</x:v>
      </x:c>
      <x:c r="L375" s="17" t="n">
        <x:v>47933</x:v>
      </x:c>
      <x:c r="M375" s="17" t="n">
        <x:v>50433</x:v>
      </x:c>
      <x:c r="N375" s="14" t="str">
        <x:v>Recurring Transaction</x:v>
      </x:c>
      <x:c r="O375" s="14" t="str">
        <x:v>Yes</x:v>
      </x:c>
      <x:c r="P375" s="14" t="str">
        <x:v>VILLAGE STONE L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375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NEFT-IN42611955380476-VINAYAK OIL INDUSTRIES</x:v>
      </x:c>
      <x:c r="H376" s="14" t="str"/>
      <x:c r="I376" s="14" t="str">
        <x:v>Receipt</x:v>
      </x:c>
      <x:c r="J376" s="17" t="n">
        <x:v>0</x:v>
      </x:c>
      <x:c r="K376" s="17" t="n">
        <x:v>44307</x:v>
      </x:c>
      <x:c r="L376" s="17" t="n">
        <x:v>44307</x:v>
      </x:c>
      <x:c r="M376" s="17" t="n">
        <x:v>94740</x:v>
      </x:c>
      <x:c r="N376" s="14" t="str">
        <x:v>Recurring Transaction</x:v>
      </x:c>
      <x:c r="O376" s="14" t="str">
        <x:v>Yes</x:v>
      </x:c>
      <x:c r="P376" s="14" t="str">
        <x:v>VINAYAK OIL INDUSTRIES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376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EBANK:WIB/1506102762/Edfs</x:v>
      </x:c>
      <x:c r="H377" s="14" t="str"/>
      <x:c r="I377" s="14" t="str">
        <x:v>Payment</x:v>
      </x:c>
      <x:c r="J377" s="17" t="n">
        <x:v>92240</x:v>
      </x:c>
      <x:c r="K377" s="17" t="n">
        <x:v>0</x:v>
      </x:c>
      <x:c r="L377" s="17" t="n">
        <x:v>92240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377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IMPS/P2A/611922088049/OMSANITRANSPORT/Diesel Bill</x:v>
      </x:c>
      <x:c r="H378" s="14" t="str"/>
      <x:c r="I378" s="14" t="str">
        <x:v>Receipt</x:v>
      </x:c>
      <x:c r="J378" s="17" t="n">
        <x:v>0</x:v>
      </x:c>
      <x:c r="K378" s="17" t="n">
        <x:v>44070</x:v>
      </x:c>
      <x:c r="L378" s="17" t="n">
        <x:v>44070</x:v>
      </x:c>
      <x:c r="M378" s="17" t="n">
        <x:v>46570</x:v>
      </x:c>
      <x:c r="N378" s="14" t="str">
        <x:v>Recurring Transaction</x:v>
      </x:c>
      <x:c r="O378" s="14" t="str">
        <x:v>Yes</x:v>
      </x:c>
      <x:c r="P378" s="14" t="str">
        <x:v>OMSANITRANSPORT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378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46142</x:v>
      </x:c>
      <x:c r="F379" s="15" t="n">
        <x:v>46142</x:v>
      </x:c>
      <x:c r="G379" s="16" t="str">
        <x:v>EBANK:WIB/1506 EBANK:WIB/1506112730/Edfs</x:v>
      </x:c>
      <x:c r="H379" s="14" t="str"/>
      <x:c r="I379" s="14" t="str">
        <x:v>Payment</x:v>
      </x:c>
      <x:c r="J379" s="17" t="n">
        <x:v>44070</x:v>
      </x:c>
      <x:c r="K379" s="17" t="n">
        <x:v>0</x:v>
      </x:c>
      <x:c r="L379" s="17" t="n">
        <x:v>44070</x:v>
      </x:c>
      <x:c r="M379" s="17" t="n">
        <x:v>2500</x:v>
      </x:c>
      <x:c r="N379" s="14" t="str">
        <x:v>Recurring Transaction</x:v>
      </x:c>
      <x:c r="O379" s="14" t="str">
        <x:v>Yes</x:v>
      </x:c>
      <x:c r="P379" s="14" t="str">
        <x:v>EBANKWIB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46142</x:v>
      </x:c>
    </x:row>
    <x:row r="380">
      <x:c r="A380" s="14" t="n">
        <x:v>379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46142</x:v>
      </x:c>
      <x:c r="F380" s="15" t="n">
        <x:v>46142</x:v>
      </x:c>
      <x:c r="G380" s="16" t="str">
        <x:v>DIGITA-MUMBAI/ NEFT-YESAP61203718924-PhonePe Limited</x:v>
      </x:c>
      <x:c r="H380" s="14" t="str"/>
      <x:c r="I380" s="14" t="str">
        <x:v>Receipt</x:v>
      </x:c>
      <x:c r="J380" s="17" t="n">
        <x:v>0</x:v>
      </x:c>
      <x:c r="K380" s="17" t="n">
        <x:v>331429.91</x:v>
      </x:c>
      <x:c r="L380" s="17" t="n">
        <x:v>331429.91</x:v>
      </x:c>
      <x:c r="M380" s="17" t="n">
        <x:v>333929.91</x:v>
      </x:c>
      <x:c r="N380" s="14" t="str">
        <x:v>High Transaction; Recurring Transaction</x:v>
      </x:c>
      <x:c r="O380" s="14" t="str">
        <x:v>Yes</x:v>
      </x:c>
      <x:c r="P380" s="14" t="str">
        <x:v>PHONEPE LIMITED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46142</x:v>
      </x:c>
    </x:row>
    <x:row r="381">
      <x:c r="A381" s="14" t="n">
        <x:v>380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46142</x:v>
      </x:c>
      <x:c r="F381" s="15" t="n">
        <x:v>46142</x:v>
      </x:c>
      <x:c r="G381" s="16" t="str">
        <x:v>DIGITA-MUMBAI/ NEFT-AXISCN1328726065-ONE MOBIKWIK SYSTEMS LIMITED</x:v>
      </x:c>
      <x:c r="H381" s="14" t="str"/>
      <x:c r="I381" s="14" t="str">
        <x:v>Receipt</x:v>
      </x:c>
      <x:c r="J381" s="17" t="n">
        <x:v>0</x:v>
      </x:c>
      <x:c r="K381" s="17" t="n">
        <x:v>4500</x:v>
      </x:c>
      <x:c r="L381" s="17" t="n">
        <x:v>4500</x:v>
      </x:c>
      <x:c r="M381" s="17" t="n">
        <x:v>338429.91</x:v>
      </x:c>
      <x:c r="N381" s="14" t="str">
        <x:v>Recurring Transaction</x:v>
      </x:c>
      <x:c r="O381" s="14" t="str">
        <x:v>Yes</x:v>
      </x:c>
      <x:c r="P381" s="14" t="str">
        <x:v>ONE MOBIKWIK SYSTEMS LIMITED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46142</x:v>
      </x:c>
    </x:row>
    <x:row r="382">
      <x:c r="A382" s="14" t="n">
        <x:v>381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DIGITA-MUMBAI/ NEFT-AXNPN12039810952-PHONEPE LIMITED-PAYMENT AGGR</x:v>
      </x:c>
      <x:c r="H382" s="14" t="str"/>
      <x:c r="I382" s="14" t="str">
        <x:v>Receipt</x:v>
      </x:c>
      <x:c r="J382" s="17" t="n">
        <x:v>0</x:v>
      </x:c>
      <x:c r="K382" s="17" t="n">
        <x:v>93657.2</x:v>
      </x:c>
      <x:c r="L382" s="17" t="n">
        <x:v>93657.2</x:v>
      </x:c>
      <x:c r="M382" s="17" t="n">
        <x:v>432087.11</x:v>
      </x:c>
      <x:c r="N382" s="14" t="str">
        <x:v>Recurring Transaction</x:v>
      </x:c>
      <x:c r="O382" s="14" t="str">
        <x:v>Yes</x:v>
      </x:c>
      <x:c r="P382" s="14" t="str">
        <x:v>PHONEPE LIMITED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382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EBANK:WIB/1506 EBANK:WIB/1506112904/Edfs</x:v>
      </x:c>
      <x:c r="H383" s="14" t="str"/>
      <x:c r="I383" s="14" t="str">
        <x:v>Payment</x:v>
      </x:c>
      <x:c r="J383" s="17" t="n">
        <x:v>429587.11</x:v>
      </x:c>
      <x:c r="K383" s="17" t="n">
        <x:v>0</x:v>
      </x:c>
      <x:c r="L383" s="17" t="n">
        <x:v>429587.11</x:v>
      </x:c>
      <x:c r="M383" s="17" t="n">
        <x:v>2500</x:v>
      </x:c>
      <x:c r="N383" s="14" t="str">
        <x:v>High Transaction; Recurring Transaction</x:v>
      </x:c>
      <x:c r="O383" s="14" t="str">
        <x:v>Yes</x:v>
      </x:c>
      <x:c r="P383" s="14" t="str">
        <x:v>EBANKWIB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383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IMPS/P2A/61200 IMPS/P2A/612006415602/XXXXXXXXXXR111/forload</x:v>
      </x:c>
      <x:c r="H384" s="14" t="str"/>
      <x:c r="I384" s="14" t="str">
        <x:v>Payment</x:v>
      </x:c>
      <x:c r="J384" s="17" t="n">
        <x:v>500</x:v>
      </x:c>
      <x:c r="K384" s="17" t="n">
        <x:v>0</x:v>
      </x:c>
      <x:c r="L384" s="17" t="n">
        <x:v>500</x:v>
      </x:c>
      <x:c r="M384" s="17" t="n">
        <x:v>2000</x:v>
      </x:c>
      <x:c r="N384" s="14" t="str">
        <x:v>Recurring Transaction</x:v>
      </x:c>
      <x:c r="O384" s="14" t="str">
        <x:v>Yes</x:v>
      </x:c>
      <x:c r="P384" s="14" t="str">
        <x:v>XXXXXXXXXXR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384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CHARGES FOR CHARGES FOR :IMPS/P2A/612006415602/XXXXXXXX</x:v>
      </x:c>
      <x:c r="H385" s="14" t="str"/>
      <x:c r="I385" s="14" t="str">
        <x:v>Payment</x:v>
      </x:c>
      <x:c r="J385" s="17" t="n">
        <x:v>2.95</x:v>
      </x:c>
      <x:c r="K385" s="17" t="n">
        <x:v>0</x:v>
      </x:c>
      <x:c r="L385" s="17" t="n">
        <x:v>2.95</x:v>
      </x:c>
      <x:c r="M385" s="17" t="n">
        <x:v>1997.05</x:v>
      </x:c>
      <x:c r="N385" s="14" t="str">
        <x:v>Recurring Transaction</x:v>
      </x:c>
      <x:c r="O385" s="14" t="str">
        <x:v>Yes</x:v>
      </x:c>
      <x:c r="P385" s="14" t="str">
        <x:v>CHARGES FOR CHARGES FOR IMPS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385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UPI/1223593229 59322927 UPI/122359322927/08:14:36/UPI/shivprasad750758984</x:v>
      </x:c>
      <x:c r="H386" s="14" t="str"/>
      <x:c r="I386" s="14" t="str">
        <x:v>Receipt</x:v>
      </x:c>
      <x:c r="J386" s="17" t="n">
        <x:v>0</x:v>
      </x:c>
      <x:c r="K386" s="17" t="n">
        <x:v>11000</x:v>
      </x:c>
      <x:c r="L386" s="17" t="n">
        <x:v>11000</x:v>
      </x:c>
      <x:c r="M386" s="17" t="n">
        <x:v>12997.05</x:v>
      </x:c>
      <x:c r="N386" s="14" t="str">
        <x:v>UPI</x:v>
      </x:c>
      <x:c r="O386" s="14" t="str">
        <x:v>No</x:v>
      </x:c>
      <x:c r="P386" s="14" t="str">
        <x:v>SHIVPRASAD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386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DIGITA-MUMBAI/ NEFT-AXISCN1328873702-PINE LABS PRIVATE LIMITED-NO</x:v>
      </x:c>
      <x:c r="H387" s="14" t="str"/>
      <x:c r="I387" s="14" t="str">
        <x:v>Receipt</x:v>
      </x:c>
      <x:c r="J387" s="17" t="n">
        <x:v>0</x:v>
      </x:c>
      <x:c r="K387" s="17" t="n">
        <x:v>98741</x:v>
      </x:c>
      <x:c r="L387" s="17" t="n">
        <x:v>98741</x:v>
      </x:c>
      <x:c r="M387" s="17" t="n">
        <x:v>111738.05</x:v>
      </x:c>
      <x:c r="N387" s="14" t="str">
        <x:v>Recurring Transaction</x:v>
      </x:c>
      <x:c r="O387" s="14" t="str">
        <x:v>Yes</x:v>
      </x:c>
      <x:c r="P387" s="14" t="str">
        <x:v>PINE LABS PRIVATE LIMITED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387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DIGITA-MUMBAI/ NEFT-HDFCH00963002372-KUNDAN QUARRY</x:v>
      </x:c>
      <x:c r="H388" s="14" t="str"/>
      <x:c r="I388" s="14" t="str">
        <x:v>Receipt</x:v>
      </x:c>
      <x:c r="J388" s="17" t="n">
        <x:v>0</x:v>
      </x:c>
      <x:c r="K388" s="17" t="n">
        <x:v>8700</x:v>
      </x:c>
      <x:c r="L388" s="17" t="n">
        <x:v>8700</x:v>
      </x:c>
      <x:c r="M388" s="17" t="n">
        <x:v>120438.05</x:v>
      </x:c>
      <x:c r="N388" s="14" t="str">
        <x:v>Recurring Transaction</x:v>
      </x:c>
      <x:c r="O388" s="14" t="str">
        <x:v>Yes</x:v>
      </x:c>
      <x:c r="P388" s="14" t="str">
        <x:v>KUNDAN QUARRY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388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89" s="14" t="str"/>
      <x:c r="I389" s="14" t="str">
        <x:v>Receipt</x:v>
      </x:c>
      <x:c r="J389" s="17" t="n">
        <x:v>0</x:v>
      </x:c>
      <x:c r="K389" s="17" t="n">
        <x:v>90440</x:v>
      </x:c>
      <x:c r="L389" s="17" t="n">
        <x:v>90440</x:v>
      </x:c>
      <x:c r="M389" s="17" t="n">
        <x:v>210878.05</x:v>
      </x:c>
      <x:c r="N389" s="14" t="str">
        <x:v>Recurring Transaction</x:v>
      </x:c>
      <x:c r="O389" s="14" t="str">
        <x:v>Yes</x:v>
      </x:c>
      <x:c r="P389" s="14" t="str">
        <x:v>PELL TECH HEALTH CARE PRIVAT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389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NEFT-HDFCH00963252757-QUEST ENTERPRISES PVT LTD</x:v>
      </x:c>
      <x:c r="H390" s="14" t="str"/>
      <x:c r="I390" s="14" t="str">
        <x:v>Receipt</x:v>
      </x:c>
      <x:c r="J390" s="17" t="n">
        <x:v>0</x:v>
      </x:c>
      <x:c r="K390" s="17" t="n">
        <x:v>5000</x:v>
      </x:c>
      <x:c r="L390" s="17" t="n">
        <x:v>5000</x:v>
      </x:c>
      <x:c r="M390" s="17" t="n">
        <x:v>215878.05</x:v>
      </x:c>
      <x:c r="N390" s="14" t="str">
        <x:v>Recurring Transaction</x:v>
      </x:c>
      <x:c r="O390" s="14" t="str">
        <x:v>Yes</x:v>
      </x:c>
      <x:c r="P390" s="14" t="str">
        <x:v>QUEST ENTERPRISES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390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NEFT-HDFCH00963611742-Adekar enterprises pvt ltd</x:v>
      </x:c>
      <x:c r="H391" s="14" t="str"/>
      <x:c r="I391" s="14" t="str">
        <x:v>Receipt</x:v>
      </x:c>
      <x:c r="J391" s="17" t="n">
        <x:v>0</x:v>
      </x:c>
      <x:c r="K391" s="17" t="n">
        <x:v>109621</x:v>
      </x:c>
      <x:c r="L391" s="17" t="n">
        <x:v>109621</x:v>
      </x:c>
      <x:c r="M391" s="17" t="n">
        <x:v>325499.05</x:v>
      </x:c>
      <x:c r="N391" s="14" t="str">
        <x:v>High Transaction; Recurring Transaction</x:v>
      </x:c>
      <x:c r="O391" s="14" t="str">
        <x:v>Yes</x:v>
      </x:c>
      <x:c r="P391" s="14" t="str">
        <x:v>ADEKAR ENTERPRISES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1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391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NEFT-NKGSH26120214998-GEBI PRODUCTS PRIVATE LIMITE</x:v>
      </x:c>
      <x:c r="H392" s="14" t="str"/>
      <x:c r="I392" s="14" t="str">
        <x:v>Receipt</x:v>
      </x:c>
      <x:c r="J392" s="17" t="n">
        <x:v>0</x:v>
      </x:c>
      <x:c r="K392" s="17" t="n">
        <x:v>2441</x:v>
      </x:c>
      <x:c r="L392" s="17" t="n">
        <x:v>2441</x:v>
      </x:c>
      <x:c r="M392" s="17" t="n">
        <x:v>327940.05</x:v>
      </x:c>
      <x:c r="N392" s="14" t="str">
        <x:v>Recurring Transaction</x:v>
      </x:c>
      <x:c r="O392" s="14" t="str">
        <x:v>Yes</x:v>
      </x:c>
      <x:c r="P392" s="14" t="str">
        <x:v>GEBI PRODUCTS PRIVATE LIMITE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392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EBANK:WIB/1506 EBANK:WIB/1506237357/Edfs</x:v>
      </x:c>
      <x:c r="H393" s="14" t="str"/>
      <x:c r="I393" s="14" t="str">
        <x:v>Payment</x:v>
      </x:c>
      <x:c r="J393" s="17" t="n">
        <x:v>307440.05</x:v>
      </x:c>
      <x:c r="K393" s="17" t="n">
        <x:v>0</x:v>
      </x:c>
      <x:c r="L393" s="17" t="n">
        <x:v>307440.05</x:v>
      </x:c>
      <x:c r="M393" s="17" t="n">
        <x:v>20500</x:v>
      </x:c>
      <x:c r="N393" s="14" t="str">
        <x:v>High Transaction; Recurring Transaction</x:v>
      </x:c>
      <x:c r="O393" s="14" t="str">
        <x:v>Yes</x:v>
      </x:c>
      <x:c r="P393" s="14" t="str">
        <x:v>EBANKWIB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1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393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NEFT-IN42612056111225-JERAI FITNESS LIMITED</x:v>
      </x:c>
      <x:c r="H394" s="14" t="str"/>
      <x:c r="I394" s="14" t="str">
        <x:v>Receipt</x:v>
      </x:c>
      <x:c r="J394" s="17" t="n">
        <x:v>0</x:v>
      </x:c>
      <x:c r="K394" s="17" t="n">
        <x:v>147635</x:v>
      </x:c>
      <x:c r="L394" s="17" t="n">
        <x:v>147635</x:v>
      </x:c>
      <x:c r="M394" s="17" t="n">
        <x:v>168135</x:v>
      </x:c>
      <x:c r="N394" s="14" t="str">
        <x:v>High Transaction; Recurring Transaction</x:v>
      </x:c>
      <x:c r="O394" s="14" t="str">
        <x:v>Yes</x:v>
      </x:c>
      <x:c r="P394" s="14" t="str">
        <x:v>JERAI FITNESS LIMITED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394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IMPS/P2A/61201 IMPS/P2A/612019376760/XXXXXXXXXXR111/load</x:v>
      </x:c>
      <x:c r="H395" s="14" t="str"/>
      <x:c r="I395" s="14" t="str">
        <x:v>Payment</x:v>
      </x:c>
      <x:c r="J395" s="17" t="n">
        <x:v>12000</x:v>
      </x:c>
      <x:c r="K395" s="17" t="n">
        <x:v>0</x:v>
      </x:c>
      <x:c r="L395" s="17" t="n">
        <x:v>12000</x:v>
      </x:c>
      <x:c r="M395" s="17" t="n">
        <x:v>156135</x:v>
      </x:c>
      <x:c r="N395" s="14" t="str">
        <x:v>Recurring Transaction</x:v>
      </x:c>
      <x:c r="O395" s="14" t="str">
        <x:v>Yes</x:v>
      </x:c>
      <x:c r="P395" s="14" t="str">
        <x:v>XXXXXXXXXXR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395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CHARGES FOR CHARGES FOR :IMPS/P2A/612019376760/XXXXXXXX</x:v>
      </x:c>
      <x:c r="H396" s="14" t="str"/>
      <x:c r="I396" s="14" t="str">
        <x:v>Payment</x:v>
      </x:c>
      <x:c r="J396" s="17" t="n">
        <x:v>5.9</x:v>
      </x:c>
      <x:c r="K396" s="17" t="n">
        <x:v>0</x:v>
      </x:c>
      <x:c r="L396" s="17" t="n">
        <x:v>5.9</x:v>
      </x:c>
      <x:c r="M396" s="17" t="n">
        <x:v>156129.1</x:v>
      </x:c>
      <x:c r="N396" s="14" t="str">
        <x:v>Recurring Transaction</x:v>
      </x:c>
      <x:c r="O396" s="14" t="str">
        <x:v>Yes</x:v>
      </x:c>
      <x:c r="P396" s="14" t="str">
        <x:v>CHARGES FOR CHARGES FOR IMPS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396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IMPS/P2A/61202 https://cbdrpt101.bankofbaroda.co.in:22000/finbranch/arjspmorph/INFENG/tran_rpt.jsp?... 04-05-2026 IMPS/P2A/612022880582/XXXXXXXXXXR111/load</x:v>
      </x:c>
      <x:c r="H397" s="14" t="str"/>
      <x:c r="I397" s="14" t="str">
        <x:v>Payment</x:v>
      </x:c>
      <x:c r="J397" s="17" t="n">
        <x:v>25000</x:v>
      </x:c>
      <x:c r="K397" s="17" t="n">
        <x:v>0</x:v>
      </x:c>
      <x:c r="L397" s="17" t="n">
        <x:v>25000</x:v>
      </x:c>
      <x:c r="M397" s="17" t="n">
        <x:v>131129.1</x:v>
      </x:c>
      <x:c r="N397" s="14" t="str">
        <x:v>Other</x:v>
      </x:c>
      <x:c r="O397" s="14" t="str">
        <x:v>No</x:v>
      </x:c>
      <x:c r="P397" s="14" t="str">
        <x:v>CBDRPTBANKOFBARODACOIN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397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CHARGES FOR CHARGES FOR :IMPS/P2A/612022880582/XXXXXXXX</x:v>
      </x:c>
      <x:c r="H398" s="14" t="str"/>
      <x:c r="I398" s="14" t="str">
        <x:v>Payment</x:v>
      </x:c>
      <x:c r="J398" s="17" t="n">
        <x:v>5.9</x:v>
      </x:c>
      <x:c r="K398" s="17" t="n">
        <x:v>0</x:v>
      </x:c>
      <x:c r="L398" s="17" t="n">
        <x:v>5.9</x:v>
      </x:c>
      <x:c r="M398" s="17" t="n">
        <x:v>131123.2</x:v>
      </x:c>
      <x:c r="N398" s="14" t="str">
        <x:v>Recurring Transaction</x:v>
      </x:c>
      <x:c r="O398" s="14" t="str">
        <x:v>Yes</x:v>
      </x:c>
      <x:c r="P398" s="14" t="str">
        <x:v>CHARGES FOR CHARGES FOR IMPS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398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99" s="14" t="str"/>
      <x:c r="I399" s="14" t="str">
        <x:v>Payment</x:v>
      </x:c>
      <x:c r="J399" s="17" t="n">
        <x:v>128623.2</x:v>
      </x:c>
      <x:c r="K399" s="17" t="n">
        <x:v>0</x:v>
      </x:c>
      <x:c r="L399" s="17" t="n">
        <x:v>128623.2</x:v>
      </x:c>
      <x:c r="M399" s="17" t="n">
        <x:v>2500</x:v>
      </x:c>
      <x:c r="N399" s="14" t="str">
        <x:v>High Transaction; Recurring Transaction</x:v>
      </x:c>
      <x:c r="O399" s="14" t="str">
        <x:v>Yes</x:v>
      </x:c>
      <x:c r="P399" s="14" t="str">
        <x:v>EBANKWIB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1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f7a5e2115ed44e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398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b115d321f4324c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2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75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46119</x:v>
      </x:c>
      <x:c r="F5" s="15" t="n">
        <x:v>46119</x:v>
      </x:c>
      <x:c r="G5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5" s="14" t="str"/>
      <x:c r="I5" s="14" t="str">
        <x:v>Receipt</x:v>
      </x:c>
      <x:c r="J5" s="17" t="n">
        <x:v>0</x:v>
      </x:c>
      <x:c r="K5" s="17" t="n">
        <x:v>114500</x:v>
      </x:c>
      <x:c r="L5" s="17" t="n">
        <x:v>114500</x:v>
      </x:c>
      <x:c r="M5" s="17" t="n">
        <x:v>176796.35</x:v>
      </x:c>
      <x:c r="N5" s="14" t="str">
        <x:v>Cash; High Transaction; Recurring Transaction</x:v>
      </x:c>
      <x:c r="O5" s="14" t="str">
        <x:v>Yes</x:v>
      </x:c>
      <x:c r="P5" s="14" t="str">
        <x:v>PAGE TOTAL   CR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46119</x:v>
      </x:c>
    </x:row>
    <x:row r="6">
      <x:c r="A6" s="14" t="n">
        <x:v>86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46120</x:v>
      </x:c>
      <x:c r="F6" s="15" t="n">
        <x:v>46120</x:v>
      </x:c>
      <x:c r="G6" s="16" t="str">
        <x:v>Chg Cash Chg Cash handling for:30-03-2026</x:v>
      </x:c>
      <x:c r="H6" s="14" t="str"/>
      <x:c r="I6" s="14" t="str">
        <x:v>Payment</x:v>
      </x:c>
      <x:c r="J6" s="17" t="n">
        <x:v>24</x:v>
      </x:c>
      <x:c r="K6" s="17" t="n">
        <x:v>0</x:v>
      </x:c>
      <x:c r="L6" s="17" t="n">
        <x:v>24</x:v>
      </x:c>
      <x:c r="M6" s="17" t="n">
        <x:v>294225</x:v>
      </x:c>
      <x:c r="N6" s="14" t="str">
        <x:v>Cash</x:v>
      </x:c>
      <x:c r="O6" s="14" t="str">
        <x:v>No</x:v>
      </x:c>
      <x:c r="P6" s="14" t="str">
        <x:v>CHG CASH CHG CASH HANDLING FOR</x:v>
      </x:c>
      <x:c r="Q6" s="14" t="n">
        <x:v>1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46120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56a8668806145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346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7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NEFT-FBPT260916108327-PREMIER CONVEYORS PRIVATE LI</x:v>
      </x:c>
      <x:c r="H7" s="14" t="str"/>
      <x:c r="I7" s="14" t="str">
        <x:v>Receipt</x:v>
      </x:c>
      <x:c r="J7" s="17" t="n">
        <x:v>0</x:v>
      </x:c>
      <x:c r="K7" s="17" t="n">
        <x:v>18409</x:v>
      </x:c>
      <x:c r="L7" s="17" t="n">
        <x:v>18409</x:v>
      </x:c>
      <x:c r="M7" s="17" t="n">
        <x:v>20909</x:v>
      </x:c>
      <x:c r="N7" s="14" t="str">
        <x:v>EMI; Recurring Transaction</x:v>
      </x:c>
      <x:c r="O7" s="14" t="str">
        <x:v>Yes</x:v>
      </x:c>
      <x:c r="P7" s="14" t="str">
        <x:v>PREMIER CONVEYORS PRIVATE LI</x:v>
      </x:c>
      <x:c r="Q7" s="14" t="n">
        <x:v>0</x:v>
      </x:c>
      <x:c r="R7" s="14" t="n">
        <x:v>1</x:v>
      </x:c>
      <x:c r="S7" s="14" t="n">
        <x:v>1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8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NEFT-CNRBH00121803213-QUALITY PLAST INDUSTRIES LIM</x:v>
      </x:c>
      <x:c r="H8" s="14" t="str"/>
      <x:c r="I8" s="14" t="str">
        <x:v>Receipt</x:v>
      </x:c>
      <x:c r="J8" s="17" t="n">
        <x:v>0</x:v>
      </x:c>
      <x:c r="K8" s="17" t="n">
        <x:v>121431</x:v>
      </x:c>
      <x:c r="L8" s="17" t="n">
        <x:v>121431</x:v>
      </x:c>
      <x:c r="M8" s="17" t="n">
        <x:v>142340</x:v>
      </x:c>
      <x:c r="N8" s="14" t="str">
        <x:v>High Transaction; Recurring Transaction</x:v>
      </x:c>
      <x:c r="O8" s="14" t="str">
        <x:v>Yes</x:v>
      </x:c>
      <x:c r="P8" s="14" t="str">
        <x:v>QUALITY PLAST INDUSTRIES LIM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10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IMPS/P2A/609116466512/AFZALSIRAJUDDIN/IMPSUOB9191</x:v>
      </x:c>
      <x:c r="H9" s="14" t="str"/>
      <x:c r="I9" s="14" t="str">
        <x:v>Receipt</x:v>
      </x:c>
      <x:c r="J9" s="17" t="n">
        <x:v>0</x:v>
      </x:c>
      <x:c r="K9" s="17" t="n">
        <x:v>100000</x:v>
      </x:c>
      <x:c r="L9" s="17" t="n">
        <x:v>100000</x:v>
      </x:c>
      <x:c r="M9" s="17" t="n">
        <x:v>240840</x:v>
      </x:c>
      <x:c r="N9" s="14" t="str">
        <x:v>High Transaction; Recurring Transaction</x:v>
      </x:c>
      <x:c r="O9" s="14" t="str">
        <x:v>Yes</x:v>
      </x:c>
      <x:c r="P9" s="14" t="str">
        <x:v>AFZALSIRAJUDDIN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11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NEFT-KKBKH26091970510-VENKTESHWAR INDUSTRIAL CORPO</x:v>
      </x:c>
      <x:c r="H10" s="14" t="str"/>
      <x:c r="I10" s="14" t="str">
        <x:v>Receipt</x:v>
      </x:c>
      <x:c r="J10" s="17" t="n">
        <x:v>0</x:v>
      </x:c>
      <x:c r="K10" s="17" t="n">
        <x:v>10000</x:v>
      </x:c>
      <x:c r="L10" s="17" t="n">
        <x:v>10000</x:v>
      </x:c>
      <x:c r="M10" s="17" t="n">
        <x:v>250840</x:v>
      </x:c>
      <x:c r="N10" s="14" t="str">
        <x:v>Recurring Transaction</x:v>
      </x:c>
      <x:c r="O10" s="14" t="str">
        <x:v>Yes</x:v>
      </x:c>
      <x:c r="P10" s="14" t="str">
        <x:v>VENKTESHWAR INDUSTRIAL CORPO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12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1" s="14" t="str"/>
      <x:c r="I11" s="14" t="str">
        <x:v>Payment</x:v>
      </x:c>
      <x:c r="J11" s="17" t="n">
        <x:v>248340</x:v>
      </x:c>
      <x:c r="K11" s="17" t="n">
        <x:v>0</x:v>
      </x:c>
      <x:c r="L11" s="17" t="n">
        <x:v>248340</x:v>
      </x:c>
      <x:c r="M11" s="17" t="n">
        <x:v>2500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13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NEFT-YESAP60924833309-PhonePe Limited</x:v>
      </x:c>
      <x:c r="H12" s="14" t="str"/>
      <x:c r="I12" s="14" t="str">
        <x:v>Receipt</x:v>
      </x:c>
      <x:c r="J12" s="17" t="n">
        <x:v>0</x:v>
      </x:c>
      <x:c r="K12" s="17" t="n">
        <x:v>188588.4</x:v>
      </x:c>
      <x:c r="L12" s="17" t="n">
        <x:v>188588.4</x:v>
      </x:c>
      <x:c r="M12" s="17" t="n">
        <x:v>191088.4</x:v>
      </x:c>
      <x:c r="N12" s="14" t="str">
        <x:v>High Transaction; Recurring Transaction</x:v>
      </x:c>
      <x:c r="O12" s="14" t="str">
        <x:v>Yes</x:v>
      </x:c>
      <x:c r="P12" s="14" t="str">
        <x:v>PHONEPE LIMITED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14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DIGITA-MUMBAI/ NEFT-AXNPN09202196281-PHONEPE LIMITED-PAYMENT AGGR</x:v>
      </x:c>
      <x:c r="H13" s="14" t="str"/>
      <x:c r="I13" s="14" t="str">
        <x:v>Receipt</x:v>
      </x:c>
      <x:c r="J13" s="17" t="n">
        <x:v>0</x:v>
      </x:c>
      <x:c r="K13" s="17" t="n">
        <x:v>50884.1</x:v>
      </x:c>
      <x:c r="L13" s="17" t="n">
        <x:v>50884.1</x:v>
      </x:c>
      <x:c r="M13" s="17" t="n">
        <x:v>241972.5</x:v>
      </x:c>
      <x:c r="N13" s="14" t="str">
        <x:v>Recurring Transaction</x:v>
      </x:c>
      <x:c r="O13" s="14" t="str">
        <x:v>Yes</x:v>
      </x:c>
      <x:c r="P13" s="14" t="str">
        <x:v>PHONEPE LIMITED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15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NEFT-AXISCN1298773772-ONE MOBIKWIK SYSTEMS LIMITED https://cbdrpt101.bankofbaroda.co.in:22000/finbranch/arjspmorph/INFENG/tran_rpt.jsp?... 04-05-2026</x:v>
      </x:c>
      <x:c r="H14" s="14" t="str"/>
      <x:c r="I14" s="14" t="str">
        <x:v>Receipt</x:v>
      </x:c>
      <x:c r="J14" s="17" t="n">
        <x:v>0</x:v>
      </x:c>
      <x:c r="K14" s="17" t="n">
        <x:v>26312</x:v>
      </x:c>
      <x:c r="L14" s="17" t="n">
        <x:v>26312</x:v>
      </x:c>
      <x:c r="M14" s="17" t="n">
        <x:v>268284.5</x:v>
      </x:c>
      <x:c r="N14" s="14" t="str">
        <x:v>Recurring Transaction</x:v>
      </x:c>
      <x:c r="O14" s="14" t="str">
        <x:v>Yes</x:v>
      </x:c>
      <x:c r="P14" s="14" t="str">
        <x:v>ONE MOBIKWIK SYSTEMS LIMITED HTTPS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16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IMPS/P2A/609208556385/OMSANITRANSPORT/IMPSUOB9195</x:v>
      </x:c>
      <x:c r="H15" s="14" t="str"/>
      <x:c r="I15" s="14" t="str">
        <x:v>Receipt</x:v>
      </x:c>
      <x:c r="J15" s="17" t="n">
        <x:v>0</x:v>
      </x:c>
      <x:c r="K15" s="17" t="n">
        <x:v>16450</x:v>
      </x:c>
      <x:c r="L15" s="17" t="n">
        <x:v>16450</x:v>
      </x:c>
      <x:c r="M15" s="17" t="n">
        <x:v>284734.5</x:v>
      </x:c>
      <x:c r="N15" s="14" t="str">
        <x:v>Recurring Transaction</x:v>
      </x:c>
      <x:c r="O15" s="14" t="str">
        <x:v>Yes</x:v>
      </x:c>
      <x:c r="P15" s="14" t="str">
        <x:v>OMSANITRANSPORT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17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NEFT-AXISCN1298906804-PINE LABS PRIVATE LIMITED-NO</x:v>
      </x:c>
      <x:c r="H16" s="14" t="str"/>
      <x:c r="I16" s="14" t="str">
        <x:v>Receipt</x:v>
      </x:c>
      <x:c r="J16" s="17" t="n">
        <x:v>0</x:v>
      </x:c>
      <x:c r="K16" s="17" t="n">
        <x:v>61903</x:v>
      </x:c>
      <x:c r="L16" s="17" t="n">
        <x:v>61903</x:v>
      </x:c>
      <x:c r="M16" s="17" t="n">
        <x:v>346637.5</x:v>
      </x:c>
      <x:c r="N16" s="14" t="str">
        <x:v>Recurring Transaction</x:v>
      </x:c>
      <x:c r="O16" s="14" t="str">
        <x:v>Yes</x:v>
      </x:c>
      <x:c r="P16" s="14" t="str">
        <x:v>PINE LABS PRIVATE LIMITED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18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NEFT-AXISCN1299028324-PINE LABS PRIVATE LIMITED-NO</x:v>
      </x:c>
      <x:c r="H17" s="14" t="str"/>
      <x:c r="I17" s="14" t="str">
        <x:v>Receipt</x:v>
      </x:c>
      <x:c r="J17" s="17" t="n">
        <x:v>0</x:v>
      </x:c>
      <x:c r="K17" s="17" t="n">
        <x:v>166884</x:v>
      </x:c>
      <x:c r="L17" s="17" t="n">
        <x:v>166884</x:v>
      </x:c>
      <x:c r="M17" s="17" t="n">
        <x:v>513521.5</x:v>
      </x:c>
      <x:c r="N17" s="14" t="str">
        <x:v>High Transaction; Recurring Transaction</x:v>
      </x:c>
      <x:c r="O17" s="14" t="str">
        <x:v>Yes</x:v>
      </x:c>
      <x:c r="P17" s="14" t="str">
        <x:v>PINE LABS PRIVATE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20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IMPS/P2A/609211135154/SHREE GANESH EN/dieselVVS91</x:v>
      </x:c>
      <x:c r="H18" s="14" t="str"/>
      <x:c r="I18" s="14" t="str">
        <x:v>Receipt</x:v>
      </x:c>
      <x:c r="J18" s="17" t="n">
        <x:v>0</x:v>
      </x:c>
      <x:c r="K18" s="17" t="n">
        <x:v>63308</x:v>
      </x:c>
      <x:c r="L18" s="17" t="n">
        <x:v>63308</x:v>
      </x:c>
      <x:c r="M18" s="17" t="n">
        <x:v>572829.5</x:v>
      </x:c>
      <x:c r="N18" s="14" t="str">
        <x:v>Recurring Transaction</x:v>
      </x:c>
      <x:c r="O18" s="14" t="str">
        <x:v>Yes</x:v>
      </x:c>
      <x:c r="P18" s="14" t="str">
        <x:v>SHREE GANESH EN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21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NEFT-KKBKH26092777992-VENKTESHWAR INDUSTRIAL CORPO</x:v>
      </x:c>
      <x:c r="H19" s="14" t="str"/>
      <x:c r="I19" s="14" t="str">
        <x:v>Receipt</x:v>
      </x:c>
      <x:c r="J19" s="17" t="n">
        <x:v>0</x:v>
      </x:c>
      <x:c r="K19" s="17" t="n">
        <x:v>18088</x:v>
      </x:c>
      <x:c r="L19" s="17" t="n">
        <x:v>18088</x:v>
      </x:c>
      <x:c r="M19" s="17" t="n">
        <x:v>590917.5</x:v>
      </x:c>
      <x:c r="N19" s="14" t="str">
        <x:v>Recurring Transaction</x:v>
      </x:c>
      <x:c r="O19" s="14" t="str">
        <x:v>Yes</x:v>
      </x:c>
      <x:c r="P19" s="14" t="str">
        <x:v>VENKTESHWAR INDUSTRIAL CORPO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23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NEFT-NKGSH26092846591-GEBI PRODUCTS PRIVATE LIMITE</x:v>
      </x:c>
      <x:c r="H20" s="14" t="str"/>
      <x:c r="I20" s="14" t="str">
        <x:v>Receipt</x:v>
      </x:c>
      <x:c r="J20" s="17" t="n">
        <x:v>0</x:v>
      </x:c>
      <x:c r="K20" s="17" t="n">
        <x:v>12813</x:v>
      </x:c>
      <x:c r="L20" s="17" t="n">
        <x:v>12813</x:v>
      </x:c>
      <x:c r="M20" s="17" t="n">
        <x:v>600930.5</x:v>
      </x:c>
      <x:c r="N20" s="14" t="str">
        <x:v>Recurring Transaction</x:v>
      </x:c>
      <x:c r="O20" s="14" t="str">
        <x:v>Yes</x:v>
      </x:c>
      <x:c r="P20" s="14" t="str">
        <x:v>GEBI PRODUCTS PRIVATE LIMITE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24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NEFT-IDIBH09236262399-JAI AMBE TRANSPORT</x:v>
      </x:c>
      <x:c r="H21" s="14" t="str"/>
      <x:c r="I21" s="14" t="str">
        <x:v>Receipt</x:v>
      </x:c>
      <x:c r="J21" s="17" t="n">
        <x:v>0</x:v>
      </x:c>
      <x:c r="K21" s="17" t="n">
        <x:v>4378</x:v>
      </x:c>
      <x:c r="L21" s="17" t="n">
        <x:v>4378</x:v>
      </x:c>
      <x:c r="M21" s="17" t="n">
        <x:v>605308.5</x:v>
      </x:c>
      <x:c r="N21" s="14" t="str">
        <x:v>Recurring Transaction</x:v>
      </x:c>
      <x:c r="O21" s="14" t="str">
        <x:v>Yes</x:v>
      </x:c>
      <x:c r="P21" s="14" t="str">
        <x:v>JAI AMBE TRANSPORT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25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NEFT-HDFCH00905140576-Adekar enterprises pvt ltd</x:v>
      </x:c>
      <x:c r="H22" s="14" t="str"/>
      <x:c r="I22" s="14" t="str">
        <x:v>Receipt</x:v>
      </x:c>
      <x:c r="J22" s="17" t="n">
        <x:v>0</x:v>
      </x:c>
      <x:c r="K22" s="17" t="n">
        <x:v>138674</x:v>
      </x:c>
      <x:c r="L22" s="17" t="n">
        <x:v>138674</x:v>
      </x:c>
      <x:c r="M22" s="17" t="n">
        <x:v>743982.5</x:v>
      </x:c>
      <x:c r="N22" s="14" t="str">
        <x:v>High Transaction; Recurring Transaction</x:v>
      </x:c>
      <x:c r="O22" s="14" t="str">
        <x:v>Yes</x:v>
      </x:c>
      <x:c r="P22" s="14" t="str">
        <x:v>ADEKAR ENTERPRISES PVT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26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DIGITA-MUMBAI/ NEFT-TDCBH26092001785-V C ENTERPRISES</x:v>
      </x:c>
      <x:c r="H23" s="14" t="str"/>
      <x:c r="I23" s="14" t="str">
        <x:v>Receipt</x:v>
      </x:c>
      <x:c r="J23" s="17" t="n">
        <x:v>0</x:v>
      </x:c>
      <x:c r="K23" s="17" t="n">
        <x:v>50000</x:v>
      </x:c>
      <x:c r="L23" s="17" t="n">
        <x:v>50000</x:v>
      </x:c>
      <x:c r="M23" s="17" t="n">
        <x:v>793982.5</x:v>
      </x:c>
      <x:c r="N23" s="14" t="str">
        <x:v>Recurring Transaction</x:v>
      </x:c>
      <x:c r="O23" s="14" t="str">
        <x:v>Yes</x:v>
      </x:c>
      <x:c r="P23" s="14" t="str">
        <x:v>V C ENTERPRISES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27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EBANK:WIB/1502 EBANK:WIB/1502234210/Edfs</x:v>
      </x:c>
      <x:c r="H24" s="14" t="str"/>
      <x:c r="I24" s="14" t="str">
        <x:v>Payment</x:v>
      </x:c>
      <x:c r="J24" s="17" t="n">
        <x:v>791482.5</x:v>
      </x:c>
      <x:c r="K24" s="17" t="n">
        <x:v>0</x:v>
      </x:c>
      <x:c r="L24" s="17" t="n">
        <x:v>791482.5</x:v>
      </x:c>
      <x:c r="M24" s="17" t="n">
        <x:v>2500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28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5" s="14" t="str"/>
      <x:c r="I25" s="14" t="str">
        <x:v>Receipt</x:v>
      </x:c>
      <x:c r="J25" s="17" t="n">
        <x:v>0</x:v>
      </x:c>
      <x:c r="K25" s="17" t="n">
        <x:v>36176</x:v>
      </x:c>
      <x:c r="L25" s="17" t="n">
        <x:v>36176</x:v>
      </x:c>
      <x:c r="M25" s="17" t="n">
        <x:v>38676</x:v>
      </x:c>
      <x:c r="N25" s="14" t="str">
        <x:v>Recurring Transaction</x:v>
      </x:c>
      <x:c r="O25" s="14" t="str">
        <x:v>Yes</x:v>
      </x:c>
      <x:c r="P25" s="14" t="str">
        <x:v>PAGE TOTAL   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NEFT-KKBKH26092921670-ATLAS COMMODITIES PRIVATE LI</x:v>
      </x:c>
      <x:c r="H26" s="14" t="str"/>
      <x:c r="I26" s="14" t="str">
        <x:v>Receipt</x:v>
      </x:c>
      <x:c r="J26" s="17" t="n">
        <x:v>0</x:v>
      </x:c>
      <x:c r="K26" s="17" t="n">
        <x:v>4353</x:v>
      </x:c>
      <x:c r="L26" s="17" t="n">
        <x:v>4353</x:v>
      </x:c>
      <x:c r="M26" s="17" t="n">
        <x:v>43029</x:v>
      </x:c>
      <x:c r="N26" s="14" t="str">
        <x:v>Recurring Transaction</x:v>
      </x:c>
      <x:c r="O26" s="14" t="str">
        <x:v>Yes</x:v>
      </x:c>
      <x:c r="P26" s="14" t="str">
        <x:v>ATLAS COMMODITIES PRIVATE LI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30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46115</x:v>
      </x:c>
      <x:c r="F27" s="15" t="n">
        <x:v>46115</x:v>
      </x:c>
      <x:c r="G27" s="16" t="str">
        <x:v>DIGITA-MUMBAI/ NEFT-YESAP60934071902-PhonePe Limited</x:v>
      </x:c>
      <x:c r="H27" s="14" t="str"/>
      <x:c r="I27" s="14" t="str">
        <x:v>Receipt</x:v>
      </x:c>
      <x:c r="J27" s="17" t="n">
        <x:v>0</x:v>
      </x:c>
      <x:c r="K27" s="17" t="n">
        <x:v>173393.9</x:v>
      </x:c>
      <x:c r="L27" s="17" t="n">
        <x:v>173393.9</x:v>
      </x:c>
      <x:c r="M27" s="17" t="n">
        <x:v>216422.9</x:v>
      </x:c>
      <x:c r="N27" s="14" t="str">
        <x:v>High Transaction; Recurring Transaction</x:v>
      </x:c>
      <x:c r="O27" s="14" t="str">
        <x:v>Yes</x:v>
      </x:c>
      <x:c r="P27" s="14" t="str">
        <x:v>PHONEPE LIMITED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46115</x:v>
      </x:c>
    </x:row>
    <x:row r="28">
      <x:c r="A28" s="14" t="n">
        <x:v>31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46115</x:v>
      </x:c>
      <x:c r="F28" s="15" t="n">
        <x:v>46115</x:v>
      </x:c>
      <x:c r="G28" s="16" t="str">
        <x:v>DIGITA-MUMBAI/ NEFT-AXNPN09311160907-PHONEPE LIMITED-PAYMENT AGGR</x:v>
      </x:c>
      <x:c r="H28" s="14" t="str"/>
      <x:c r="I28" s="14" t="str">
        <x:v>Receipt</x:v>
      </x:c>
      <x:c r="J28" s="17" t="n">
        <x:v>0</x:v>
      </x:c>
      <x:c r="K28" s="17" t="n">
        <x:v>53957.68</x:v>
      </x:c>
      <x:c r="L28" s="17" t="n">
        <x:v>53957.68</x:v>
      </x:c>
      <x:c r="M28" s="17" t="n">
        <x:v>270380.58</x:v>
      </x:c>
      <x:c r="N28" s="14" t="str">
        <x:v>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46115</x:v>
      </x:c>
    </x:row>
    <x:row r="29">
      <x:c r="A29" s="14" t="n">
        <x:v>32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46115</x:v>
      </x:c>
      <x:c r="F29" s="15" t="n">
        <x:v>46115</x:v>
      </x:c>
      <x:c r="G29" s="16" t="str">
        <x:v>DIGITA-MUMBAI/ NEFT-AXISCN1300289999-ONE MOBIKWIK SYSTEMS LIMITED</x:v>
      </x:c>
      <x:c r="H29" s="14" t="str"/>
      <x:c r="I29" s="14" t="str">
        <x:v>Receipt</x:v>
      </x:c>
      <x:c r="J29" s="17" t="n">
        <x:v>0</x:v>
      </x:c>
      <x:c r="K29" s="17" t="n">
        <x:v>21700</x:v>
      </x:c>
      <x:c r="L29" s="17" t="n">
        <x:v>21700</x:v>
      </x:c>
      <x:c r="M29" s="17" t="n">
        <x:v>292080.58</x:v>
      </x:c>
      <x:c r="N29" s="14" t="str">
        <x:v>Recurring Transaction</x:v>
      </x:c>
      <x:c r="O29" s="14" t="str">
        <x:v>Yes</x:v>
      </x:c>
      <x:c r="P29" s="14" t="str">
        <x:v>ONE MOBIKWIK SYSTEMS LIMITED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46115</x:v>
      </x:c>
    </x:row>
    <x:row r="30">
      <x:c r="A30" s="14" t="n">
        <x:v>33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46115</x:v>
      </x:c>
      <x:c r="F30" s="15" t="n">
        <x:v>46115</x:v>
      </x:c>
      <x:c r="G30" s="16" t="str">
        <x:v>DIGITA-MUMBAI/ IMPS/P2A/609308206742/S TRANS 14851/Mh04ju3738I</x:v>
      </x:c>
      <x:c r="H30" s="14" t="str"/>
      <x:c r="I30" s="14" t="str">
        <x:v>Receipt</x:v>
      </x:c>
      <x:c r="J30" s="17" t="n">
        <x:v>0</x:v>
      </x:c>
      <x:c r="K30" s="17" t="n">
        <x:v>5750</x:v>
      </x:c>
      <x:c r="L30" s="17" t="n">
        <x:v>5750</x:v>
      </x:c>
      <x:c r="M30" s="17" t="n">
        <x:v>297830.58</x:v>
      </x:c>
      <x:c r="N30" s="14" t="str">
        <x:v>Recurring Transaction</x:v>
      </x:c>
      <x:c r="O30" s="14" t="str">
        <x:v>Yes</x:v>
      </x:c>
      <x:c r="P30" s="14" t="str">
        <x:v>DIGITA-MUMBAI/ IMPS/P#A/#/S TRANS #/MH#JU#I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46115</x:v>
      </x:c>
    </x:row>
    <x:row r="31">
      <x:c r="A31" s="14" t="n">
        <x:v>34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NEFT-AXISCN1300388689-PINE LABS PRIVATE LIMITED-NO</x:v>
      </x:c>
      <x:c r="H31" s="14" t="str"/>
      <x:c r="I31" s="14" t="str">
        <x:v>Receipt</x:v>
      </x:c>
      <x:c r="J31" s="17" t="n">
        <x:v>0</x:v>
      </x:c>
      <x:c r="K31" s="17" t="n">
        <x:v>112894</x:v>
      </x:c>
      <x:c r="L31" s="17" t="n">
        <x:v>112894</x:v>
      </x:c>
      <x:c r="M31" s="17" t="n">
        <x:v>410724.58</x:v>
      </x:c>
      <x:c r="N31" s="14" t="str">
        <x:v>High Transaction; Recurring Transaction</x:v>
      </x:c>
      <x:c r="O31" s="14" t="str">
        <x:v>Yes</x:v>
      </x:c>
      <x:c r="P31" s="14" t="str">
        <x:v>PINE LABS PRIVATE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35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IMPS/P2A/609312855509/AFZALSIRAJUDDIN/IMPSUOB9191</x:v>
      </x:c>
      <x:c r="H32" s="14" t="str"/>
      <x:c r="I32" s="14" t="str">
        <x:v>Receipt</x:v>
      </x:c>
      <x:c r="J32" s="17" t="n">
        <x:v>0</x:v>
      </x:c>
      <x:c r="K32" s="17" t="n">
        <x:v>200000</x:v>
      </x:c>
      <x:c r="L32" s="17" t="n">
        <x:v>200000</x:v>
      </x:c>
      <x:c r="M32" s="17" t="n">
        <x:v>610724.58</x:v>
      </x:c>
      <x:c r="N32" s="14" t="str">
        <x:v>High Transaction; Recurring Transaction</x:v>
      </x:c>
      <x:c r="O32" s="14" t="str">
        <x:v>Yes</x:v>
      </x:c>
      <x:c r="P32" s="14" t="str">
        <x:v>AFZALSIRAJUDDIN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37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EBANK:WIB/1502 EBANK:WIB/1502413595/Edfs</x:v>
      </x:c>
      <x:c r="H33" s="14" t="str"/>
      <x:c r="I33" s="14" t="str">
        <x:v>Payment</x:v>
      </x:c>
      <x:c r="J33" s="17" t="n">
        <x:v>790104.58</x:v>
      </x:c>
      <x:c r="K33" s="17" t="n">
        <x:v>0</x:v>
      </x:c>
      <x:c r="L33" s="17" t="n">
        <x:v>790104.58</x:v>
      </x:c>
      <x:c r="M33" s="17" t="n">
        <x:v>1500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46116</x:v>
      </x:c>
      <x:c r="F34" s="15" t="n">
        <x:v>46116</x:v>
      </x:c>
      <x:c r="G34" s="16" t="str">
        <x:v>DIGITA-MUMBAI/ NEFT-YESAP60944128518-PhonePe Limited</x:v>
      </x:c>
      <x:c r="H34" s="14" t="str"/>
      <x:c r="I34" s="14" t="str">
        <x:v>Receipt</x:v>
      </x:c>
      <x:c r="J34" s="17" t="n">
        <x:v>0</x:v>
      </x:c>
      <x:c r="K34" s="17" t="n">
        <x:v>171014</x:v>
      </x:c>
      <x:c r="L34" s="17" t="n">
        <x:v>171014</x:v>
      </x:c>
      <x:c r="M34" s="17" t="n">
        <x:v>172514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46116</x:v>
      </x:c>
    </x:row>
    <x:row r="35">
      <x:c r="A35" s="14" t="n">
        <x:v>39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46116</x:v>
      </x:c>
      <x:c r="F35" s="15" t="n">
        <x:v>46116</x:v>
      </x:c>
      <x:c r="G35" s="16" t="str">
        <x:v>DIGITA-MUMBAI/ https://cbdrpt101.bankofbaroda.co.in:22000/finbranch/arjspmorph/INFENG/tran_rpt.jsp?... 04-05-2026 NEFT-AXNPN09418938602-PHONEPE LIMITED-PAYMENT AGGR</x:v>
      </x:c>
      <x:c r="H35" s="14" t="str"/>
      <x:c r="I35" s="14" t="str">
        <x:v>Receipt</x:v>
      </x:c>
      <x:c r="J35" s="17" t="n">
        <x:v>0</x:v>
      </x:c>
      <x:c r="K35" s="17" t="n">
        <x:v>49956</x:v>
      </x:c>
      <x:c r="L35" s="17" t="n">
        <x:v>49956</x:v>
      </x:c>
      <x:c r="M35" s="17" t="n">
        <x:v>222470</x:v>
      </x:c>
      <x:c r="N35" s="14" t="str">
        <x:v>Recurring Transaction</x:v>
      </x:c>
      <x:c r="O35" s="14" t="str">
        <x:v>Yes</x:v>
      </x:c>
      <x:c r="P35" s="14" t="str">
        <x:v>CBDRPTBANKOFBARODACOIN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46116</x:v>
      </x:c>
    </x:row>
    <x:row r="36">
      <x:c r="A36" s="14" t="n">
        <x:v>40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46116</x:v>
      </x:c>
      <x:c r="F36" s="15" t="n">
        <x:v>46116</x:v>
      </x:c>
      <x:c r="G36" s="16" t="str">
        <x:v>DIGITA-MUMBAI/ NEFT-AXISCN1301100257-ONE MOBIKWIK SYSTEMS LIMITED</x:v>
      </x:c>
      <x:c r="H36" s="14" t="str"/>
      <x:c r="I36" s="14" t="str">
        <x:v>Receipt</x:v>
      </x:c>
      <x:c r="J36" s="17" t="n">
        <x:v>0</x:v>
      </x:c>
      <x:c r="K36" s="17" t="n">
        <x:v>22121</x:v>
      </x:c>
      <x:c r="L36" s="17" t="n">
        <x:v>22121</x:v>
      </x:c>
      <x:c r="M36" s="17" t="n">
        <x:v>244591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46116</x:v>
      </x:c>
    </x:row>
    <x:row r="37">
      <x:c r="A37" s="14" t="n">
        <x:v>41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46116</x:v>
      </x:c>
      <x:c r="F37" s="15" t="n">
        <x:v>46116</x:v>
      </x:c>
      <x:c r="G37" s="16" t="str">
        <x:v>EBANK:WIB/1502 EBANK:WIB/1502423934/Edfs</x:v>
      </x:c>
      <x:c r="H37" s="14" t="str"/>
      <x:c r="I37" s="14" t="str">
        <x:v>Payment</x:v>
      </x:c>
      <x:c r="J37" s="17" t="n">
        <x:v>240091</x:v>
      </x:c>
      <x:c r="K37" s="17" t="n">
        <x:v>0</x:v>
      </x:c>
      <x:c r="L37" s="17" t="n">
        <x:v>240091</x:v>
      </x:c>
      <x:c r="M37" s="17" t="n">
        <x:v>4500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46116</x:v>
      </x:c>
    </x:row>
    <x:row r="38">
      <x:c r="A38" s="14" t="n">
        <x:v>42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46116</x:v>
      </x:c>
      <x:c r="F38" s="15" t="n">
        <x:v>46116</x:v>
      </x:c>
      <x:c r="G38" s="16" t="str">
        <x:v>DIGITA-MUMBAI/ NEFT-AXISCN1301297166-PINE LABS PRIVATE LIMITED-NO</x:v>
      </x:c>
      <x:c r="H38" s="14" t="str"/>
      <x:c r="I38" s="14" t="str">
        <x:v>Receipt</x:v>
      </x:c>
      <x:c r="J38" s="17" t="n">
        <x:v>0</x:v>
      </x:c>
      <x:c r="K38" s="17" t="n">
        <x:v>22400</x:v>
      </x:c>
      <x:c r="L38" s="17" t="n">
        <x:v>22400</x:v>
      </x:c>
      <x:c r="M38" s="17" t="n">
        <x:v>26900</x:v>
      </x:c>
      <x:c r="N38" s="14" t="str">
        <x:v>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46116</x:v>
      </x:c>
    </x:row>
    <x:row r="39">
      <x:c r="A39" s="14" t="n">
        <x:v>43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39" s="14" t="str"/>
      <x:c r="I39" s="14" t="str">
        <x:v>Receipt</x:v>
      </x:c>
      <x:c r="J39" s="17" t="n">
        <x:v>0</x:v>
      </x:c>
      <x:c r="K39" s="17" t="n">
        <x:v>5800</x:v>
      </x:c>
      <x:c r="L39" s="17" t="n">
        <x:v>5800</x:v>
      </x:c>
      <x:c r="M39" s="17" t="n">
        <x:v>32700</x:v>
      </x:c>
      <x:c r="N39" s="14" t="str">
        <x:v>Recurring Transaction</x:v>
      </x:c>
      <x:c r="O39" s="14" t="str">
        <x:v>Yes</x:v>
      </x:c>
      <x:c r="P39" s="14" t="str">
        <x:v>KUNDAN QUARRY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45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NEFT-KKBKH26094919635-ATLAS COMMODITIES PRIVATE LI</x:v>
      </x:c>
      <x:c r="H40" s="14" t="str"/>
      <x:c r="I40" s="14" t="str">
        <x:v>Receipt</x:v>
      </x:c>
      <x:c r="J40" s="17" t="n">
        <x:v>0</x:v>
      </x:c>
      <x:c r="K40" s="17" t="n">
        <x:v>7885</x:v>
      </x:c>
      <x:c r="L40" s="17" t="n">
        <x:v>7885</x:v>
      </x:c>
      <x:c r="M40" s="17" t="n">
        <x:v>40434.37</x:v>
      </x:c>
      <x:c r="N40" s="14" t="str">
        <x:v>Recurring Transaction</x:v>
      </x:c>
      <x:c r="O40" s="14" t="str">
        <x:v>Yes</x:v>
      </x:c>
      <x:c r="P40" s="14" t="str">
        <x:v>ATLAS COMMODITIES PRIVATE LI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EBANK:WIB/1502 EBANK:WIB/1502545632/Edfs</x:v>
      </x:c>
      <x:c r="H41" s="14" t="str"/>
      <x:c r="I41" s="14" t="str">
        <x:v>Payment</x:v>
      </x:c>
      <x:c r="J41" s="17" t="n">
        <x:v>120330.37</x:v>
      </x:c>
      <x:c r="K41" s="17" t="n">
        <x:v>0</x:v>
      </x:c>
      <x:c r="L41" s="17" t="n">
        <x:v>120330.37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NEFT-HDFCH00911243518-KAVITA ENTERPRISES</x:v>
      </x:c>
      <x:c r="H42" s="14" t="str"/>
      <x:c r="I42" s="14" t="str">
        <x:v>Receipt</x:v>
      </x:c>
      <x:c r="J42" s="17" t="n">
        <x:v>0</x:v>
      </x:c>
      <x:c r="K42" s="17" t="n">
        <x:v>81396</x:v>
      </x:c>
      <x:c r="L42" s="17" t="n">
        <x:v>81396</x:v>
      </x:c>
      <x:c r="M42" s="17" t="n">
        <x:v>82896</x:v>
      </x:c>
      <x:c r="N42" s="14" t="str">
        <x:v>Recurring Transaction</x:v>
      </x:c>
      <x:c r="O42" s="14" t="str">
        <x:v>Yes</x:v>
      </x:c>
      <x:c r="P42" s="14" t="str">
        <x:v>KAVITA ENTERPRISES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46117</x:v>
      </x:c>
      <x:c r="F43" s="15" t="n">
        <x:v>46117</x:v>
      </x:c>
      <x:c r="G43" s="16" t="str">
        <x:v>DIGITA-MUMBAI/ NEFT-YESAP60953903247-PhonePe Limited</x:v>
      </x:c>
      <x:c r="H43" s="14" t="str"/>
      <x:c r="I43" s="14" t="str">
        <x:v>Receipt</x:v>
      </x:c>
      <x:c r="J43" s="17" t="n">
        <x:v>0</x:v>
      </x:c>
      <x:c r="K43" s="17" t="n">
        <x:v>167015</x:v>
      </x:c>
      <x:c r="L43" s="17" t="n">
        <x:v>167015</x:v>
      </x:c>
      <x:c r="M43" s="17" t="n">
        <x:v>249911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46117</x:v>
      </x:c>
    </x:row>
    <x:row r="44">
      <x:c r="A44" s="14" t="n">
        <x:v>50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46117</x:v>
      </x:c>
      <x:c r="F44" s="15" t="n">
        <x:v>46117</x:v>
      </x:c>
      <x:c r="G44" s="16" t="str">
        <x:v>DIGITA-MUMBAI/ NEFT-AXNPN09528140899-PHONEPE LIMITED-PAYMENT AGGR</x:v>
      </x:c>
      <x:c r="H44" s="14" t="str"/>
      <x:c r="I44" s="14" t="str">
        <x:v>Receipt</x:v>
      </x:c>
      <x:c r="J44" s="17" t="n">
        <x:v>0</x:v>
      </x:c>
      <x:c r="K44" s="17" t="n">
        <x:v>67868.36</x:v>
      </x:c>
      <x:c r="L44" s="17" t="n">
        <x:v>67868.36</x:v>
      </x:c>
      <x:c r="M44" s="17" t="n">
        <x:v>317779.36</x:v>
      </x:c>
      <x:c r="N44" s="14" t="str">
        <x:v>Recurring Transaction</x:v>
      </x:c>
      <x:c r="O44" s="14" t="str">
        <x:v>Yes</x:v>
      </x:c>
      <x:c r="P44" s="14" t="str">
        <x:v>PHONEPE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46117</x:v>
      </x:c>
    </x:row>
    <x:row r="45">
      <x:c r="A45" s="14" t="n">
        <x:v>51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46117</x:v>
      </x:c>
      <x:c r="F45" s="15" t="n">
        <x:v>46117</x:v>
      </x:c>
      <x:c r="G45" s="16" t="str">
        <x:v>DIGITA-MUMBAI/ NEFT-AXISCN1301923332-ONE MOBIKWIK SYSTEMS LIMITED</x:v>
      </x:c>
      <x:c r="H45" s="14" t="str"/>
      <x:c r="I45" s="14" t="str">
        <x:v>Receipt</x:v>
      </x:c>
      <x:c r="J45" s="17" t="n">
        <x:v>0</x:v>
      </x:c>
      <x:c r="K45" s="17" t="n">
        <x:v>28124</x:v>
      </x:c>
      <x:c r="L45" s="17" t="n">
        <x:v>28124</x:v>
      </x:c>
      <x:c r="M45" s="17" t="n">
        <x:v>345903.36</x:v>
      </x:c>
      <x:c r="N45" s="14" t="str">
        <x:v>Recurring Transaction</x:v>
      </x:c>
      <x:c r="O45" s="14" t="str">
        <x:v>Yes</x:v>
      </x:c>
      <x:c r="P45" s="14" t="str">
        <x:v>ONE MOBIKWIK SYSTEMS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46117</x:v>
      </x:c>
    </x:row>
    <x:row r="46">
      <x:c r="A46" s="14" t="n">
        <x:v>52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46117</x:v>
      </x:c>
      <x:c r="F46" s="15" t="n">
        <x:v>46117</x:v>
      </x:c>
      <x:c r="G46" s="16" t="str">
        <x:v>EBANK:WIB/1502 EBANK:WIB/1502577386/Edfs</x:v>
      </x:c>
      <x:c r="H46" s="14" t="str"/>
      <x:c r="I46" s="14" t="str">
        <x:v>Payment</x:v>
      </x:c>
      <x:c r="J46" s="17" t="n">
        <x:v>300403.36</x:v>
      </x:c>
      <x:c r="K46" s="17" t="n">
        <x:v>0</x:v>
      </x:c>
      <x:c r="L46" s="17" t="n">
        <x:v>300403.36</x:v>
      </x:c>
      <x:c r="M46" s="17" t="n">
        <x:v>45500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46117</x:v>
      </x:c>
    </x:row>
    <x:row r="47">
      <x:c r="A47" s="14" t="n">
        <x:v>53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46117</x:v>
      </x:c>
      <x:c r="F47" s="15" t="n">
        <x:v>46117</x:v>
      </x:c>
      <x:c r="G47" s="16" t="str">
        <x:v>DIGITA-MUMBAI/ IMPS/P2A/609509137308/SHREE GANESH EN/diselVVS910</x:v>
      </x:c>
      <x:c r="H47" s="14" t="str"/>
      <x:c r="I47" s="14" t="str">
        <x:v>Receipt</x:v>
      </x:c>
      <x:c r="J47" s="17" t="n">
        <x:v>0</x:v>
      </x:c>
      <x:c r="K47" s="17" t="n">
        <x:v>63308</x:v>
      </x:c>
      <x:c r="L47" s="17" t="n">
        <x:v>63308</x:v>
      </x:c>
      <x:c r="M47" s="17" t="n">
        <x:v>108808</x:v>
      </x:c>
      <x:c r="N47" s="14" t="str">
        <x:v>Recurring Transaction</x:v>
      </x:c>
      <x:c r="O47" s="14" t="str">
        <x:v>Yes</x:v>
      </x:c>
      <x:c r="P47" s="14" t="str">
        <x:v>SHREE GANESH EN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46117</x:v>
      </x:c>
    </x:row>
    <x:row r="48">
      <x:c r="A48" s="14" t="n">
        <x:v>54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46118</x:v>
      </x:c>
      <x:c r="F48" s="15" t="n">
        <x:v>46118</x:v>
      </x:c>
      <x:c r="G48" s="16" t="str">
        <x:v>DIGITA-MUMBAI/ NEFT-AXNPN09635263353-PHONEPE LIMITED-PAYMENT AGGR</x:v>
      </x:c>
      <x:c r="H48" s="14" t="str"/>
      <x:c r="I48" s="14" t="str">
        <x:v>Receipt</x:v>
      </x:c>
      <x:c r="J48" s="17" t="n">
        <x:v>0</x:v>
      </x:c>
      <x:c r="K48" s="17" t="n">
        <x:v>58335.21</x:v>
      </x:c>
      <x:c r="L48" s="17" t="n">
        <x:v>58335.21</x:v>
      </x:c>
      <x:c r="M48" s="17" t="n">
        <x:v>167143.21</x:v>
      </x:c>
      <x:c r="N48" s="14" t="str">
        <x:v>Recurring Transaction</x:v>
      </x:c>
      <x:c r="O48" s="14" t="str">
        <x:v>Yes</x:v>
      </x:c>
      <x:c r="P48" s="14" t="str">
        <x:v>PHONEPE LIMITED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46118</x:v>
      </x:c>
    </x:row>
    <x:row r="49">
      <x:c r="A49" s="14" t="n">
        <x:v>55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46118</x:v>
      </x:c>
      <x:c r="F49" s="15" t="n">
        <x:v>46118</x:v>
      </x:c>
      <x:c r="G49" s="16" t="str">
        <x:v>DIGITA-MUMBAI/ NEFT-YESAP60964000643-PhonePe Limited</x:v>
      </x:c>
      <x:c r="H49" s="14" t="str"/>
      <x:c r="I49" s="14" t="str">
        <x:v>Receipt</x:v>
      </x:c>
      <x:c r="J49" s="17" t="n">
        <x:v>0</x:v>
      </x:c>
      <x:c r="K49" s="17" t="n">
        <x:v>169456</x:v>
      </x:c>
      <x:c r="L49" s="17" t="n">
        <x:v>169456</x:v>
      </x:c>
      <x:c r="M49" s="17" t="n">
        <x:v>336599.21</x:v>
      </x:c>
      <x:c r="N49" s="14" t="str">
        <x:v>High Transaction; Recurring Transaction</x:v>
      </x:c>
      <x:c r="O49" s="14" t="str">
        <x:v>Yes</x:v>
      </x:c>
      <x:c r="P49" s="14" t="str">
        <x:v>PHONEPE LIMITED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46118</x:v>
      </x:c>
    </x:row>
    <x:row r="50">
      <x:c r="A50" s="14" t="n">
        <x:v>56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46118</x:v>
      </x:c>
      <x:c r="F50" s="15" t="n">
        <x:v>46118</x:v>
      </x:c>
      <x:c r="G50" s="16" t="str">
        <x:v>DIGITA-MUMBAI/ NEFT-AXISCN1302642509-ONE MOBIKWIK SYSTEMS LIMITED</x:v>
      </x:c>
      <x:c r="H50" s="14" t="str"/>
      <x:c r="I50" s="14" t="str">
        <x:v>Receipt</x:v>
      </x:c>
      <x:c r="J50" s="17" t="n">
        <x:v>0</x:v>
      </x:c>
      <x:c r="K50" s="17" t="n">
        <x:v>31681</x:v>
      </x:c>
      <x:c r="L50" s="17" t="n">
        <x:v>31681</x:v>
      </x:c>
      <x:c r="M50" s="17" t="n">
        <x:v>368280.21</x:v>
      </x:c>
      <x:c r="N50" s="14" t="str">
        <x:v>Recurring Transaction</x:v>
      </x:c>
      <x:c r="O50" s="14" t="str">
        <x:v>Yes</x:v>
      </x:c>
      <x:c r="P50" s="14" t="str">
        <x:v>ONE MOBIKWIK SYSTEMS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46118</x:v>
      </x:c>
    </x:row>
    <x:row r="51">
      <x:c r="A51" s="14" t="n">
        <x:v>57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46118</x:v>
      </x:c>
      <x:c r="F51" s="15" t="n">
        <x:v>46118</x:v>
      </x:c>
      <x:c r="G51" s="16" t="str">
        <x:v>EBANK:WIB/1502 EBANK:WIB/1502642025/Edfs</x:v>
      </x:c>
      <x:c r="H51" s="14" t="str"/>
      <x:c r="I51" s="14" t="str">
        <x:v>Payment</x:v>
      </x:c>
      <x:c r="J51" s="17" t="n">
        <x:v>365780.21</x:v>
      </x:c>
      <x:c r="K51" s="17" t="n">
        <x:v>0</x:v>
      </x:c>
      <x:c r="L51" s="17" t="n">
        <x:v>365780.21</x:v>
      </x:c>
      <x:c r="M51" s="17" t="n">
        <x:v>2500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46118</x:v>
      </x:c>
    </x:row>
    <x:row r="52">
      <x:c r="A52" s="14" t="n">
        <x:v>58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46118</x:v>
      </x:c>
      <x:c r="F52" s="15" t="n">
        <x:v>46118</x:v>
      </x:c>
      <x:c r="G52" s="16" t="str">
        <x:v>DIGITA-MUMBAI/ NEFT-AXISCN1302721272-PINE LABS PRIVATE LIMITED-NO</x:v>
      </x:c>
      <x:c r="H52" s="14" t="str"/>
      <x:c r="I52" s="14" t="str">
        <x:v>Receipt</x:v>
      </x:c>
      <x:c r="J52" s="17" t="n">
        <x:v>0</x:v>
      </x:c>
      <x:c r="K52" s="17" t="n">
        <x:v>29516</x:v>
      </x:c>
      <x:c r="L52" s="17" t="n">
        <x:v>29516</x:v>
      </x:c>
      <x:c r="M52" s="17" t="n">
        <x:v>32016</x:v>
      </x:c>
      <x:c r="N52" s="14" t="str">
        <x:v>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46118</x:v>
      </x:c>
    </x:row>
    <x:row r="53">
      <x:c r="A53" s="14" t="n">
        <x:v>59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46118</x:v>
      </x:c>
      <x:c r="F53" s="15" t="n">
        <x:v>46118</x:v>
      </x:c>
      <x:c r="G5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3" s="14" t="str"/>
      <x:c r="I53" s="14" t="str">
        <x:v>Receipt</x:v>
      </x:c>
      <x:c r="J53" s="17" t="n">
        <x:v>0</x:v>
      </x:c>
      <x:c r="K53" s="17" t="n">
        <x:v>100000</x:v>
      </x:c>
      <x:c r="L53" s="17" t="n">
        <x:v>100000</x:v>
      </x:c>
      <x:c r="M53" s="17" t="n">
        <x:v>132016</x:v>
      </x:c>
      <x:c r="N53" s="14" t="str">
        <x:v>High Transaction; Recurring Transaction</x:v>
      </x:c>
      <x:c r="O53" s="14" t="str">
        <x:v>Yes</x:v>
      </x:c>
      <x:c r="P53" s="14" t="str">
        <x:v>PAGE TOTAL   CR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46118</x:v>
      </x:c>
    </x:row>
    <x:row r="54">
      <x:c r="A54" s="14" t="n">
        <x:v>60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46118</x:v>
      </x:c>
      <x:c r="F54" s="15" t="n">
        <x:v>46118</x:v>
      </x:c>
      <x:c r="G54" s="16" t="str">
        <x:v>DIGITA-MUMBAI/ NEFT-AXISCN1302925515-PINE LABS PRIVATE LIMITED-NO</x:v>
      </x:c>
      <x:c r="H54" s="14" t="str"/>
      <x:c r="I54" s="14" t="str">
        <x:v>Receipt</x:v>
      </x:c>
      <x:c r="J54" s="17" t="n">
        <x:v>0</x:v>
      </x:c>
      <x:c r="K54" s="17" t="n">
        <x:v>14073</x:v>
      </x:c>
      <x:c r="L54" s="17" t="n">
        <x:v>14073</x:v>
      </x:c>
      <x:c r="M54" s="17" t="n">
        <x:v>146089</x:v>
      </x:c>
      <x:c r="N54" s="14" t="str">
        <x:v>Recurring Transaction</x:v>
      </x:c>
      <x:c r="O54" s="14" t="str">
        <x:v>Yes</x:v>
      </x:c>
      <x:c r="P54" s="14" t="str">
        <x:v>PINE LABS PRIVATE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46118</x:v>
      </x:c>
    </x:row>
    <x:row r="55">
      <x:c r="A55" s="14" t="n">
        <x:v>62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NEFT-HDFCH00913518284-CORPAK</x:v>
      </x:c>
      <x:c r="H55" s="14" t="str"/>
      <x:c r="I55" s="14" t="str">
        <x:v>Receipt</x:v>
      </x:c>
      <x:c r="J55" s="17" t="n">
        <x:v>0</x:v>
      </x:c>
      <x:c r="K55" s="17" t="n">
        <x:v>38524</x:v>
      </x:c>
      <x:c r="L55" s="17" t="n">
        <x:v>38524</x:v>
      </x:c>
      <x:c r="M55" s="17" t="n">
        <x:v>185613</x:v>
      </x:c>
      <x:c r="N55" s="14" t="str">
        <x:v>Recurring Transaction</x:v>
      </x:c>
      <x:c r="O55" s="14" t="str">
        <x:v>Yes</x:v>
      </x:c>
      <x:c r="P55" s="14" t="str">
        <x:v>DIGITA-MUMBAI/ NEFT-HDFCH#-CORPAK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63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NEFT-NKGSH26096901712-GEBI PRODUCTS PRIVATE LIMITE</x:v>
      </x:c>
      <x:c r="H56" s="14" t="str"/>
      <x:c r="I56" s="14" t="str">
        <x:v>Receipt</x:v>
      </x:c>
      <x:c r="J56" s="17" t="n">
        <x:v>0</x:v>
      </x:c>
      <x:c r="K56" s="17" t="n">
        <x:v>15001</x:v>
      </x:c>
      <x:c r="L56" s="17" t="n">
        <x:v>15001</x:v>
      </x:c>
      <x:c r="M56" s="17" t="n">
        <x:v>200614</x:v>
      </x:c>
      <x:c r="N56" s="14" t="str">
        <x:v>Recurring Transaction</x:v>
      </x:c>
      <x:c r="O56" s="14" t="str">
        <x:v>Yes</x:v>
      </x:c>
      <x:c r="P56" s="14" t="str">
        <x:v>GEBI PRODUCTS PRIVATE LIMITE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64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EBANK:WIB/1502 EBANK:WIB/1502790855/Edfs</x:v>
      </x:c>
      <x:c r="H57" s="14" t="str"/>
      <x:c r="I57" s="14" t="str">
        <x:v>Payment</x:v>
      </x:c>
      <x:c r="J57" s="17" t="n">
        <x:v>198114</x:v>
      </x:c>
      <x:c r="K57" s="17" t="n">
        <x:v>0</x:v>
      </x:c>
      <x:c r="L57" s="17" t="n">
        <x:v>198114</x:v>
      </x:c>
      <x:c r="M57" s="17" t="n">
        <x:v>2500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65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NEFT-HDFCH00915259780-MOHANJI BHARAT WELFARE FOUND</x:v>
      </x:c>
      <x:c r="H58" s="14" t="str"/>
      <x:c r="I58" s="14" t="str">
        <x:v>Receipt</x:v>
      </x:c>
      <x:c r="J58" s="17" t="n">
        <x:v>0</x:v>
      </x:c>
      <x:c r="K58" s="17" t="n">
        <x:v>18448</x:v>
      </x:c>
      <x:c r="L58" s="17" t="n">
        <x:v>18448</x:v>
      </x:c>
      <x:c r="M58" s="17" t="n">
        <x:v>20948</x:v>
      </x:c>
      <x:c r="N58" s="14" t="str">
        <x:v>Recurring Transaction</x:v>
      </x:c>
      <x:c r="O58" s="14" t="str">
        <x:v>Yes</x:v>
      </x:c>
      <x:c r="P58" s="14" t="str">
        <x:v>MOHANJI BHARAT WELFARE FOUND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66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46119</x:v>
      </x:c>
      <x:c r="F59" s="15" t="n">
        <x:v>46119</x:v>
      </x:c>
      <x:c r="G59" s="16" t="str">
        <x:v>DIGITA-MUMBAI/ NEFT-YESAP60974165954-PhonePe Limited</x:v>
      </x:c>
      <x:c r="H59" s="14" t="str"/>
      <x:c r="I59" s="14" t="str">
        <x:v>Receipt</x:v>
      </x:c>
      <x:c r="J59" s="17" t="n">
        <x:v>0</x:v>
      </x:c>
      <x:c r="K59" s="17" t="n">
        <x:v>260044.42</x:v>
      </x:c>
      <x:c r="L59" s="17" t="n">
        <x:v>260044.42</x:v>
      </x:c>
      <x:c r="M59" s="17" t="n">
        <x:v>280992.42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46119</x:v>
      </x:c>
    </x:row>
    <x:row r="60">
      <x:c r="A60" s="14" t="n">
        <x:v>67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46119</x:v>
      </x:c>
      <x:c r="F60" s="15" t="n">
        <x:v>46119</x:v>
      </x:c>
      <x:c r="G60" s="16" t="str">
        <x:v>DIGITA-MUMBAI/ NEFT-AXNPN09743969962-PHONEPE LIMITED-PAYMENT AGGR</x:v>
      </x:c>
      <x:c r="H60" s="14" t="str"/>
      <x:c r="I60" s="14" t="str">
        <x:v>Receipt</x:v>
      </x:c>
      <x:c r="J60" s="17" t="n">
        <x:v>0</x:v>
      </x:c>
      <x:c r="K60" s="17" t="n">
        <x:v>55000.65</x:v>
      </x:c>
      <x:c r="L60" s="17" t="n">
        <x:v>55000.65</x:v>
      </x:c>
      <x:c r="M60" s="17" t="n">
        <x:v>335993.07</x:v>
      </x:c>
      <x:c r="N60" s="14" t="str">
        <x:v>Recurring Transaction</x:v>
      </x:c>
      <x:c r="O60" s="14" t="str">
        <x:v>Yes</x:v>
      </x:c>
      <x:c r="P60" s="14" t="str">
        <x:v>PHONEPE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46119</x:v>
      </x:c>
    </x:row>
    <x:row r="61">
      <x:c r="A61" s="14" t="n">
        <x:v>68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46119</x:v>
      </x:c>
      <x:c r="F61" s="15" t="n">
        <x:v>46119</x:v>
      </x:c>
      <x:c r="G61" s="16" t="str">
        <x:v>EBANK:WIB/1502 EBANK:WIB/1502821939/Edfs</x:v>
      </x:c>
      <x:c r="H61" s="14" t="str"/>
      <x:c r="I61" s="14" t="str">
        <x:v>Payment</x:v>
      </x:c>
      <x:c r="J61" s="17" t="n">
        <x:v>330493.07</x:v>
      </x:c>
      <x:c r="K61" s="17" t="n">
        <x:v>0</x:v>
      </x:c>
      <x:c r="L61" s="17" t="n">
        <x:v>330493.07</x:v>
      </x:c>
      <x:c r="M61" s="17" t="n">
        <x:v>5500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46119</x:v>
      </x:c>
    </x:row>
    <x:row r="62">
      <x:c r="A62" s="14" t="n">
        <x:v>69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46119</x:v>
      </x:c>
      <x:c r="F62" s="15" t="n">
        <x:v>46119</x:v>
      </x:c>
      <x:c r="G62" s="16" t="str">
        <x:v>UPI/8639137766 13776666 UPI/863913776666/06:48:44/UPI/surajdhanotra1@ibl/</x:v>
      </x:c>
      <x:c r="H62" s="14" t="str"/>
      <x:c r="I62" s="14" t="str">
        <x:v>Receipt</x:v>
      </x:c>
      <x:c r="J62" s="17" t="n">
        <x:v>0</x:v>
      </x:c>
      <x:c r="K62" s="17" t="n">
        <x:v>9000</x:v>
      </x:c>
      <x:c r="L62" s="17" t="n">
        <x:v>9000</x:v>
      </x:c>
      <x:c r="M62" s="17" t="n">
        <x:v>14500</x:v>
      </x:c>
      <x:c r="N62" s="14" t="str">
        <x:v>UPI; Recurring Transaction</x:v>
      </x:c>
      <x:c r="O62" s="14" t="str">
        <x:v>Yes</x:v>
      </x:c>
      <x:c r="P62" s="14" t="str">
        <x:v>SURAJDHANOTRAIBL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46119</x:v>
      </x:c>
    </x:row>
    <x:row r="63">
      <x:c r="A63" s="14" t="n">
        <x:v>70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46119</x:v>
      </x:c>
      <x:c r="F63" s="15" t="n">
        <x:v>46119</x:v>
      </x:c>
      <x:c r="G63" s="16" t="str">
        <x:v>DIGITA-MUMBAI/ NEFT-AXISCN1303901852-ONE MOBIKWIK SYSTEMS LIMITED</x:v>
      </x:c>
      <x:c r="H63" s="14" t="str"/>
      <x:c r="I63" s="14" t="str">
        <x:v>Receipt</x:v>
      </x:c>
      <x:c r="J63" s="17" t="n">
        <x:v>0</x:v>
      </x:c>
      <x:c r="K63" s="17" t="n">
        <x:v>23072</x:v>
      </x:c>
      <x:c r="L63" s="17" t="n">
        <x:v>23072</x:v>
      </x:c>
      <x:c r="M63" s="17" t="n">
        <x:v>37572</x:v>
      </x:c>
      <x:c r="N63" s="14" t="str">
        <x:v>Recurring Transaction</x:v>
      </x:c>
      <x:c r="O63" s="14" t="str">
        <x:v>Yes</x:v>
      </x:c>
      <x:c r="P63" s="14" t="str">
        <x:v>ONE MOBIKWIK SYSTEMS LIMITED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46119</x:v>
      </x:c>
    </x:row>
    <x:row r="64">
      <x:c r="A64" s="14" t="n">
        <x:v>71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46119</x:v>
      </x:c>
      <x:c r="F64" s="15" t="n">
        <x:v>46119</x:v>
      </x:c>
      <x:c r="G64" s="16" t="str">
        <x:v>DIGITA-MUMBAI/ NEFT-AXISCN1303985526-PINE LABS PRIVATE LIMITED-NO</x:v>
      </x:c>
      <x:c r="H64" s="14" t="str"/>
      <x:c r="I64" s="14" t="str">
        <x:v>Receipt</x:v>
      </x:c>
      <x:c r="J64" s="17" t="n">
        <x:v>0</x:v>
      </x:c>
      <x:c r="K64" s="17" t="n">
        <x:v>25110</x:v>
      </x:c>
      <x:c r="L64" s="17" t="n">
        <x:v>25110</x:v>
      </x:c>
      <x:c r="M64" s="17" t="n">
        <x:v>62682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46119</x:v>
      </x:c>
    </x:row>
    <x:row r="65">
      <x:c r="A65" s="14" t="n">
        <x:v>72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46119</x:v>
      </x:c>
      <x:c r="F65" s="15" t="n">
        <x:v>46119</x:v>
      </x:c>
      <x:c r="G65" s="16" t="str">
        <x:v>Charges for Charges for PORD Customer Payment :003566909942</x:v>
      </x:c>
      <x:c r="H65" s="14" t="str"/>
      <x:c r="I65" s="14" t="str">
        <x:v>Payment</x:v>
      </x:c>
      <x:c r="J65" s="17" t="n">
        <x:v>2.65</x:v>
      </x:c>
      <x:c r="K65" s="17" t="n">
        <x:v>0</x:v>
      </x:c>
      <x:c r="L65" s="17" t="n">
        <x:v>2.65</x:v>
      </x:c>
      <x:c r="M65" s="17" t="n">
        <x:v>62679.35</x:v>
      </x:c>
      <x:c r="N65" s="14" t="str">
        <x:v>Recurring Transaction</x:v>
      </x:c>
      <x:c r="O65" s="14" t="str">
        <x:v>Yes</x:v>
      </x:c>
      <x:c r="P65" s="14" t="str">
        <x:v>CHARGES FOR CHARGES FOR PORD CUSTOMER PA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46119</x:v>
      </x:c>
    </x:row>
    <x:row r="66">
      <x:c r="A66" s="14" t="n">
        <x:v>74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46119</x:v>
      </x:c>
      <x:c r="F66" s="15" t="n">
        <x:v>46119</x:v>
      </x:c>
      <x:c r="G66" s="16" t="str">
        <x:v>DIGITA-MUMBAI/ NEFT-HDFCH00916196159-MARK LUBES PRIVATE LIMITED</x:v>
      </x:c>
      <x:c r="H66" s="14" t="str"/>
      <x:c r="I66" s="14" t="str">
        <x:v>Receipt</x:v>
      </x:c>
      <x:c r="J66" s="17" t="n">
        <x:v>0</x:v>
      </x:c>
      <x:c r="K66" s="17" t="n">
        <x:v>3617</x:v>
      </x:c>
      <x:c r="L66" s="17" t="n">
        <x:v>3617</x:v>
      </x:c>
      <x:c r="M66" s="17" t="n">
        <x:v>62296.35</x:v>
      </x:c>
      <x:c r="N66" s="14" t="str">
        <x:v>Recurring Transaction</x:v>
      </x:c>
      <x:c r="O66" s="14" t="str">
        <x:v>Yes</x:v>
      </x:c>
      <x:c r="P66" s="14" t="str">
        <x:v>MARK LUBES PRIVATE LIMITED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46119</x:v>
      </x:c>
    </x:row>
    <x:row r="67">
      <x:c r="A67" s="14" t="n">
        <x:v>75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67" s="14" t="str"/>
      <x:c r="I67" s="14" t="str">
        <x:v>Receipt</x:v>
      </x:c>
      <x:c r="J67" s="17" t="n">
        <x:v>0</x:v>
      </x:c>
      <x:c r="K67" s="17" t="n">
        <x:v>114500</x:v>
      </x:c>
      <x:c r="L67" s="17" t="n">
        <x:v>114500</x:v>
      </x:c>
      <x:c r="M67" s="17" t="n">
        <x:v>176796.35</x:v>
      </x:c>
      <x:c r="N67" s="14" t="str">
        <x:v>Cash; High Transaction; Recurring Transaction</x:v>
      </x:c>
      <x:c r="O67" s="14" t="str">
        <x:v>Yes</x:v>
      </x:c>
      <x:c r="P67" s="14" t="str">
        <x:v>PAGE TOTAL   CR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78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NEFT-KKBKH26097664663-ATLAS COMMODITIES PRIVATE LI</x:v>
      </x:c>
      <x:c r="H68" s="14" t="str"/>
      <x:c r="I68" s="14" t="str">
        <x:v>Receipt</x:v>
      </x:c>
      <x:c r="J68" s="17" t="n">
        <x:v>0</x:v>
      </x:c>
      <x:c r="K68" s="17" t="n">
        <x:v>3405</x:v>
      </x:c>
      <x:c r="L68" s="17" t="n">
        <x:v>3405</x:v>
      </x:c>
      <x:c r="M68" s="17" t="n">
        <x:v>80664.35</x:v>
      </x:c>
      <x:c r="N68" s="14" t="str">
        <x:v>Recurring Transaction</x:v>
      </x:c>
      <x:c r="O68" s="14" t="str">
        <x:v>Yes</x:v>
      </x:c>
      <x:c r="P68" s="14" t="str">
        <x:v>ATLAS COMMODITIES PRIVATE LI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79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DIGITA-MUMBAI/ https://cbdrpt101.bankofbaroda.co.in:22000/finbranch/arjspmorph/INFENG/tran_rpt.jsp?... 04-05-2026 NEFT-NKGSH26097920270-GEBI PRODUCTS PRIVATE LIMITE</x:v>
      </x:c>
      <x:c r="H69" s="14" t="str"/>
      <x:c r="I69" s="14" t="str">
        <x:v>Receipt</x:v>
      </x:c>
      <x:c r="J69" s="17" t="n">
        <x:v>0</x:v>
      </x:c>
      <x:c r="K69" s="17" t="n">
        <x:v>2618</x:v>
      </x:c>
      <x:c r="L69" s="17" t="n">
        <x:v>2618</x:v>
      </x:c>
      <x:c r="M69" s="17" t="n">
        <x:v>83282.35</x:v>
      </x:c>
      <x:c r="N69" s="14" t="str">
        <x:v>Recurring Transaction</x:v>
      </x:c>
      <x:c r="O69" s="14" t="str">
        <x:v>Yes</x:v>
      </x:c>
      <x:c r="P69" s="14" t="str">
        <x:v>CBDRPTBANKOFBARODACOIN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80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NEFT-HDFCH00917822677-SL CORBOX PRIVATE LIMITED</x:v>
      </x:c>
      <x:c r="H70" s="14" t="str"/>
      <x:c r="I70" s="14" t="str">
        <x:v>Receipt</x:v>
      </x:c>
      <x:c r="J70" s="17" t="n">
        <x:v>0</x:v>
      </x:c>
      <x:c r="K70" s="17" t="n">
        <x:v>56800</x:v>
      </x:c>
      <x:c r="L70" s="17" t="n">
        <x:v>56800</x:v>
      </x:c>
      <x:c r="M70" s="17" t="n">
        <x:v>140082.35</x:v>
      </x:c>
      <x:c r="N70" s="14" t="str">
        <x:v>Recurring Transaction</x:v>
      </x:c>
      <x:c r="O70" s="14" t="str">
        <x:v>Yes</x:v>
      </x:c>
      <x:c r="P70" s="14" t="str">
        <x:v>SL CORBOX PRIVATE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81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EBANK:WIB/1502 EBANK:WIB/1502986421/Edfs</x:v>
      </x:c>
      <x:c r="H71" s="14" t="str"/>
      <x:c r="I71" s="14" t="str">
        <x:v>Payment</x:v>
      </x:c>
      <x:c r="J71" s="17" t="n">
        <x:v>137582.35</x:v>
      </x:c>
      <x:c r="K71" s="17" t="n">
        <x:v>0</x:v>
      </x:c>
      <x:c r="L71" s="17" t="n">
        <x:v>137582.35</x:v>
      </x:c>
      <x:c r="M71" s="17" t="n">
        <x:v>2500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82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NEFT-IN42609750724469-VINAYAK OIL INDUSTRIES</x:v>
      </x:c>
      <x:c r="H72" s="14" t="str"/>
      <x:c r="I72" s="14" t="str">
        <x:v>Receipt</x:v>
      </x:c>
      <x:c r="J72" s="17" t="n">
        <x:v>0</x:v>
      </x:c>
      <x:c r="K72" s="17" t="n">
        <x:v>37413</x:v>
      </x:c>
      <x:c r="L72" s="17" t="n">
        <x:v>37413</x:v>
      </x:c>
      <x:c r="M72" s="17" t="n">
        <x:v>39913</x:v>
      </x:c>
      <x:c r="N72" s="14" t="str">
        <x:v>Recurring Transaction</x:v>
      </x:c>
      <x:c r="O72" s="14" t="str">
        <x:v>Yes</x:v>
      </x:c>
      <x:c r="P72" s="14" t="str">
        <x:v>VINAYAK OIL INDUSTRIES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83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46120</x:v>
      </x:c>
      <x:c r="F73" s="15" t="n">
        <x:v>46120</x:v>
      </x:c>
      <x:c r="G73" s="16" t="str">
        <x:v>DIGITA-MUMBAI/ NEFT-YESAP60983679319-PhonePe Limited</x:v>
      </x:c>
      <x:c r="H73" s="14" t="str"/>
      <x:c r="I73" s="14" t="str">
        <x:v>Receipt</x:v>
      </x:c>
      <x:c r="J73" s="17" t="n">
        <x:v>0</x:v>
      </x:c>
      <x:c r="K73" s="17" t="n">
        <x:v>243684</x:v>
      </x:c>
      <x:c r="L73" s="17" t="n">
        <x:v>243684</x:v>
      </x:c>
      <x:c r="M73" s="17" t="n">
        <x:v>283597</x:v>
      </x:c>
      <x:c r="N73" s="14" t="str">
        <x:v>High Transaction; Recurring Transaction</x:v>
      </x:c>
      <x:c r="O73" s="14" t="str">
        <x:v>Yes</x:v>
      </x:c>
      <x:c r="P73" s="14" t="str">
        <x:v>PHONEPE LIMITED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46120</x:v>
      </x:c>
    </x:row>
    <x:row r="74">
      <x:c r="A74" s="14" t="n">
        <x:v>85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46120</x:v>
      </x:c>
      <x:c r="F74" s="15" t="n">
        <x:v>46120</x:v>
      </x:c>
      <x:c r="G74" s="16" t="str">
        <x:v>DIGITA-MUMBAI/ NEFT-AXNPN09852795681-PHONEPE LIMITED-PAYMENT AGGR</x:v>
      </x:c>
      <x:c r="H74" s="14" t="str"/>
      <x:c r="I74" s="14" t="str">
        <x:v>Receipt</x:v>
      </x:c>
      <x:c r="J74" s="17" t="n">
        <x:v>0</x:v>
      </x:c>
      <x:c r="K74" s="17" t="n">
        <x:v>47737</x:v>
      </x:c>
      <x:c r="L74" s="17" t="n">
        <x:v>47737</x:v>
      </x:c>
      <x:c r="M74" s="17" t="n">
        <x:v>294249</x:v>
      </x:c>
      <x:c r="N74" s="14" t="str">
        <x:v>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46120</x:v>
      </x:c>
    </x:row>
    <x:row r="75">
      <x:c r="A75" s="14" t="n">
        <x:v>87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46120</x:v>
      </x:c>
      <x:c r="F75" s="15" t="n">
        <x:v>46120</x:v>
      </x:c>
      <x:c r="G75" s="16" t="str">
        <x:v>DIGITA-MUMBAI/ NEFT-AXISCN1305078531-ONE MOBIKWIK SYSTEMS LIMITED</x:v>
      </x:c>
      <x:c r="H75" s="14" t="str"/>
      <x:c r="I75" s="14" t="str">
        <x:v>Receipt</x:v>
      </x:c>
      <x:c r="J75" s="17" t="n">
        <x:v>0</x:v>
      </x:c>
      <x:c r="K75" s="17" t="n">
        <x:v>13338</x:v>
      </x:c>
      <x:c r="L75" s="17" t="n">
        <x:v>13338</x:v>
      </x:c>
      <x:c r="M75" s="17" t="n">
        <x:v>307563</x:v>
      </x:c>
      <x:c r="N75" s="14" t="str">
        <x:v>Recurring Transaction</x:v>
      </x:c>
      <x:c r="O75" s="14" t="str">
        <x:v>Yes</x:v>
      </x:c>
      <x:c r="P75" s="14" t="str">
        <x:v>ONE MOBIKWIK SYSTEMS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46120</x:v>
      </x:c>
    </x:row>
    <x:row r="76">
      <x:c r="A76" s="14" t="n">
        <x:v>88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46120</x:v>
      </x:c>
      <x:c r="F76" s="15" t="n">
        <x:v>46120</x:v>
      </x:c>
      <x:c r="G76" s="16" t="str">
        <x:v>DIGITA-MUMBAI/ NEFT-AXISCN1305183876-PINE LABS PRIVATE LIMITED-NO</x:v>
      </x:c>
      <x:c r="H76" s="14" t="str"/>
      <x:c r="I76" s="14" t="str">
        <x:v>Receipt</x:v>
      </x:c>
      <x:c r="J76" s="17" t="n">
        <x:v>0</x:v>
      </x:c>
      <x:c r="K76" s="17" t="n">
        <x:v>76050</x:v>
      </x:c>
      <x:c r="L76" s="17" t="n">
        <x:v>76050</x:v>
      </x:c>
      <x:c r="M76" s="17" t="n">
        <x:v>383613</x:v>
      </x:c>
      <x:c r="N76" s="14" t="str">
        <x:v>Recurring Transaction</x:v>
      </x:c>
      <x:c r="O76" s="14" t="str">
        <x:v>Yes</x:v>
      </x:c>
      <x:c r="P76" s="14" t="str">
        <x:v>PINE LABS PRIVATE LIMITED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46120</x:v>
      </x:c>
    </x:row>
    <x:row r="77">
      <x:c r="A77" s="14" t="n">
        <x:v>89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46120</x:v>
      </x:c>
      <x:c r="F77" s="15" t="n">
        <x:v>46120</x:v>
      </x:c>
      <x:c r="G77" s="16" t="str">
        <x:v>EBANK:WIB/1503 EBANK:WIB/1503050809/Edfs</x:v>
      </x:c>
      <x:c r="H77" s="14" t="str"/>
      <x:c r="I77" s="14" t="str">
        <x:v>Payment</x:v>
      </x:c>
      <x:c r="J77" s="17" t="n">
        <x:v>381113</x:v>
      </x:c>
      <x:c r="K77" s="17" t="n">
        <x:v>0</x:v>
      </x:c>
      <x:c r="L77" s="17" t="n">
        <x:v>381113</x:v>
      </x:c>
      <x:c r="M77" s="17" t="n">
        <x:v>2500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46120</x:v>
      </x:c>
    </x:row>
    <x:row r="78">
      <x:c r="A78" s="14" t="n">
        <x:v>90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46120</x:v>
      </x:c>
      <x:c r="F78" s="15" t="n">
        <x:v>46120</x:v>
      </x:c>
      <x:c r="G78" s="16" t="str">
        <x:v>DIGITA-MUMBAI/ IMPS/P2A/609812907682/OMSANITRANSPORT/Diesel Bill</x:v>
      </x:c>
      <x:c r="H78" s="14" t="str"/>
      <x:c r="I78" s="14" t="str">
        <x:v>Receipt</x:v>
      </x:c>
      <x:c r="J78" s="17" t="n">
        <x:v>0</x:v>
      </x:c>
      <x:c r="K78" s="17" t="n">
        <x:v>40356</x:v>
      </x:c>
      <x:c r="L78" s="17" t="n">
        <x:v>40356</x:v>
      </x:c>
      <x:c r="M78" s="17" t="n">
        <x:v>42856</x:v>
      </x:c>
      <x:c r="N78" s="14" t="str">
        <x:v>Recurring Transaction</x:v>
      </x:c>
      <x:c r="O78" s="14" t="str">
        <x:v>Yes</x:v>
      </x:c>
      <x:c r="P78" s="14" t="str">
        <x:v>OMSANITRANSPORT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46120</x:v>
      </x:c>
    </x:row>
    <x:row r="79">
      <x:c r="A79" s="14" t="n">
        <x:v>91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46120</x:v>
      </x:c>
      <x:c r="F79" s="15" t="n">
        <x:v>46120</x:v>
      </x:c>
      <x:c r="G79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79" s="14" t="str"/>
      <x:c r="I79" s="14" t="str">
        <x:v>Receipt</x:v>
      </x:c>
      <x:c r="J79" s="17" t="n">
        <x:v>0</x:v>
      </x:c>
      <x:c r="K79" s="17" t="n">
        <x:v>1906</x:v>
      </x:c>
      <x:c r="L79" s="17" t="n">
        <x:v>1906</x:v>
      </x:c>
      <x:c r="M79" s="17" t="n">
        <x:v>44762</x:v>
      </x:c>
      <x:c r="N79" s="14" t="str">
        <x:v>Recurring Transaction</x:v>
      </x:c>
      <x:c r="O79" s="14" t="str">
        <x:v>Yes</x:v>
      </x:c>
      <x:c r="P79" s="14" t="str">
        <x:v>PAGE TOTAL   CR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46120</x:v>
      </x:c>
    </x:row>
    <x:row r="80">
      <x:c r="A80" s="14" t="n">
        <x:v>92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46120</x:v>
      </x:c>
      <x:c r="F80" s="15" t="n">
        <x:v>46120</x:v>
      </x:c>
      <x:c r="G80" s="16" t="str">
        <x:v>DIGITA-MUMBAI/ NEFT-IDIBH09837346562-JAI AMBE TRANSPORT</x:v>
      </x:c>
      <x:c r="H80" s="14" t="str"/>
      <x:c r="I80" s="14" t="str">
        <x:v>Receipt</x:v>
      </x:c>
      <x:c r="J80" s="17" t="n">
        <x:v>0</x:v>
      </x:c>
      <x:c r="K80" s="17" t="n">
        <x:v>3050</x:v>
      </x:c>
      <x:c r="L80" s="17" t="n">
        <x:v>3050</x:v>
      </x:c>
      <x:c r="M80" s="17" t="n">
        <x:v>47812</x:v>
      </x:c>
      <x:c r="N80" s="14" t="str">
        <x:v>Recurring Transaction</x:v>
      </x:c>
      <x:c r="O80" s="14" t="str">
        <x:v>Yes</x:v>
      </x:c>
      <x:c r="P80" s="14" t="str">
        <x:v>JAI AMBE TRANSPORT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46120</x:v>
      </x:c>
    </x:row>
    <x:row r="81">
      <x:c r="A81" s="14" t="n">
        <x:v>93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46120</x:v>
      </x:c>
      <x:c r="F81" s="15" t="n">
        <x:v>46120</x:v>
      </x:c>
      <x:c r="G81" s="16" t="str">
        <x:v>DIGITA-MUMBAI/ IMPS/P2A/609818576145/SHREE GANESH EN/diselVVS910</x:v>
      </x:c>
      <x:c r="H81" s="14" t="str"/>
      <x:c r="I81" s="14" t="str">
        <x:v>Receipt</x:v>
      </x:c>
      <x:c r="J81" s="17" t="n">
        <x:v>0</x:v>
      </x:c>
      <x:c r="K81" s="17" t="n">
        <x:v>63308</x:v>
      </x:c>
      <x:c r="L81" s="17" t="n">
        <x:v>63308</x:v>
      </x:c>
      <x:c r="M81" s="17" t="n">
        <x:v>111120</x:v>
      </x:c>
      <x:c r="N81" s="14" t="str">
        <x:v>Recurring Transaction</x:v>
      </x:c>
      <x:c r="O81" s="14" t="str">
        <x:v>Yes</x:v>
      </x:c>
      <x:c r="P81" s="14" t="str">
        <x:v>SHREE GANESH EN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46120</x:v>
      </x:c>
    </x:row>
    <x:row r="82">
      <x:c r="A82" s="14" t="n">
        <x:v>94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46120</x:v>
      </x:c>
      <x:c r="F82" s="15" t="n">
        <x:v>46120</x:v>
      </x:c>
      <x:c r="G82" s="16" t="str">
        <x:v>EBANK:WIB/1503 EBANK:WIB/1503170712/Edfs</x:v>
      </x:c>
      <x:c r="H82" s="14" t="str"/>
      <x:c r="I82" s="14" t="str">
        <x:v>Payment</x:v>
      </x:c>
      <x:c r="J82" s="17" t="n">
        <x:v>108620</x:v>
      </x:c>
      <x:c r="K82" s="17" t="n">
        <x:v>0</x:v>
      </x:c>
      <x:c r="L82" s="17" t="n">
        <x:v>108620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46120</x:v>
      </x:c>
    </x:row>
    <x:row r="83">
      <x:c r="A83" s="14" t="n">
        <x:v>95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46121</x:v>
      </x:c>
      <x:c r="F83" s="15" t="n">
        <x:v>46121</x:v>
      </x:c>
      <x:c r="G83" s="16" t="str">
        <x:v>DIGITA-MUMBAI/ NEFT-YESAP60993677587-PhonePe Limited</x:v>
      </x:c>
      <x:c r="H83" s="14" t="str"/>
      <x:c r="I83" s="14" t="str">
        <x:v>Receipt</x:v>
      </x:c>
      <x:c r="J83" s="17" t="n">
        <x:v>0</x:v>
      </x:c>
      <x:c r="K83" s="17" t="n">
        <x:v>170522</x:v>
      </x:c>
      <x:c r="L83" s="17" t="n">
        <x:v>170522</x:v>
      </x:c>
      <x:c r="M83" s="17" t="n">
        <x:v>173022</x:v>
      </x:c>
      <x:c r="N83" s="14" t="str">
        <x:v>High Transaction; Recurring Transaction</x:v>
      </x:c>
      <x:c r="O83" s="14" t="str">
        <x:v>Yes</x:v>
      </x:c>
      <x:c r="P83" s="14" t="str">
        <x:v>PHONEPE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46121</x:v>
      </x:c>
    </x:row>
    <x:row r="84">
      <x:c r="A84" s="14" t="n">
        <x:v>96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46121</x:v>
      </x:c>
      <x:c r="F84" s="15" t="n">
        <x:v>46121</x:v>
      </x:c>
      <x:c r="G84" s="16" t="str">
        <x:v>DIGITA-MUMBAI/ NEFT-AXNPN09961131765-PHONEPE LIMITED-PAYMENT AGGR</x:v>
      </x:c>
      <x:c r="H84" s="14" t="str"/>
      <x:c r="I84" s="14" t="str">
        <x:v>Receipt</x:v>
      </x:c>
      <x:c r="J84" s="17" t="n">
        <x:v>0</x:v>
      </x:c>
      <x:c r="K84" s="17" t="n">
        <x:v>49090</x:v>
      </x:c>
      <x:c r="L84" s="17" t="n">
        <x:v>49090</x:v>
      </x:c>
      <x:c r="M84" s="17" t="n">
        <x:v>222112</x:v>
      </x:c>
      <x:c r="N84" s="14" t="str">
        <x:v>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46121</x:v>
      </x:c>
    </x:row>
    <x:row r="85">
      <x:c r="A85" s="14" t="n">
        <x:v>97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46121</x:v>
      </x:c>
      <x:c r="F85" s="15" t="n">
        <x:v>46121</x:v>
      </x:c>
      <x:c r="G85" s="16" t="str">
        <x:v>DIGITA-MUMBAI/ NEFT-AXISCN1306324510-ONE MOBIKWIK SYSTEMS LIMITED</x:v>
      </x:c>
      <x:c r="H85" s="14" t="str"/>
      <x:c r="I85" s="14" t="str">
        <x:v>Receipt</x:v>
      </x:c>
      <x:c r="J85" s="17" t="n">
        <x:v>0</x:v>
      </x:c>
      <x:c r="K85" s="17" t="n">
        <x:v>15270</x:v>
      </x:c>
      <x:c r="L85" s="17" t="n">
        <x:v>15270</x:v>
      </x:c>
      <x:c r="M85" s="17" t="n">
        <x:v>237382</x:v>
      </x:c>
      <x:c r="N85" s="14" t="str">
        <x:v>Recurring Transaction</x:v>
      </x:c>
      <x:c r="O85" s="14" t="str">
        <x:v>Yes</x:v>
      </x:c>
      <x:c r="P85" s="14" t="str">
        <x:v>ONE MOBIKWIK SYSTEMS LIMITED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46121</x:v>
      </x:c>
    </x:row>
    <x:row r="86">
      <x:c r="A86" s="14" t="n">
        <x:v>98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46121</x:v>
      </x:c>
      <x:c r="F86" s="15" t="n">
        <x:v>46121</x:v>
      </x:c>
      <x:c r="G86" s="16" t="str">
        <x:v>DIGITA-MUMBAI/ NEFT-AXISCN1306426056-PINE LABS PRIVATE LIMITED-NO</x:v>
      </x:c>
      <x:c r="H86" s="14" t="str"/>
      <x:c r="I86" s="14" t="str">
        <x:v>Receipt</x:v>
      </x:c>
      <x:c r="J86" s="17" t="n">
        <x:v>0</x:v>
      </x:c>
      <x:c r="K86" s="17" t="n">
        <x:v>87897</x:v>
      </x:c>
      <x:c r="L86" s="17" t="n">
        <x:v>87897</x:v>
      </x:c>
      <x:c r="M86" s="17" t="n">
        <x:v>325279</x:v>
      </x:c>
      <x:c r="N86" s="14" t="str">
        <x:v>Recurring Transaction</x:v>
      </x:c>
      <x:c r="O86" s="14" t="str">
        <x:v>Yes</x:v>
      </x:c>
      <x:c r="P86" s="14" t="str">
        <x:v>PINE LABS PRIVATE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46121</x:v>
      </x:c>
    </x:row>
    <x:row r="87">
      <x:c r="A87" s="14" t="n">
        <x:v>99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46121</x:v>
      </x:c>
      <x:c r="F87" s="15" t="n">
        <x:v>46121</x:v>
      </x:c>
      <x:c r="G87" s="16" t="str">
        <x:v>DIGITA-MUMBAI/ NEFT-KKBKH26099766302-VENKTESHWAR INDUSTRIAL CORPO</x:v>
      </x:c>
      <x:c r="H87" s="14" t="str"/>
      <x:c r="I87" s="14" t="str">
        <x:v>Receipt</x:v>
      </x:c>
      <x:c r="J87" s="17" t="n">
        <x:v>0</x:v>
      </x:c>
      <x:c r="K87" s="17" t="n">
        <x:v>10000</x:v>
      </x:c>
      <x:c r="L87" s="17" t="n">
        <x:v>10000</x:v>
      </x:c>
      <x:c r="M87" s="17" t="n">
        <x:v>335279</x:v>
      </x:c>
      <x:c r="N87" s="14" t="str">
        <x:v>Recurring Transaction</x:v>
      </x:c>
      <x:c r="O87" s="14" t="str">
        <x:v>Yes</x:v>
      </x:c>
      <x:c r="P87" s="14" t="str">
        <x:v>VENKTESHWAR INDUSTRIAL CORPO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46121</x:v>
      </x:c>
    </x:row>
    <x:row r="88">
      <x:c r="A88" s="14" t="n">
        <x:v>100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46121</x:v>
      </x:c>
      <x:c r="F88" s="15" t="n">
        <x:v>46121</x:v>
      </x:c>
      <x:c r="G88" s="16" t="str">
        <x:v>DIGITA-MUMBAI/ NEFT-NKGSH26099959094-GEBI PRODUCTS PRIVATE LIMITE</x:v>
      </x:c>
      <x:c r="H88" s="14" t="str"/>
      <x:c r="I88" s="14" t="str">
        <x:v>Receipt</x:v>
      </x:c>
      <x:c r="J88" s="17" t="n">
        <x:v>0</x:v>
      </x:c>
      <x:c r="K88" s="17" t="n">
        <x:v>2598</x:v>
      </x:c>
      <x:c r="L88" s="17" t="n">
        <x:v>2598</x:v>
      </x:c>
      <x:c r="M88" s="17" t="n">
        <x:v>337877</x:v>
      </x:c>
      <x:c r="N88" s="14" t="str">
        <x:v>Recurring Transaction</x:v>
      </x:c>
      <x:c r="O88" s="14" t="str">
        <x:v>Yes</x:v>
      </x:c>
      <x:c r="P88" s="14" t="str">
        <x:v>GEBI PRODUCTS PRIVATE LIMITE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46121</x:v>
      </x:c>
    </x:row>
    <x:row r="89">
      <x:c r="A89" s="14" t="n">
        <x:v>101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46121</x:v>
      </x:c>
      <x:c r="F89" s="15" t="n">
        <x:v>46121</x:v>
      </x:c>
      <x:c r="G89" s="16" t="str">
        <x:v>DIGITA-MUMBAI/ IMPS/P2A/609918190676/VAKAS TEMPO SER/IMPSCNB9199</x:v>
      </x:c>
      <x:c r="H89" s="14" t="str"/>
      <x:c r="I89" s="14" t="str">
        <x:v>Receipt</x:v>
      </x:c>
      <x:c r="J89" s="17" t="n">
        <x:v>0</x:v>
      </x:c>
      <x:c r="K89" s="17" t="n">
        <x:v>44741</x:v>
      </x:c>
      <x:c r="L89" s="17" t="n">
        <x:v>44741</x:v>
      </x:c>
      <x:c r="M89" s="17" t="n">
        <x:v>382618</x:v>
      </x:c>
      <x:c r="N89" s="14" t="str">
        <x:v>Recurring Transaction</x:v>
      </x:c>
      <x:c r="O89" s="14" t="str">
        <x:v>Yes</x:v>
      </x:c>
      <x:c r="P89" s="14" t="str">
        <x:v>VAKAS TEMPO SER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46121</x:v>
      </x:c>
    </x:row>
    <x:row r="90">
      <x:c r="A90" s="14" t="n">
        <x:v>102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46121</x:v>
      </x:c>
      <x:c r="F90" s="15" t="n">
        <x:v>46121</x:v>
      </x:c>
      <x:c r="G90" s="16" t="str">
        <x:v>EBANK:WIB/1503 EBANK:WIB/1503311707/Edfs</x:v>
      </x:c>
      <x:c r="H90" s="14" t="str"/>
      <x:c r="I90" s="14" t="str">
        <x:v>Payment</x:v>
      </x:c>
      <x:c r="J90" s="17" t="n">
        <x:v>380118</x:v>
      </x:c>
      <x:c r="K90" s="17" t="n">
        <x:v>0</x:v>
      </x:c>
      <x:c r="L90" s="17" t="n">
        <x:v>380118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46121</x:v>
      </x:c>
    </x:row>
    <x:row r="91">
      <x:c r="A91" s="14" t="n">
        <x:v>103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46121</x:v>
      </x:c>
      <x:c r="F91" s="15" t="n">
        <x:v>46121</x:v>
      </x:c>
      <x:c r="G91" s="16" t="str">
        <x:v>DIGITA-MUMBAI/ https://cbdrpt101.bankofbaroda.co.in:22000/finbranch/arjspmorph/INFENG/tran_rpt.jsp?... 04-05-2026 NEFT-HDFCH00925247332-KAVITA ENTERPRISES</x:v>
      </x:c>
      <x:c r="H91" s="14" t="str"/>
      <x:c r="I91" s="14" t="str">
        <x:v>Receipt</x:v>
      </x:c>
      <x:c r="J91" s="17" t="n">
        <x:v>0</x:v>
      </x:c>
      <x:c r="K91" s="17" t="n">
        <x:v>63308</x:v>
      </x:c>
      <x:c r="L91" s="17" t="n">
        <x:v>63308</x:v>
      </x:c>
      <x:c r="M91" s="17" t="n">
        <x:v>65808</x:v>
      </x:c>
      <x:c r="N91" s="14" t="str">
        <x:v>Recurring Transaction</x:v>
      </x:c>
      <x:c r="O91" s="14" t="str">
        <x:v>Yes</x:v>
      </x:c>
      <x:c r="P91" s="14" t="str">
        <x:v>CBDRPTBANKOFBARODACOIN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46121</x:v>
      </x:c>
    </x:row>
    <x:row r="92">
      <x:c r="A92" s="14" t="n">
        <x:v>104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46122</x:v>
      </x:c>
      <x:c r="F92" s="15" t="n">
        <x:v>46122</x:v>
      </x:c>
      <x:c r="G92" s="16" t="str">
        <x:v>DIGITA-MUMBAI/ NEFT-YESAP61002547485-PhonePe Limited</x:v>
      </x:c>
      <x:c r="H92" s="14" t="str"/>
      <x:c r="I92" s="14" t="str">
        <x:v>Receipt</x:v>
      </x:c>
      <x:c r="J92" s="17" t="n">
        <x:v>0</x:v>
      </x:c>
      <x:c r="K92" s="17" t="n">
        <x:v>310276</x:v>
      </x:c>
      <x:c r="L92" s="17" t="n">
        <x:v>310276</x:v>
      </x:c>
      <x:c r="M92" s="17" t="n">
        <x:v>376084</x:v>
      </x:c>
      <x:c r="N92" s="14" t="str">
        <x:v>High Transaction; Recurring Transaction</x:v>
      </x:c>
      <x:c r="O92" s="14" t="str">
        <x:v>Yes</x:v>
      </x:c>
      <x:c r="P92" s="14" t="str">
        <x:v>PHONEPE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46122</x:v>
      </x:c>
    </x:row>
    <x:row r="93">
      <x:c r="A93" s="14" t="n">
        <x:v>105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46122</x:v>
      </x:c>
      <x:c r="F93" s="15" t="n">
        <x:v>46122</x:v>
      </x:c>
      <x:c r="G93" s="16" t="str">
        <x:v>DIGITA-MUMBAI/ NEFT-AXNPN10069579474-PHONEPE LIMITED-PAYMENT AGGR</x:v>
      </x:c>
      <x:c r="H93" s="14" t="str"/>
      <x:c r="I93" s="14" t="str">
        <x:v>Receipt</x:v>
      </x:c>
      <x:c r="J93" s="17" t="n">
        <x:v>0</x:v>
      </x:c>
      <x:c r="K93" s="17" t="n">
        <x:v>59415</x:v>
      </x:c>
      <x:c r="L93" s="17" t="n">
        <x:v>59415</x:v>
      </x:c>
      <x:c r="M93" s="17" t="n">
        <x:v>435499</x:v>
      </x:c>
      <x:c r="N93" s="14" t="str">
        <x:v>Recurring Transaction</x:v>
      </x:c>
      <x:c r="O93" s="14" t="str">
        <x:v>Yes</x:v>
      </x:c>
      <x:c r="P93" s="14" t="str">
        <x:v>PHONEPE LIMITED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46122</x:v>
      </x:c>
    </x:row>
    <x:row r="94">
      <x:c r="A94" s="14" t="n">
        <x:v>106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46122</x:v>
      </x:c>
      <x:c r="F94" s="15" t="n">
        <x:v>46122</x:v>
      </x:c>
      <x:c r="G94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94" s="14" t="str"/>
      <x:c r="I94" s="14" t="str">
        <x:v>Payment</x:v>
      </x:c>
      <x:c r="J94" s="17" t="n">
        <x:v>432999</x:v>
      </x:c>
      <x:c r="K94" s="17" t="n">
        <x:v>0</x:v>
      </x:c>
      <x:c r="L94" s="17" t="n">
        <x:v>432999</x:v>
      </x:c>
      <x:c r="M94" s="17" t="n">
        <x:v>2500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46122</x:v>
      </x:c>
    </x:row>
    <x:row r="95">
      <x:c r="A95" s="14" t="n">
        <x:v>107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46122</x:v>
      </x:c>
      <x:c r="F95" s="15" t="n">
        <x:v>46122</x:v>
      </x:c>
      <x:c r="G95" s="16" t="str">
        <x:v>DIGITA-MUMBAI/ NEFT-AXISCN1307461851-ONE MOBIKWIK SYSTEMS LIMITED</x:v>
      </x:c>
      <x:c r="H95" s="14" t="str"/>
      <x:c r="I95" s="14" t="str">
        <x:v>Receipt</x:v>
      </x:c>
      <x:c r="J95" s="17" t="n">
        <x:v>0</x:v>
      </x:c>
      <x:c r="K95" s="17" t="n">
        <x:v>23400</x:v>
      </x:c>
      <x:c r="L95" s="17" t="n">
        <x:v>23400</x:v>
      </x:c>
      <x:c r="M95" s="17" t="n">
        <x:v>25900</x:v>
      </x:c>
      <x:c r="N95" s="14" t="str">
        <x:v>Recurring Transaction</x:v>
      </x:c>
      <x:c r="O95" s="14" t="str">
        <x:v>Yes</x:v>
      </x:c>
      <x:c r="P95" s="14" t="str">
        <x:v>ONE MOBIKWIK SYSTEMS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46122</x:v>
      </x:c>
    </x:row>
    <x:row r="96">
      <x:c r="A96" s="14" t="n">
        <x:v>108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46122</x:v>
      </x:c>
      <x:c r="F96" s="15" t="n">
        <x:v>46122</x:v>
      </x:c>
      <x:c r="G96" s="16" t="str">
        <x:v>UPI/7501693995 69399505 UPI/750169399505/08:58:54/UPI/surajdhanotra1@ibl/</x:v>
      </x:c>
      <x:c r="H96" s="14" t="str"/>
      <x:c r="I96" s="14" t="str">
        <x:v>Receipt</x:v>
      </x:c>
      <x:c r="J96" s="17" t="n">
        <x:v>0</x:v>
      </x:c>
      <x:c r="K96" s="17" t="n">
        <x:v>3165</x:v>
      </x:c>
      <x:c r="L96" s="17" t="n">
        <x:v>3165</x:v>
      </x:c>
      <x:c r="M96" s="17" t="n">
        <x:v>29065</x:v>
      </x:c>
      <x:c r="N96" s="14" t="str">
        <x:v>UPI; Recurring Transaction</x:v>
      </x:c>
      <x:c r="O96" s="14" t="str">
        <x:v>Yes</x:v>
      </x:c>
      <x:c r="P96" s="14" t="str">
        <x:v>SURAJDHANOTRAIBL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46122</x:v>
      </x:c>
    </x:row>
    <x:row r="97">
      <x:c r="A97" s="14" t="n">
        <x:v>109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46122</x:v>
      </x:c>
      <x:c r="F97" s="15" t="n">
        <x:v>46122</x:v>
      </x:c>
      <x:c r="G97" s="16" t="str">
        <x:v>DIGITA-MUMBAI/ NEFT-AXISCN1307585087-PINE LABS PRIVATE LIMITED-NO</x:v>
      </x:c>
      <x:c r="H97" s="14" t="str"/>
      <x:c r="I97" s="14" t="str">
        <x:v>Receipt</x:v>
      </x:c>
      <x:c r="J97" s="17" t="n">
        <x:v>0</x:v>
      </x:c>
      <x:c r="K97" s="17" t="n">
        <x:v>23121</x:v>
      </x:c>
      <x:c r="L97" s="17" t="n">
        <x:v>23121</x:v>
      </x:c>
      <x:c r="M97" s="17" t="n">
        <x:v>52186</x:v>
      </x:c>
      <x:c r="N97" s="14" t="str">
        <x:v>Recurring Transaction</x:v>
      </x:c>
      <x:c r="O97" s="14" t="str">
        <x:v>Yes</x:v>
      </x:c>
      <x:c r="P97" s="14" t="str">
        <x:v>PINE LABS PRIVATE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46122</x:v>
      </x:c>
    </x:row>
    <x:row r="98">
      <x:c r="A98" s="14" t="n">
        <x:v>110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46122</x:v>
      </x:c>
      <x:c r="F98" s="15" t="n">
        <x:v>46122</x:v>
      </x:c>
      <x:c r="G98" s="16" t="str">
        <x:v>EBANK:WIB/1503 EBANK:WIB/1503385381/Edfs</x:v>
      </x:c>
      <x:c r="H98" s="14" t="str"/>
      <x:c r="I98" s="14" t="str">
        <x:v>Payment</x:v>
      </x:c>
      <x:c r="J98" s="17" t="n">
        <x:v>49686</x:v>
      </x:c>
      <x:c r="K98" s="17" t="n">
        <x:v>0</x:v>
      </x:c>
      <x:c r="L98" s="17" t="n">
        <x:v>49686</x:v>
      </x:c>
      <x:c r="M98" s="17" t="n">
        <x:v>2500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46122</x:v>
      </x:c>
    </x:row>
    <x:row r="99">
      <x:c r="A99" s="14" t="n">
        <x:v>111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46122</x:v>
      </x:c>
      <x:c r="F99" s="15" t="n">
        <x:v>46122</x:v>
      </x:c>
      <x:c r="G99" s="16" t="str">
        <x:v>DIGITA-MUMBAI/ NEFT-NKGSH26100973635-GEBI PRODUCTS PRIVATE LIMITE</x:v>
      </x:c>
      <x:c r="H99" s="14" t="str"/>
      <x:c r="I99" s="14" t="str">
        <x:v>Receipt</x:v>
      </x:c>
      <x:c r="J99" s="17" t="n">
        <x:v>0</x:v>
      </x:c>
      <x:c r="K99" s="17" t="n">
        <x:v>5273</x:v>
      </x:c>
      <x:c r="L99" s="17" t="n">
        <x:v>5273</x:v>
      </x:c>
      <x:c r="M99" s="17" t="n">
        <x:v>7773</x:v>
      </x:c>
      <x:c r="N99" s="14" t="str">
        <x:v>Recurring Transaction</x:v>
      </x:c>
      <x:c r="O99" s="14" t="str">
        <x:v>Yes</x:v>
      </x:c>
      <x:c r="P99" s="14" t="str">
        <x:v>GEBI PRODUCTS PRIVATE LIMITE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46122</x:v>
      </x:c>
    </x:row>
    <x:row r="100">
      <x:c r="A100" s="14" t="n">
        <x:v>112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46122</x:v>
      </x:c>
      <x:c r="F100" s="15" t="n">
        <x:v>46122</x:v>
      </x:c>
      <x:c r="G100" s="16" t="str">
        <x:v>DIGITA-MUMBAI/ NEFT-KKBKH26100693248-ATLAS COMMODITIES PRIVATE LI</x:v>
      </x:c>
      <x:c r="H100" s="14" t="str"/>
      <x:c r="I100" s="14" t="str">
        <x:v>Receipt</x:v>
      </x:c>
      <x:c r="J100" s="17" t="n">
        <x:v>0</x:v>
      </x:c>
      <x:c r="K100" s="17" t="n">
        <x:v>7922</x:v>
      </x:c>
      <x:c r="L100" s="17" t="n">
        <x:v>7922</x:v>
      </x:c>
      <x:c r="M100" s="17" t="n">
        <x:v>15695</x:v>
      </x:c>
      <x:c r="N100" s="14" t="str">
        <x:v>Recurring Transaction</x:v>
      </x:c>
      <x:c r="O100" s="14" t="str">
        <x:v>Yes</x:v>
      </x:c>
      <x:c r="P100" s="14" t="str">
        <x:v>ATLAS COMMODITIES PRIVATE LI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46122</x:v>
      </x:c>
    </x:row>
    <x:row r="101">
      <x:c r="A101" s="14" t="n">
        <x:v>114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46123</x:v>
      </x:c>
      <x:c r="F101" s="15" t="n">
        <x:v>46123</x:v>
      </x:c>
      <x:c r="G101" s="16" t="str">
        <x:v>DIGITA-MUMBAI/ NEFT-YESAP61011187841-PhonePe Limited</x:v>
      </x:c>
      <x:c r="H101" s="14" t="str"/>
      <x:c r="I101" s="14" t="str">
        <x:v>Receipt</x:v>
      </x:c>
      <x:c r="J101" s="17" t="n">
        <x:v>0</x:v>
      </x:c>
      <x:c r="K101" s="17" t="n">
        <x:v>217794</x:v>
      </x:c>
      <x:c r="L101" s="17" t="n">
        <x:v>217794</x:v>
      </x:c>
      <x:c r="M101" s="17" t="n">
        <x:v>233709</x:v>
      </x:c>
      <x:c r="N101" s="14" t="str">
        <x:v>High Transaction; Recurring Transaction</x:v>
      </x:c>
      <x:c r="O101" s="14" t="str">
        <x:v>Yes</x:v>
      </x:c>
      <x:c r="P101" s="14" t="str">
        <x:v>PHONEPE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46123</x:v>
      </x:c>
    </x:row>
    <x:row r="102">
      <x:c r="A102" s="14" t="n">
        <x:v>115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46123</x:v>
      </x:c>
      <x:c r="F102" s="15" t="n">
        <x:v>46123</x:v>
      </x:c>
      <x:c r="G102" s="16" t="str">
        <x:v>DIGITA-MUMBAI/ IMPS/P2A/610106994638/VILLAGE STONE L/Diesel for</x:v>
      </x:c>
      <x:c r="H102" s="14" t="str"/>
      <x:c r="I102" s="14" t="str">
        <x:v>Receipt</x:v>
      </x:c>
      <x:c r="J102" s="17" t="n">
        <x:v>0</x:v>
      </x:c>
      <x:c r="K102" s="17" t="n">
        <x:v>58786</x:v>
      </x:c>
      <x:c r="L102" s="17" t="n">
        <x:v>58786</x:v>
      </x:c>
      <x:c r="M102" s="17" t="n">
        <x:v>292495</x:v>
      </x:c>
      <x:c r="N102" s="14" t="str">
        <x:v>Recurring Transaction</x:v>
      </x:c>
      <x:c r="O102" s="14" t="str">
        <x:v>Yes</x:v>
      </x:c>
      <x:c r="P102" s="14" t="str">
        <x:v>VILLAGE STONE L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46123</x:v>
      </x:c>
    </x:row>
    <x:row r="103">
      <x:c r="A103" s="14" t="n">
        <x:v>116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46123</x:v>
      </x:c>
      <x:c r="F103" s="15" t="n">
        <x:v>46123</x:v>
      </x:c>
      <x:c r="G103" s="16" t="str">
        <x:v>DIGITA-MUMBAI/ NEFT-AXNPN10178417072-PHONEPE LIMITED-PAYMENT AGGR</x:v>
      </x:c>
      <x:c r="H103" s="14" t="str"/>
      <x:c r="I103" s="14" t="str">
        <x:v>Receipt</x:v>
      </x:c>
      <x:c r="J103" s="17" t="n">
        <x:v>0</x:v>
      </x:c>
      <x:c r="K103" s="17" t="n">
        <x:v>66738</x:v>
      </x:c>
      <x:c r="L103" s="17" t="n">
        <x:v>66738</x:v>
      </x:c>
      <x:c r="M103" s="17" t="n">
        <x:v>359233</x:v>
      </x:c>
      <x:c r="N103" s="14" t="str">
        <x:v>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46123</x:v>
      </x:c>
    </x:row>
    <x:row r="104">
      <x:c r="A104" s="14" t="n">
        <x:v>117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46123</x:v>
      </x:c>
      <x:c r="F104" s="15" t="n">
        <x:v>46123</x:v>
      </x:c>
      <x:c r="G104" s="16" t="str">
        <x:v>DIGITA-MUMBAI/ NEFT-AXISCN1308590377-ONE MOBIKWIK SYSTEMS LIMITED</x:v>
      </x:c>
      <x:c r="H104" s="14" t="str"/>
      <x:c r="I104" s="14" t="str">
        <x:v>Receipt</x:v>
      </x:c>
      <x:c r="J104" s="17" t="n">
        <x:v>0</x:v>
      </x:c>
      <x:c r="K104" s="17" t="n">
        <x:v>28720</x:v>
      </x:c>
      <x:c r="L104" s="17" t="n">
        <x:v>28720</x:v>
      </x:c>
      <x:c r="M104" s="17" t="n">
        <x:v>387953</x:v>
      </x:c>
      <x:c r="N104" s="14" t="str">
        <x:v>Recurring Transaction</x:v>
      </x:c>
      <x:c r="O104" s="14" t="str">
        <x:v>Yes</x:v>
      </x:c>
      <x:c r="P104" s="14" t="str">
        <x:v>ONE MOBIKWIK SYSTEMS LIMITED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46123</x:v>
      </x:c>
    </x:row>
    <x:row r="105">
      <x:c r="A105" s="14" t="n">
        <x:v>118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46123</x:v>
      </x:c>
      <x:c r="F105" s="15" t="n">
        <x:v>46123</x:v>
      </x:c>
      <x:c r="G105" s="16" t="str">
        <x:v>DIGITA-MUMBAI/ NEFT-AXISCN1308614930-PINE LABS PRIVATE LIMITED-NO</x:v>
      </x:c>
      <x:c r="H105" s="14" t="str"/>
      <x:c r="I105" s="14" t="str">
        <x:v>Receipt</x:v>
      </x:c>
      <x:c r="J105" s="17" t="n">
        <x:v>0</x:v>
      </x:c>
      <x:c r="K105" s="17" t="n">
        <x:v>92275</x:v>
      </x:c>
      <x:c r="L105" s="17" t="n">
        <x:v>92275</x:v>
      </x:c>
      <x:c r="M105" s="17" t="n">
        <x:v>480228</x:v>
      </x:c>
      <x:c r="N105" s="14" t="str">
        <x:v>Recurring Transaction</x:v>
      </x:c>
      <x:c r="O105" s="14" t="str">
        <x:v>Yes</x:v>
      </x:c>
      <x:c r="P105" s="14" t="str">
        <x:v>PINE LABS PRIVATE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46123</x:v>
      </x:c>
    </x:row>
    <x:row r="106">
      <x:c r="A106" s="14" t="n">
        <x:v>119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46123</x:v>
      </x:c>
      <x:c r="F106" s="15" t="n">
        <x:v>46123</x:v>
      </x:c>
      <x:c r="G106" s="16" t="str">
        <x:v>DIGITA-MUMBAI/ IMPS/P2A/610111544975/OMSANITRANSPORT/Diesel bill</x:v>
      </x:c>
      <x:c r="H106" s="14" t="str"/>
      <x:c r="I106" s="14" t="str">
        <x:v>Receipt</x:v>
      </x:c>
      <x:c r="J106" s="17" t="n">
        <x:v>0</x:v>
      </x:c>
      <x:c r="K106" s="17" t="n">
        <x:v>25996</x:v>
      </x:c>
      <x:c r="L106" s="17" t="n">
        <x:v>25996</x:v>
      </x:c>
      <x:c r="M106" s="17" t="n">
        <x:v>506224</x:v>
      </x:c>
      <x:c r="N106" s="14" t="str">
        <x:v>Recurring Transaction</x:v>
      </x:c>
      <x:c r="O106" s="14" t="str">
        <x:v>Yes</x:v>
      </x:c>
      <x:c r="P106" s="14" t="str">
        <x:v>OMSANITRANSPORT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46123</x:v>
      </x:c>
    </x:row>
    <x:row r="107">
      <x:c r="A107" s="14" t="n">
        <x:v>120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46123</x:v>
      </x:c>
      <x:c r="F107" s="15" t="n">
        <x:v>46123</x:v>
      </x:c>
      <x:c r="G107" s="16" t="str">
        <x:v>EBANK:15035434 EBANK:1503543462/MSEDCL-LT Post Paid Energy Bill/</x:v>
      </x:c>
      <x:c r="H107" s="14" t="str"/>
      <x:c r="I107" s="14" t="str">
        <x:v>Payment</x:v>
      </x:c>
      <x:c r="J107" s="17" t="n">
        <x:v>28890</x:v>
      </x:c>
      <x:c r="K107" s="17" t="n">
        <x:v>0</x:v>
      </x:c>
      <x:c r="L107" s="17" t="n">
        <x:v>28890</x:v>
      </x:c>
      <x:c r="M107" s="17" t="n">
        <x:v>477334</x:v>
      </x:c>
      <x:c r="N107" s="14" t="str">
        <x:v>Recurring Transaction</x:v>
      </x:c>
      <x:c r="O107" s="14" t="str">
        <x:v>Yes</x:v>
      </x:c>
      <x:c r="P107" s="14" t="str">
        <x:v>EBANK EBANK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46123</x:v>
      </x:c>
    </x:row>
    <x:row r="108">
      <x:c r="A108" s="14" t="n">
        <x:v>121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46123</x:v>
      </x:c>
      <x:c r="F108" s="15" t="n">
        <x:v>46123</x:v>
      </x:c>
      <x:c r="G108" s="16" t="str">
        <x:v>EBANK:15035448 EBANK:1503544838/MSEDCL-LT Post Paid Energy Bill/</x:v>
      </x:c>
      <x:c r="H108" s="14" t="str"/>
      <x:c r="I108" s="14" t="str">
        <x:v>Payment</x:v>
      </x:c>
      <x:c r="J108" s="17" t="n">
        <x:v>390</x:v>
      </x:c>
      <x:c r="K108" s="17" t="n">
        <x:v>0</x:v>
      </x:c>
      <x:c r="L108" s="17" t="n">
        <x:v>390</x:v>
      </x:c>
      <x:c r="M108" s="17" t="n">
        <x:v>476944</x:v>
      </x:c>
      <x:c r="N108" s="14" t="str">
        <x:v>Recurring Transaction</x:v>
      </x:c>
      <x:c r="O108" s="14" t="str">
        <x:v>Yes</x:v>
      </x:c>
      <x:c r="P108" s="14" t="str">
        <x:v>EBANK EBANK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46123</x:v>
      </x:c>
    </x:row>
    <x:row r="109">
      <x:c r="A109" s="14" t="n">
        <x:v>124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46123</x:v>
      </x:c>
      <x:c r="F109" s="15" t="n">
        <x:v>46123</x:v>
      </x:c>
      <x:c r="G109" s="16" t="str">
        <x:v>Charges for Charges for PORD Customer Payment :003578211236</x:v>
      </x:c>
      <x:c r="H109" s="14" t="str"/>
      <x:c r="I109" s="14" t="str">
        <x:v>Payment</x:v>
      </x:c>
      <x:c r="J109" s="17" t="n">
        <x:v>2.65</x:v>
      </x:c>
      <x:c r="K109" s="17" t="n">
        <x:v>0</x:v>
      </x:c>
      <x:c r="L109" s="17" t="n">
        <x:v>2.65</x:v>
      </x:c>
      <x:c r="M109" s="17" t="n">
        <x:v>471381.35</x:v>
      </x:c>
      <x:c r="N109" s="14" t="str">
        <x:v>Recurring Transaction</x:v>
      </x:c>
      <x:c r="O109" s="14" t="str">
        <x:v>Yes</x:v>
      </x:c>
      <x:c r="P109" s="14" t="str">
        <x:v>CHARGES FOR CHARGES FOR PORD CUSTOMER PA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46123</x:v>
      </x:c>
    </x:row>
    <x:row r="110">
      <x:c r="A110" s="14" t="n">
        <x:v>125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46123</x:v>
      </x:c>
      <x:c r="F110" s="15" t="n">
        <x:v>46123</x:v>
      </x:c>
      <x:c r="G110" s="16" t="str">
        <x:v>NEFT-BARBS2610 NEFT-BARBS26101208027-K M SATISH-INDUSIND BANK LTD</x:v>
      </x:c>
      <x:c r="H110" s="14" t="str"/>
      <x:c r="I110" s="14" t="str">
        <x:v>Payment</x:v>
      </x:c>
      <x:c r="J110" s="17" t="n">
        <x:v>8334</x:v>
      </x:c>
      <x:c r="K110" s="17" t="n">
        <x:v>0</x:v>
      </x:c>
      <x:c r="L110" s="17" t="n">
        <x:v>8334</x:v>
      </x:c>
      <x:c r="M110" s="17" t="n">
        <x:v>463047.35</x:v>
      </x:c>
      <x:c r="N110" s="14" t="str">
        <x:v>Recurring Transaction</x:v>
      </x:c>
      <x:c r="O110" s="14" t="str">
        <x:v>Yes</x:v>
      </x:c>
      <x:c r="P110" s="14" t="str">
        <x:v>BARBS NEFT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46123</x:v>
      </x:c>
    </x:row>
    <x:row r="111">
      <x:c r="A111" s="14" t="n">
        <x:v>126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46123</x:v>
      </x:c>
      <x:c r="F111" s="15" t="n">
        <x:v>46123</x:v>
      </x:c>
      <x:c r="G111" s="16" t="str">
        <x:v>Charges for Charges for PORD Customer Payment :003578211551</x:v>
      </x:c>
      <x:c r="H111" s="14" t="str"/>
      <x:c r="I111" s="14" t="str">
        <x:v>Payment</x:v>
      </x:c>
      <x:c r="J111" s="17" t="n">
        <x:v>5.6</x:v>
      </x:c>
      <x:c r="K111" s="17" t="n">
        <x:v>0</x:v>
      </x:c>
      <x:c r="L111" s="17" t="n">
        <x:v>5.6</x:v>
      </x:c>
      <x:c r="M111" s="17" t="n">
        <x:v>463041.75</x:v>
      </x:c>
      <x:c r="N111" s="14" t="str">
        <x:v>Recurring Transaction</x:v>
      </x:c>
      <x:c r="O111" s="14" t="str">
        <x:v>Yes</x:v>
      </x:c>
      <x:c r="P111" s="14" t="str">
        <x:v>CHARGES FOR CHARGES FOR PORD CUSTOMER PA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46123</x:v>
      </x:c>
    </x:row>
    <x:row r="112">
      <x:c r="A112" s="14" t="n">
        <x:v>127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46123</x:v>
      </x:c>
      <x:c r="F112" s="15" t="n">
        <x:v>46123</x:v>
      </x:c>
      <x:c r="G112" s="16" t="str">
        <x:v>NEFT-BARBS2610 NEFT-BARBS26101208233-AKASH C SHELAR-BASSEIN CATHO</x:v>
      </x:c>
      <x:c r="H112" s="14" t="str"/>
      <x:c r="I112" s="14" t="str">
        <x:v>Payment</x:v>
      </x:c>
      <x:c r="J112" s="17" t="n">
        <x:v>16015</x:v>
      </x:c>
      <x:c r="K112" s="17" t="n">
        <x:v>0</x:v>
      </x:c>
      <x:c r="L112" s="17" t="n">
        <x:v>16015</x:v>
      </x:c>
      <x:c r="M112" s="17" t="n">
        <x:v>447026.75</x:v>
      </x:c>
      <x:c r="N112" s="14" t="str">
        <x:v>Recurring Transaction</x:v>
      </x:c>
      <x:c r="O112" s="14" t="str">
        <x:v>Yes</x:v>
      </x:c>
      <x:c r="P112" s="14" t="str">
        <x:v>BARBS NEFT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46123</x:v>
      </x:c>
    </x:row>
    <x:row r="113">
      <x:c r="A113" s="14" t="n">
        <x:v>128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46123</x:v>
      </x:c>
      <x:c r="F113" s="15" t="n">
        <x:v>46123</x:v>
      </x:c>
      <x:c r="G113" s="16" t="str">
        <x:v>Charges for Charges for PORD Customer Payment :003578211732</x:v>
      </x:c>
      <x:c r="H113" s="14" t="str"/>
      <x:c r="I113" s="14" t="str">
        <x:v>Payment</x:v>
      </x:c>
      <x:c r="J113" s="17" t="n">
        <x:v>5.6</x:v>
      </x:c>
      <x:c r="K113" s="17" t="n">
        <x:v>0</x:v>
      </x:c>
      <x:c r="L113" s="17" t="n">
        <x:v>5.6</x:v>
      </x:c>
      <x:c r="M113" s="17" t="n">
        <x:v>447021.15</x:v>
      </x:c>
      <x:c r="N113" s="14" t="str">
        <x:v>Recurring Transaction</x:v>
      </x:c>
      <x:c r="O113" s="14" t="str">
        <x:v>Yes</x:v>
      </x:c>
      <x:c r="P113" s="14" t="str">
        <x:v>CHARGES FOR CHARGES FOR PORD CUSTOMER PA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46123</x:v>
      </x:c>
    </x:row>
    <x:row r="114">
      <x:c r="A114" s="14" t="n">
        <x:v>129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46123</x:v>
      </x:c>
      <x:c r="F114" s="15" t="n">
        <x:v>46123</x:v>
      </x:c>
      <x:c r="G114" s="16" t="str">
        <x:v>NEFT-BARBS2610 NEFT-BARBS26101208696-MOHAMMOD TAUSIF-BASSEIN CATH</x:v>
      </x:c>
      <x:c r="H114" s="14" t="str"/>
      <x:c r="I114" s="14" t="str">
        <x:v>Payment</x:v>
      </x:c>
      <x:c r="J114" s="17" t="n">
        <x:v>12121</x:v>
      </x:c>
      <x:c r="K114" s="17" t="n">
        <x:v>0</x:v>
      </x:c>
      <x:c r="L114" s="17" t="n">
        <x:v>12121</x:v>
      </x:c>
      <x:c r="M114" s="17" t="n">
        <x:v>434900.15</x:v>
      </x:c>
      <x:c r="N114" s="14" t="str">
        <x:v>Recurring Transaction</x:v>
      </x:c>
      <x:c r="O114" s="14" t="str">
        <x:v>Yes</x:v>
      </x:c>
      <x:c r="P114" s="14" t="str">
        <x:v>BARBS NEFT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46123</x:v>
      </x:c>
    </x:row>
    <x:row r="115">
      <x:c r="A115" s="14" t="n">
        <x:v>130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Charges for Charges for PORD Customer Payment :003578213822</x:v>
      </x:c>
      <x:c r="H115" s="14" t="str"/>
      <x:c r="I115" s="14" t="str">
        <x:v>Payment</x:v>
      </x:c>
      <x:c r="J115" s="17" t="n">
        <x:v>5.6</x:v>
      </x:c>
      <x:c r="K115" s="17" t="n">
        <x:v>0</x:v>
      </x:c>
      <x:c r="L115" s="17" t="n">
        <x:v>5.6</x:v>
      </x:c>
      <x:c r="M115" s="17" t="n">
        <x:v>434894.55</x:v>
      </x:c>
      <x:c r="N115" s="14" t="str">
        <x:v>Recurring Transaction</x:v>
      </x:c>
      <x:c r="O115" s="14" t="str">
        <x:v>Yes</x:v>
      </x:c>
      <x:c r="P115" s="14" t="str">
        <x:v>CHARGES FOR CHARGES FOR PORD CUSTOMER PA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131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NEFT-BARBS2610 NEFT-BARBS26101210180-BRIJESH VIPATI KUMAR-BANK OF</x:v>
      </x:c>
      <x:c r="H116" s="14" t="str"/>
      <x:c r="I116" s="14" t="str">
        <x:v>Payment</x:v>
      </x:c>
      <x:c r="J116" s="17" t="n">
        <x:v>12121</x:v>
      </x:c>
      <x:c r="K116" s="17" t="n">
        <x:v>0</x:v>
      </x:c>
      <x:c r="L116" s="17" t="n">
        <x:v>12121</x:v>
      </x:c>
      <x:c r="M116" s="17" t="n">
        <x:v>422773.55</x:v>
      </x:c>
      <x:c r="N116" s="14" t="str">
        <x:v>Recurring Transaction</x:v>
      </x:c>
      <x:c r="O116" s="14" t="str">
        <x:v>Yes</x:v>
      </x:c>
      <x:c r="P116" s="14" t="str">
        <x:v>BARBS NEFT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132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Charges for Charges for PORD Customer Payment :003578219698</x:v>
      </x:c>
      <x:c r="H117" s="14" t="str"/>
      <x:c r="I117" s="14" t="str">
        <x:v>Payment</x:v>
      </x:c>
      <x:c r="J117" s="17" t="n">
        <x:v>5.6</x:v>
      </x:c>
      <x:c r="K117" s="17" t="n">
        <x:v>0</x:v>
      </x:c>
      <x:c r="L117" s="17" t="n">
        <x:v>5.6</x:v>
      </x:c>
      <x:c r="M117" s="17" t="n">
        <x:v>422767.95</x:v>
      </x:c>
      <x:c r="N117" s="14" t="str">
        <x:v>Recurring Transaction</x:v>
      </x:c>
      <x:c r="O117" s="14" t="str">
        <x:v>Yes</x:v>
      </x:c>
      <x:c r="P117" s="14" t="str">
        <x:v>CHARGES FOR CHARGES FOR PORD CUSTOMER PA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133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NEFT-BARBS2610 NEFT-BARBS26101211344-PRAVINKUMAR RAMDHULLAR-BASSE</x:v>
      </x:c>
      <x:c r="H118" s="14" t="str"/>
      <x:c r="I118" s="14" t="str">
        <x:v>Payment</x:v>
      </x:c>
      <x:c r="J118" s="17" t="n">
        <x:v>12121</x:v>
      </x:c>
      <x:c r="K118" s="17" t="n">
        <x:v>0</x:v>
      </x:c>
      <x:c r="L118" s="17" t="n">
        <x:v>12121</x:v>
      </x:c>
      <x:c r="M118" s="17" t="n">
        <x:v>410646.95</x:v>
      </x:c>
      <x:c r="N118" s="14" t="str">
        <x:v>Recurring Transaction</x:v>
      </x:c>
      <x:c r="O118" s="14" t="str">
        <x:v>Yes</x:v>
      </x:c>
      <x:c r="P118" s="14" t="str">
        <x:v>BARBS NEFT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134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Charges for Charges for PORD Customer Payment :003578224246</x:v>
      </x:c>
      <x:c r="H119" s="14" t="str"/>
      <x:c r="I119" s="14" t="str">
        <x:v>Payment</x:v>
      </x:c>
      <x:c r="J119" s="17" t="n">
        <x:v>5.6</x:v>
      </x:c>
      <x:c r="K119" s="17" t="n">
        <x:v>0</x:v>
      </x:c>
      <x:c r="L119" s="17" t="n">
        <x:v>5.6</x:v>
      </x:c>
      <x:c r="M119" s="17" t="n">
        <x:v>410641.35</x:v>
      </x:c>
      <x:c r="N119" s="14" t="str">
        <x:v>Recurring Transaction</x:v>
      </x:c>
      <x:c r="O119" s="14" t="str">
        <x:v>Yes</x:v>
      </x:c>
      <x:c r="P119" s="14" t="str">
        <x:v>CHARGES FOR CHARGES FOR PORD CUSTOMER PA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135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NEFT-BARBS2610 NEFT-BARBS26101225998-GOVIND KUMAR JAISWAL-UNION B</x:v>
      </x:c>
      <x:c r="H120" s="14" t="str"/>
      <x:c r="I120" s="14" t="str">
        <x:v>Payment</x:v>
      </x:c>
      <x:c r="J120" s="17" t="n">
        <x:v>12121</x:v>
      </x:c>
      <x:c r="K120" s="17" t="n">
        <x:v>0</x:v>
      </x:c>
      <x:c r="L120" s="17" t="n">
        <x:v>12121</x:v>
      </x:c>
      <x:c r="M120" s="17" t="n">
        <x:v>398520.35</x:v>
      </x:c>
      <x:c r="N120" s="14" t="str">
        <x:v>Recurring Transaction</x:v>
      </x:c>
      <x:c r="O120" s="14" t="str">
        <x:v>Yes</x:v>
      </x:c>
      <x:c r="P120" s="14" t="str">
        <x:v>BARBS NEFT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136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Charges for Charges for PORD Customer Payment :003578239489</x:v>
      </x:c>
      <x:c r="H121" s="14" t="str"/>
      <x:c r="I121" s="14" t="str">
        <x:v>Payment</x:v>
      </x:c>
      <x:c r="J121" s="17" t="n">
        <x:v>5.6</x:v>
      </x:c>
      <x:c r="K121" s="17" t="n">
        <x:v>0</x:v>
      </x:c>
      <x:c r="L121" s="17" t="n">
        <x:v>5.6</x:v>
      </x:c>
      <x:c r="M121" s="17" t="n">
        <x:v>398514.75</x:v>
      </x:c>
      <x:c r="N121" s="14" t="str">
        <x:v>Recurring Transaction</x:v>
      </x:c>
      <x:c r="O121" s="14" t="str">
        <x:v>Yes</x:v>
      </x:c>
      <x:c r="P121" s="14" t="str">
        <x:v>CHARGES FOR CHARGES FOR PORD CUSTOMER PA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137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NEFT-BARBS2610 NEFT-BARBS26101235271-RAJMANI PP-UNION BANK OF IND</x:v>
      </x:c>
      <x:c r="H122" s="14" t="str"/>
      <x:c r="I122" s="14" t="str">
        <x:v>Payment</x:v>
      </x:c>
      <x:c r="J122" s="17" t="n">
        <x:v>12121</x:v>
      </x:c>
      <x:c r="K122" s="17" t="n">
        <x:v>0</x:v>
      </x:c>
      <x:c r="L122" s="17" t="n">
        <x:v>12121</x:v>
      </x:c>
      <x:c r="M122" s="17" t="n">
        <x:v>386393.75</x:v>
      </x:c>
      <x:c r="N122" s="14" t="str">
        <x:v>Recurring Transaction</x:v>
      </x:c>
      <x:c r="O122" s="14" t="str">
        <x:v>Yes</x:v>
      </x:c>
      <x:c r="P122" s="14" t="str">
        <x:v>BARBS NEFT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139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NEFT-BARBS2610 NEFT-BARBS26101235444-SHIV PRASAD RAM DHANI-BASSEI</x:v>
      </x:c>
      <x:c r="H123" s="14" t="str"/>
      <x:c r="I123" s="14" t="str">
        <x:v>Payment</x:v>
      </x:c>
      <x:c r="J123" s="17" t="n">
        <x:v>12121</x:v>
      </x:c>
      <x:c r="K123" s="17" t="n">
        <x:v>0</x:v>
      </x:c>
      <x:c r="L123" s="17" t="n">
        <x:v>12121</x:v>
      </x:c>
      <x:c r="M123" s="17" t="n">
        <x:v>374267.15</x:v>
      </x:c>
      <x:c r="N123" s="14" t="str">
        <x:v>Recurring Transaction</x:v>
      </x:c>
      <x:c r="O123" s="14" t="str">
        <x:v>Yes</x:v>
      </x:c>
      <x:c r="P123" s="14" t="str">
        <x:v>BARBS NEFT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140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EBANK:WIB/1503 EBANK:WIB/1503559058/Edfs</x:v>
      </x:c>
      <x:c r="H124" s="14" t="str"/>
      <x:c r="I124" s="14" t="str">
        <x:v>Payment</x:v>
      </x:c>
      <x:c r="J124" s="17" t="n">
        <x:v>353767.15</x:v>
      </x:c>
      <x:c r="K124" s="17" t="n">
        <x:v>0</x:v>
      </x:c>
      <x:c r="L124" s="17" t="n">
        <x:v>353767.15</x:v>
      </x:c>
      <x:c r="M124" s="17" t="n">
        <x:v>20500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141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DIGITA-MUMBAI/ NEFT-IN42610154526147-MITA FASTENERS PRIVATE LIMIT</x:v>
      </x:c>
      <x:c r="H125" s="14" t="str"/>
      <x:c r="I125" s="14" t="str">
        <x:v>Receipt</x:v>
      </x:c>
      <x:c r="J125" s="17" t="n">
        <x:v>0</x:v>
      </x:c>
      <x:c r="K125" s="17" t="n">
        <x:v>9044</x:v>
      </x:c>
      <x:c r="L125" s="17" t="n">
        <x:v>9044</x:v>
      </x:c>
      <x:c r="M125" s="17" t="n">
        <x:v>29544</x:v>
      </x:c>
      <x:c r="N125" s="14" t="str">
        <x:v>Recurring Transaction</x:v>
      </x:c>
      <x:c r="O125" s="14" t="str">
        <x:v>Yes</x:v>
      </x:c>
      <x:c r="P125" s="14" t="str">
        <x:v>MITA FASTENERS PRIVATE LIMIT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142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UPI/3316762170 76217092 UPI/331676217092/17:08:51/UPI/surajdhanotra1@ibl/ https://cbdrpt101.bankofbaroda.co.in:22000/finbranch/arjspmorph/INFENG/tran_rpt.jsp?... 04-05-2026</x:v>
      </x:c>
      <x:c r="H126" s="14" t="str"/>
      <x:c r="I126" s="14" t="str">
        <x:v>Receipt</x:v>
      </x:c>
      <x:c r="J126" s="17" t="n">
        <x:v>0</x:v>
      </x:c>
      <x:c r="K126" s="17" t="n">
        <x:v>1808</x:v>
      </x:c>
      <x:c r="L126" s="17" t="n">
        <x:v>1808</x:v>
      </x:c>
      <x:c r="M126" s="17" t="n">
        <x:v>31352</x:v>
      </x:c>
      <x:c r="N126" s="14" t="str">
        <x:v>UPI; Recurring Transaction</x:v>
      </x:c>
      <x:c r="O126" s="14" t="str">
        <x:v>Yes</x:v>
      </x:c>
      <x:c r="P126" s="14" t="str">
        <x:v>SURAJDHANOTRAIBL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143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46124</x:v>
      </x:c>
      <x:c r="F127" s="15" t="n">
        <x:v>46124</x:v>
      </x:c>
      <x:c r="G127" s="16" t="str">
        <x:v>DIGITA-MUMBAI/ NEFT-YESAP61023739033-PhonePe Limited</x:v>
      </x:c>
      <x:c r="H127" s="14" t="str"/>
      <x:c r="I127" s="14" t="str">
        <x:v>Receipt</x:v>
      </x:c>
      <x:c r="J127" s="17" t="n">
        <x:v>0</x:v>
      </x:c>
      <x:c r="K127" s="17" t="n">
        <x:v>316091.5</x:v>
      </x:c>
      <x:c r="L127" s="17" t="n">
        <x:v>316091.5</x:v>
      </x:c>
      <x:c r="M127" s="17" t="n">
        <x:v>347443.5</x:v>
      </x:c>
      <x:c r="N127" s="14" t="str">
        <x:v>High Transaction; Recurring Transaction</x:v>
      </x:c>
      <x:c r="O127" s="14" t="str">
        <x:v>Yes</x:v>
      </x:c>
      <x:c r="P127" s="14" t="str">
        <x:v>PHONEPE LIMITED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46124</x:v>
      </x:c>
    </x:row>
    <x:row r="128">
      <x:c r="A128" s="14" t="n">
        <x:v>144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46124</x:v>
      </x:c>
      <x:c r="F128" s="15" t="n">
        <x:v>46124</x:v>
      </x:c>
      <x:c r="G128" s="16" t="str">
        <x:v>DIGITA-MUMBAI/ NEFT-AXNPN10286711573-PHONEPE LIMITED-PAYMENT AGGR</x:v>
      </x:c>
      <x:c r="H128" s="14" t="str"/>
      <x:c r="I128" s="14" t="str">
        <x:v>Receipt</x:v>
      </x:c>
      <x:c r="J128" s="17" t="n">
        <x:v>0</x:v>
      </x:c>
      <x:c r="K128" s="17" t="n">
        <x:v>74921.89</x:v>
      </x:c>
      <x:c r="L128" s="17" t="n">
        <x:v>74921.89</x:v>
      </x:c>
      <x:c r="M128" s="17" t="n">
        <x:v>422365.39</x:v>
      </x:c>
      <x:c r="N128" s="14" t="str">
        <x:v>Recurring Transaction</x:v>
      </x:c>
      <x:c r="O128" s="14" t="str">
        <x:v>Yes</x:v>
      </x:c>
      <x:c r="P128" s="14" t="str">
        <x:v>PHONEPE LIMITED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46124</x:v>
      </x:c>
    </x:row>
    <x:row r="129">
      <x:c r="A129" s="14" t="n">
        <x:v>145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46124</x:v>
      </x:c>
      <x:c r="F129" s="15" t="n">
        <x:v>46124</x:v>
      </x:c>
      <x:c r="G129" s="16" t="str">
        <x:v>DIGITA-MUMBAI/ NEFT-AXISCN1309251605-ONE MOBIKWIK SYSTEMS LIMITED</x:v>
      </x:c>
      <x:c r="H129" s="14" t="str"/>
      <x:c r="I129" s="14" t="str">
        <x:v>Receipt</x:v>
      </x:c>
      <x:c r="J129" s="17" t="n">
        <x:v>0</x:v>
      </x:c>
      <x:c r="K129" s="17" t="n">
        <x:v>16623</x:v>
      </x:c>
      <x:c r="L129" s="17" t="n">
        <x:v>16623</x:v>
      </x:c>
      <x:c r="M129" s="17" t="n">
        <x:v>438988.39</x:v>
      </x:c>
      <x:c r="N129" s="14" t="str">
        <x:v>Recurring Transaction</x:v>
      </x:c>
      <x:c r="O129" s="14" t="str">
        <x:v>Yes</x:v>
      </x:c>
      <x:c r="P129" s="14" t="str">
        <x:v>ONE MOBIKWIK SYSTEMS LIMITED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46124</x:v>
      </x:c>
    </x:row>
    <x:row r="130">
      <x:c r="A130" s="14" t="n">
        <x:v>146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46124</x:v>
      </x:c>
      <x:c r="F130" s="15" t="n">
        <x:v>46124</x:v>
      </x:c>
      <x:c r="G130" s="16" t="str">
        <x:v>DIGITA-MUMBAI/ IMPS/P2A/610211578843/SHREE GANESH EN/billVVS9100</x:v>
      </x:c>
      <x:c r="H130" s="14" t="str"/>
      <x:c r="I130" s="14" t="str">
        <x:v>Receipt</x:v>
      </x:c>
      <x:c r="J130" s="17" t="n">
        <x:v>0</x:v>
      </x:c>
      <x:c r="K130" s="17" t="n">
        <x:v>63308</x:v>
      </x:c>
      <x:c r="L130" s="17" t="n">
        <x:v>63308</x:v>
      </x:c>
      <x:c r="M130" s="17" t="n">
        <x:v>502296.39</x:v>
      </x:c>
      <x:c r="N130" s="14" t="str">
        <x:v>Recurring Transaction</x:v>
      </x:c>
      <x:c r="O130" s="14" t="str">
        <x:v>Yes</x:v>
      </x:c>
      <x:c r="P130" s="14" t="str">
        <x:v>SHREE GANESH EN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46124</x:v>
      </x:c>
    </x:row>
    <x:row r="131">
      <x:c r="A131" s="14" t="n">
        <x:v>147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46124</x:v>
      </x:c>
      <x:c r="F131" s="15" t="n">
        <x:v>46124</x:v>
      </x:c>
      <x:c r="G131" s="16" t="str">
        <x:v>UPI/8741236018 23601815 UPI/874123601815/12:37:26/UPI/surajdhanotra1@ibl/</x:v>
      </x:c>
      <x:c r="H131" s="14" t="str"/>
      <x:c r="I131" s="14" t="str">
        <x:v>Receipt</x:v>
      </x:c>
      <x:c r="J131" s="17" t="n">
        <x:v>0</x:v>
      </x:c>
      <x:c r="K131" s="17" t="n">
        <x:v>1808</x:v>
      </x:c>
      <x:c r="L131" s="17" t="n">
        <x:v>1808</x:v>
      </x:c>
      <x:c r="M131" s="17" t="n">
        <x:v>504104.39</x:v>
      </x:c>
      <x:c r="N131" s="14" t="str">
        <x:v>UPI; Recurring Transaction</x:v>
      </x:c>
      <x:c r="O131" s="14" t="str">
        <x:v>Yes</x:v>
      </x:c>
      <x:c r="P131" s="14" t="str">
        <x:v>SURAJDHANOTRAIBL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46124</x:v>
      </x:c>
    </x:row>
    <x:row r="132">
      <x:c r="A132" s="14" t="n">
        <x:v>149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46124</x:v>
      </x:c>
      <x:c r="F132" s="15" t="n">
        <x:v>46124</x:v>
      </x:c>
      <x:c r="G132" s="16" t="str">
        <x:v>DIGITA-MUMBAI/ NEFT-CNRBH00124891693-QUALITY PLAST INDUSTRIES LIM</x:v>
      </x:c>
      <x:c r="H132" s="14" t="str"/>
      <x:c r="I132" s="14" t="str">
        <x:v>Receipt</x:v>
      </x:c>
      <x:c r="J132" s="17" t="n">
        <x:v>0</x:v>
      </x:c>
      <x:c r="K132" s="17" t="n">
        <x:v>9677</x:v>
      </x:c>
      <x:c r="L132" s="17" t="n">
        <x:v>9677</x:v>
      </x:c>
      <x:c r="M132" s="17" t="n">
        <x:v>523781.39</x:v>
      </x:c>
      <x:c r="N132" s="14" t="str">
        <x:v>Recurring Transaction</x:v>
      </x:c>
      <x:c r="O132" s="14" t="str">
        <x:v>Yes</x:v>
      </x:c>
      <x:c r="P132" s="14" t="str">
        <x:v>QUALITY PLAST INDUSTRIES LIM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46124</x:v>
      </x:c>
    </x:row>
    <x:row r="133">
      <x:c r="A133" s="14" t="n">
        <x:v>150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46124</x:v>
      </x:c>
      <x:c r="F133" s="15" t="n">
        <x:v>46124</x:v>
      </x:c>
      <x:c r="G133" s="16" t="str">
        <x:v>EBANK:WIB/1503 EBANK:WIB/1503691094/Edfs</x:v>
      </x:c>
      <x:c r="H133" s="14" t="str"/>
      <x:c r="I133" s="14" t="str">
        <x:v>Payment</x:v>
      </x:c>
      <x:c r="J133" s="17" t="n">
        <x:v>521281.39</x:v>
      </x:c>
      <x:c r="K133" s="17" t="n">
        <x:v>0</x:v>
      </x:c>
      <x:c r="L133" s="17" t="n">
        <x:v>521281.39</x:v>
      </x:c>
      <x:c r="M133" s="17" t="n">
        <x:v>2500</x:v>
      </x:c>
      <x:c r="N133" s="14" t="str">
        <x:v>High Transaction; Recurring Transaction</x:v>
      </x:c>
      <x:c r="O133" s="14" t="str">
        <x:v>Yes</x:v>
      </x:c>
      <x:c r="P133" s="14" t="str">
        <x:v>EBANKWIB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46124</x:v>
      </x:c>
    </x:row>
    <x:row r="134">
      <x:c r="A134" s="14" t="n">
        <x:v>151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46125</x:v>
      </x:c>
      <x:c r="F134" s="15" t="n">
        <x:v>46125</x:v>
      </x:c>
      <x:c r="G134" s="16" t="str">
        <x:v>DIGITA-MUMBAI/ NEFT-YESAP61032531277-PhonePe Limited</x:v>
      </x:c>
      <x:c r="H134" s="14" t="str"/>
      <x:c r="I134" s="14" t="str">
        <x:v>Receipt</x:v>
      </x:c>
      <x:c r="J134" s="17" t="n">
        <x:v>0</x:v>
      </x:c>
      <x:c r="K134" s="17" t="n">
        <x:v>250095</x:v>
      </x:c>
      <x:c r="L134" s="17" t="n">
        <x:v>250095</x:v>
      </x:c>
      <x:c r="M134" s="17" t="n">
        <x:v>252595</x:v>
      </x:c>
      <x:c r="N134" s="14" t="str">
        <x:v>High Transaction; Recurring Transaction</x:v>
      </x:c>
      <x:c r="O134" s="14" t="str">
        <x:v>Yes</x:v>
      </x:c>
      <x:c r="P134" s="14" t="str">
        <x:v>PHONEPE LIMITED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46125</x:v>
      </x:c>
    </x:row>
    <x:row r="135">
      <x:c r="A135" s="14" t="n">
        <x:v>152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46125</x:v>
      </x:c>
      <x:c r="F135" s="15" t="n">
        <x:v>46125</x:v>
      </x:c>
      <x:c r="G135" s="16" t="str">
        <x:v>DIGITA-MUMBAI/ NEFT-AXNPN10394764176-PHONEPE LIMITED-PAYMENT AGGR</x:v>
      </x:c>
      <x:c r="H135" s="14" t="str"/>
      <x:c r="I135" s="14" t="str">
        <x:v>Receipt</x:v>
      </x:c>
      <x:c r="J135" s="17" t="n">
        <x:v>0</x:v>
      </x:c>
      <x:c r="K135" s="17" t="n">
        <x:v>73380.93</x:v>
      </x:c>
      <x:c r="L135" s="17" t="n">
        <x:v>73380.93</x:v>
      </x:c>
      <x:c r="M135" s="17" t="n">
        <x:v>325975.93</x:v>
      </x:c>
      <x:c r="N135" s="14" t="str">
        <x:v>Recurring Transaction</x:v>
      </x:c>
      <x:c r="O135" s="14" t="str">
        <x:v>Yes</x:v>
      </x:c>
      <x:c r="P135" s="14" t="str">
        <x:v>PHONEPE LIMITED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46125</x:v>
      </x:c>
    </x:row>
    <x:row r="136">
      <x:c r="A136" s="14" t="n">
        <x:v>153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46125</x:v>
      </x:c>
      <x:c r="F136" s="15" t="n">
        <x:v>46125</x:v>
      </x:c>
      <x:c r="G136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36" s="14" t="str"/>
      <x:c r="I136" s="14" t="str">
        <x:v>Receipt</x:v>
      </x:c>
      <x:c r="J136" s="17" t="n">
        <x:v>0</x:v>
      </x:c>
      <x:c r="K136" s="17" t="n">
        <x:v>13800</x:v>
      </x:c>
      <x:c r="L136" s="17" t="n">
        <x:v>13800</x:v>
      </x:c>
      <x:c r="M136" s="17" t="n">
        <x:v>339775.93</x:v>
      </x:c>
      <x:c r="N136" s="14" t="str">
        <x:v>Recurring Transaction</x:v>
      </x:c>
      <x:c r="O136" s="14" t="str">
        <x:v>Yes</x:v>
      </x:c>
      <x:c r="P136" s="14" t="str">
        <x:v>ONE MOBIKWIK SYSTEMS LIMITED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46125</x:v>
      </x:c>
    </x:row>
    <x:row r="137">
      <x:c r="A137" s="14" t="n">
        <x:v>154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46125</x:v>
      </x:c>
      <x:c r="F137" s="15" t="n">
        <x:v>46125</x:v>
      </x:c>
      <x:c r="G137" s="16" t="str">
        <x:v>EBANK:15036990 EBANK:1503699072/Hindustan Petroleum/604137022998</x:v>
      </x:c>
      <x:c r="H137" s="14" t="str"/>
      <x:c r="I137" s="14" t="str">
        <x:v>Payment</x:v>
      </x:c>
      <x:c r="J137" s="17" t="n">
        <x:v>1000</x:v>
      </x:c>
      <x:c r="K137" s="17" t="n">
        <x:v>0</x:v>
      </x:c>
      <x:c r="L137" s="17" t="n">
        <x:v>1000</x:v>
      </x:c>
      <x:c r="M137" s="17" t="n">
        <x:v>338775.93</x:v>
      </x:c>
      <x:c r="N137" s="14" t="str">
        <x:v>Recurring Transaction</x:v>
      </x:c>
      <x:c r="O137" s="14" t="str">
        <x:v>Yes</x:v>
      </x:c>
      <x:c r="P137" s="14" t="str">
        <x:v>EBANK EBANK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46125</x:v>
      </x:c>
    </x:row>
    <x:row r="138">
      <x:c r="A138" s="14" t="n">
        <x:v>155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46125</x:v>
      </x:c>
      <x:c r="F138" s="15" t="n">
        <x:v>46125</x:v>
      </x:c>
      <x:c r="G138" s="16" t="str">
        <x:v>DIGITA-MUMBAI/ NEFT-AXISCN1309952222-PINE LABS PRIVATE LIMITED-NO</x:v>
      </x:c>
      <x:c r="H138" s="14" t="str"/>
      <x:c r="I138" s="14" t="str">
        <x:v>Receipt</x:v>
      </x:c>
      <x:c r="J138" s="17" t="n">
        <x:v>0</x:v>
      </x:c>
      <x:c r="K138" s="17" t="n">
        <x:v>47686</x:v>
      </x:c>
      <x:c r="L138" s="17" t="n">
        <x:v>47686</x:v>
      </x:c>
      <x:c r="M138" s="17" t="n">
        <x:v>386461.93</x:v>
      </x:c>
      <x:c r="N138" s="14" t="str">
        <x:v>Recurring Transaction</x:v>
      </x:c>
      <x:c r="O138" s="14" t="str">
        <x:v>Yes</x:v>
      </x:c>
      <x:c r="P138" s="14" t="str">
        <x:v>PINE LABS PRIVATE LIMITED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46125</x:v>
      </x:c>
    </x:row>
    <x:row r="139">
      <x:c r="A139" s="14" t="n">
        <x:v>156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46125</x:v>
      </x:c>
      <x:c r="F139" s="15" t="n">
        <x:v>46125</x:v>
      </x:c>
      <x:c r="G139" s="16" t="str">
        <x:v>UPI/6103246468 24646865 UPI/610324646865/09:30:08/UPI/autofleetpetrolpump</x:v>
      </x:c>
      <x:c r="H139" s="14" t="str"/>
      <x:c r="I139" s="14" t="str">
        <x:v>Payment</x:v>
      </x:c>
      <x:c r="J139" s="17" t="n">
        <x:v>2000</x:v>
      </x:c>
      <x:c r="K139" s="17" t="n">
        <x:v>0</x:v>
      </x:c>
      <x:c r="L139" s="17" t="n">
        <x:v>2000</x:v>
      </x:c>
      <x:c r="M139" s="17" t="n">
        <x:v>384461.93</x:v>
      </x:c>
      <x:c r="N139" s="14" t="str">
        <x:v>UPI; Recurring Transaction</x:v>
      </x:c>
      <x:c r="O139" s="14" t="str">
        <x:v>Yes</x:v>
      </x:c>
      <x:c r="P139" s="14" t="str">
        <x:v>AUTOFLEETPETROLPUMP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46125</x:v>
      </x:c>
    </x:row>
    <x:row r="140">
      <x:c r="A140" s="14" t="n">
        <x:v>157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46125</x:v>
      </x:c>
      <x:c r="F140" s="15" t="n">
        <x:v>46125</x:v>
      </x:c>
      <x:c r="G140" s="16" t="str">
        <x:v>UPI/6103049513 4951307 UPI/610304951307/09:30:56/UPI/autofleetpetrolpump</x:v>
      </x:c>
      <x:c r="H140" s="14" t="str"/>
      <x:c r="I140" s="14" t="str">
        <x:v>Payment</x:v>
      </x:c>
      <x:c r="J140" s="17" t="n">
        <x:v>1000</x:v>
      </x:c>
      <x:c r="K140" s="17" t="n">
        <x:v>0</x:v>
      </x:c>
      <x:c r="L140" s="17" t="n">
        <x:v>1000</x:v>
      </x:c>
      <x:c r="M140" s="17" t="n">
        <x:v>383461.93</x:v>
      </x:c>
      <x:c r="N140" s="14" t="str">
        <x:v>UPI; Recurring Transaction</x:v>
      </x:c>
      <x:c r="O140" s="14" t="str">
        <x:v>Yes</x:v>
      </x:c>
      <x:c r="P140" s="14" t="str">
        <x:v>AUTOFLEETPETROLPUMP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46125</x:v>
      </x:c>
    </x:row>
    <x:row r="141">
      <x:c r="A141" s="14" t="n">
        <x:v>158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46125</x:v>
      </x:c>
      <x:c r="F141" s="15" t="n">
        <x:v>46125</x:v>
      </x:c>
      <x:c r="G141" s="16" t="str">
        <x:v>DIGITA-MUMBAI/ NEFT-AXODH10395993542-GRISHMA METAL TECHNOLOGY</x:v>
      </x:c>
      <x:c r="H141" s="14" t="str"/>
      <x:c r="I141" s="14" t="str">
        <x:v>Receipt</x:v>
      </x:c>
      <x:c r="J141" s="17" t="n">
        <x:v>0</x:v>
      </x:c>
      <x:c r="K141" s="17" t="n">
        <x:v>124000</x:v>
      </x:c>
      <x:c r="L141" s="17" t="n">
        <x:v>124000</x:v>
      </x:c>
      <x:c r="M141" s="17" t="n">
        <x:v>507461.93</x:v>
      </x:c>
      <x:c r="N141" s="14" t="str">
        <x:v>High Transaction; Recurring Transaction</x:v>
      </x:c>
      <x:c r="O141" s="14" t="str">
        <x:v>Yes</x:v>
      </x:c>
      <x:c r="P141" s="14" t="str">
        <x:v>GRISHMA METAL TECHNOLOGY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46125</x:v>
      </x:c>
    </x:row>
    <x:row r="142">
      <x:c r="A142" s="14" t="n">
        <x:v>159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46125</x:v>
      </x:c>
      <x:c r="F142" s="15" t="n">
        <x:v>46125</x:v>
      </x:c>
      <x:c r="G142" s="16" t="str">
        <x:v>UPI/1265365595 36559565 UPI/126536559565/11:02:55/UPI/surajdhanotra1@ibl/</x:v>
      </x:c>
      <x:c r="H142" s="14" t="str"/>
      <x:c r="I142" s="14" t="str">
        <x:v>Receipt</x:v>
      </x:c>
      <x:c r="J142" s="17" t="n">
        <x:v>0</x:v>
      </x:c>
      <x:c r="K142" s="17" t="n">
        <x:v>2261</x:v>
      </x:c>
      <x:c r="L142" s="17" t="n">
        <x:v>2261</x:v>
      </x:c>
      <x:c r="M142" s="17" t="n">
        <x:v>509722.93</x:v>
      </x:c>
      <x:c r="N142" s="14" t="str">
        <x:v>UPI; Recurring Transaction</x:v>
      </x:c>
      <x:c r="O142" s="14" t="str">
        <x:v>Yes</x:v>
      </x:c>
      <x:c r="P142" s="14" t="str">
        <x:v>SURAJDHANOTRAIBL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46125</x:v>
      </x:c>
    </x:row>
    <x:row r="143">
      <x:c r="A143" s="14" t="n">
        <x:v>161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46125</x:v>
      </x:c>
      <x:c r="F143" s="15" t="n">
        <x:v>46125</x:v>
      </x:c>
      <x:c r="G143" s="16" t="str">
        <x:v>DIGITA-MUMBAI/ NEFT-AXISCN1310059428-PINE LABS PRIVATE LIMITED-NO</x:v>
      </x:c>
      <x:c r="H143" s="14" t="str"/>
      <x:c r="I143" s="14" t="str">
        <x:v>Receipt</x:v>
      </x:c>
      <x:c r="J143" s="17" t="n">
        <x:v>0</x:v>
      </x:c>
      <x:c r="K143" s="17" t="n">
        <x:v>102789</x:v>
      </x:c>
      <x:c r="L143" s="17" t="n">
        <x:v>102789</x:v>
      </x:c>
      <x:c r="M143" s="17" t="n">
        <x:v>609211.93</x:v>
      </x:c>
      <x:c r="N143" s="14" t="str">
        <x:v>High Transaction; Recurring Transaction</x:v>
      </x:c>
      <x:c r="O143" s="14" t="str">
        <x:v>Yes</x:v>
      </x:c>
      <x:c r="P143" s="14" t="str">
        <x:v>PINE LABS PRIVATE LIMITED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46125</x:v>
      </x:c>
    </x:row>
    <x:row r="144">
      <x:c r="A144" s="14" t="n">
        <x:v>162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46125</x:v>
      </x:c>
      <x:c r="F144" s="15" t="n">
        <x:v>46125</x:v>
      </x:c>
      <x:c r="G144" s="16" t="str">
        <x:v>Charges for Charges for PORD Customer Payment :003581616879</x:v>
      </x:c>
      <x:c r="H144" s="14" t="str"/>
      <x:c r="I144" s="14" t="str">
        <x:v>Payment</x:v>
      </x:c>
      <x:c r="J144" s="17" t="n">
        <x:v>2.65</x:v>
      </x:c>
      <x:c r="K144" s="17" t="n">
        <x:v>0</x:v>
      </x:c>
      <x:c r="L144" s="17" t="n">
        <x:v>2.65</x:v>
      </x:c>
      <x:c r="M144" s="17" t="n">
        <x:v>609209.28</x:v>
      </x:c>
      <x:c r="N144" s="14" t="str">
        <x:v>Recurring Transaction</x:v>
      </x:c>
      <x:c r="O144" s="14" t="str">
        <x:v>Yes</x:v>
      </x:c>
      <x:c r="P144" s="14" t="str">
        <x:v>CHARGES FOR CHARGES FOR PORD CUSTOMER PA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46125</x:v>
      </x:c>
    </x:row>
    <x:row r="145">
      <x:c r="A145" s="14" t="n">
        <x:v>163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46125</x:v>
      </x:c>
      <x:c r="F145" s="15" t="n">
        <x:v>46125</x:v>
      </x:c>
      <x:c r="G145" s="16" t="str">
        <x:v>NEFT-BARBV2610 NEFT-BARBV26103046565-ATHARV FIRE AND SAFETY SERVI</x:v>
      </x:c>
      <x:c r="H145" s="14" t="str"/>
      <x:c r="I145" s="14" t="str">
        <x:v>Payment</x:v>
      </x:c>
      <x:c r="J145" s="17" t="n">
        <x:v>2065</x:v>
      </x:c>
      <x:c r="K145" s="17" t="n">
        <x:v>0</x:v>
      </x:c>
      <x:c r="L145" s="17" t="n">
        <x:v>2065</x:v>
      </x:c>
      <x:c r="M145" s="17" t="n">
        <x:v>607144.28</x:v>
      </x:c>
      <x:c r="N145" s="14" t="str">
        <x:v>Recurring Transaction</x:v>
      </x:c>
      <x:c r="O145" s="14" t="str">
        <x:v>Yes</x:v>
      </x:c>
      <x:c r="P145" s="14" t="str">
        <x:v>BARBV NEFT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46125</x:v>
      </x:c>
    </x:row>
    <x:row r="146">
      <x:c r="A146" s="14" t="n">
        <x:v>164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46125</x:v>
      </x:c>
      <x:c r="F146" s="15" t="n">
        <x:v>46125</x:v>
      </x:c>
      <x:c r="G146" s="16" t="str">
        <x:v>DIGITA-MUMBAI/ NEFT-HDFCH00930723327-KUNDAN QUARRY</x:v>
      </x:c>
      <x:c r="H146" s="14" t="str"/>
      <x:c r="I146" s="14" t="str">
        <x:v>Receipt</x:v>
      </x:c>
      <x:c r="J146" s="17" t="n">
        <x:v>0</x:v>
      </x:c>
      <x:c r="K146" s="17" t="n">
        <x:v>5800</x:v>
      </x:c>
      <x:c r="L146" s="17" t="n">
        <x:v>5800</x:v>
      </x:c>
      <x:c r="M146" s="17" t="n">
        <x:v>612944.28</x:v>
      </x:c>
      <x:c r="N146" s="14" t="str">
        <x:v>Recurring Transaction</x:v>
      </x:c>
      <x:c r="O146" s="14" t="str">
        <x:v>Yes</x:v>
      </x:c>
      <x:c r="P146" s="14" t="str">
        <x:v>KUNDAN QUARRY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46125</x:v>
      </x:c>
    </x:row>
    <x:row r="147">
      <x:c r="A147" s="14" t="n">
        <x:v>165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46125</x:v>
      </x:c>
      <x:c r="F147" s="15" t="n">
        <x:v>46125</x:v>
      </x:c>
      <x:c r="G147" s="16" t="str">
        <x:v>EBANK:WIB/1503 EBANK:WIB/1503777187/Edfs</x:v>
      </x:c>
      <x:c r="H147" s="14" t="str"/>
      <x:c r="I147" s="14" t="str">
        <x:v>Payment</x:v>
      </x:c>
      <x:c r="J147" s="17" t="n">
        <x:v>610444.28</x:v>
      </x:c>
      <x:c r="K147" s="17" t="n">
        <x:v>0</x:v>
      </x:c>
      <x:c r="L147" s="17" t="n">
        <x:v>610444.28</x:v>
      </x:c>
      <x:c r="M147" s="17" t="n">
        <x:v>2500</x:v>
      </x:c>
      <x:c r="N147" s="14" t="str">
        <x:v>High Transaction; Recurring Transaction</x:v>
      </x:c>
      <x:c r="O147" s="14" t="str">
        <x:v>Yes</x:v>
      </x:c>
      <x:c r="P147" s="14" t="str">
        <x:v>EBANKWIB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46125</x:v>
      </x:c>
    </x:row>
    <x:row r="148">
      <x:c r="A148" s="14" t="n">
        <x:v>166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46125</x:v>
      </x:c>
      <x:c r="F148" s="15" t="n">
        <x:v>46125</x:v>
      </x:c>
      <x:c r="G148" s="16" t="str">
        <x:v>DIGITA-MUMBAI/ https://cbdrpt101.bankofbaroda.co.in:22000/finbranch/arjspmorph/INFENG/tran_rpt.jsp?... 04-05-2026 NEFT-HDFCH00930605811-Adekar enterprises pvt ltd</x:v>
      </x:c>
      <x:c r="H148" s="14" t="str"/>
      <x:c r="I148" s="14" t="str">
        <x:v>Receipt</x:v>
      </x:c>
      <x:c r="J148" s="17" t="n">
        <x:v>0</x:v>
      </x:c>
      <x:c r="K148" s="17" t="n">
        <x:v>128900</x:v>
      </x:c>
      <x:c r="L148" s="17" t="n">
        <x:v>128900</x:v>
      </x:c>
      <x:c r="M148" s="17" t="n">
        <x:v>131400</x:v>
      </x:c>
      <x:c r="N148" s="14" t="str">
        <x:v>High Transaction; Recurring Transaction</x:v>
      </x:c>
      <x:c r="O148" s="14" t="str">
        <x:v>Yes</x:v>
      </x:c>
      <x:c r="P148" s="14" t="str">
        <x:v>CBDRPTBANKOFBARODACOIN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46125</x:v>
      </x:c>
    </x:row>
    <x:row r="149">
      <x:c r="A149" s="14" t="n">
        <x:v>167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46125</x:v>
      </x:c>
      <x:c r="F149" s="15" t="n">
        <x:v>46125</x:v>
      </x:c>
      <x:c r="G149" s="16" t="str">
        <x:v>DIGITA-MUMBAI/ NEFT-NKGSH26103010561-GEBI PRODUCTS PRIVATE LIMITE</x:v>
      </x:c>
      <x:c r="H149" s="14" t="str"/>
      <x:c r="I149" s="14" t="str">
        <x:v>Receipt</x:v>
      </x:c>
      <x:c r="J149" s="17" t="n">
        <x:v>0</x:v>
      </x:c>
      <x:c r="K149" s="17" t="n">
        <x:v>4415</x:v>
      </x:c>
      <x:c r="L149" s="17" t="n">
        <x:v>4415</x:v>
      </x:c>
      <x:c r="M149" s="17" t="n">
        <x:v>135815</x:v>
      </x:c>
      <x:c r="N149" s="14" t="str">
        <x:v>Recurring Transaction</x:v>
      </x:c>
      <x:c r="O149" s="14" t="str">
        <x:v>Yes</x:v>
      </x:c>
      <x:c r="P149" s="14" t="str">
        <x:v>GEBI PRODUCTS PRIVATE LIMITE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46125</x:v>
      </x:c>
    </x:row>
    <x:row r="150">
      <x:c r="A150" s="14" t="n">
        <x:v>168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46125</x:v>
      </x:c>
      <x:c r="F150" s="15" t="n">
        <x:v>46125</x:v>
      </x:c>
      <x:c r="G150" s="16" t="str">
        <x:v>DIGITA-MUMBAI/ NEFT-IN42610355845941-N R COLOURS LIMITED</x:v>
      </x:c>
      <x:c r="H150" s="14" t="str"/>
      <x:c r="I150" s="14" t="str">
        <x:v>Receipt</x:v>
      </x:c>
      <x:c r="J150" s="17" t="n">
        <x:v>0</x:v>
      </x:c>
      <x:c r="K150" s="17" t="n">
        <x:v>12678.78</x:v>
      </x:c>
      <x:c r="L150" s="17" t="n">
        <x:v>12678.78</x:v>
      </x:c>
      <x:c r="M150" s="17" t="n">
        <x:v>148493.78</x:v>
      </x:c>
      <x:c r="N150" s="14" t="str">
        <x:v>Recurring Transaction</x:v>
      </x:c>
      <x:c r="O150" s="14" t="str">
        <x:v>Yes</x:v>
      </x:c>
      <x:c r="P150" s="14" t="str">
        <x:v>N R COLOURS LIMITED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46125</x:v>
      </x:c>
    </x:row>
    <x:row r="151">
      <x:c r="A151" s="14" t="n">
        <x:v>169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46125</x:v>
      </x:c>
      <x:c r="F151" s="15" t="n">
        <x:v>46125</x:v>
      </x:c>
      <x:c r="G151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51" s="14" t="str"/>
      <x:c r="I151" s="14" t="str">
        <x:v>Payment</x:v>
      </x:c>
      <x:c r="J151" s="17" t="n">
        <x:v>107993.78</x:v>
      </x:c>
      <x:c r="K151" s="17" t="n">
        <x:v>0</x:v>
      </x:c>
      <x:c r="L151" s="17" t="n">
        <x:v>107993.78</x:v>
      </x:c>
      <x:c r="M151" s="17" t="n">
        <x:v>40500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46125</x:v>
      </x:c>
    </x:row>
    <x:row r="152">
      <x:c r="A152" s="14" t="n">
        <x:v>171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NEFT-IN22610317343563-PELL TECH HEALTH CARE PRIVAT</x:v>
      </x:c>
      <x:c r="H152" s="14" t="str"/>
      <x:c r="I152" s="14" t="str">
        <x:v>Receipt</x:v>
      </x:c>
      <x:c r="J152" s="17" t="n">
        <x:v>0</x:v>
      </x:c>
      <x:c r="K152" s="17" t="n">
        <x:v>12343</x:v>
      </x:c>
      <x:c r="L152" s="17" t="n">
        <x:v>12343</x:v>
      </x:c>
      <x:c r="M152" s="17" t="n">
        <x:v>36843</x:v>
      </x:c>
      <x:c r="N152" s="14" t="str">
        <x:v>Recurring Transaction</x:v>
      </x:c>
      <x:c r="O152" s="14" t="str">
        <x:v>Yes</x:v>
      </x:c>
      <x:c r="P152" s="14" t="str">
        <x:v>PELL TECH HEALTH CARE PRIVAT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172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46126</x:v>
      </x:c>
      <x:c r="F153" s="15" t="n">
        <x:v>46126</x:v>
      </x:c>
      <x:c r="G153" s="16" t="str">
        <x:v>DIGITA-MUMBAI/ NEFT-HDFCH00932431931-KAVITA ENTERPRISES</x:v>
      </x:c>
      <x:c r="H153" s="14" t="str"/>
      <x:c r="I153" s="14" t="str">
        <x:v>Receipt</x:v>
      </x:c>
      <x:c r="J153" s="17" t="n">
        <x:v>0</x:v>
      </x:c>
      <x:c r="K153" s="17" t="n">
        <x:v>110336</x:v>
      </x:c>
      <x:c r="L153" s="17" t="n">
        <x:v>110336</x:v>
      </x:c>
      <x:c r="M153" s="17" t="n">
        <x:v>147179</x:v>
      </x:c>
      <x:c r="N153" s="14" t="str">
        <x:v>High Transaction; Recurring Transaction</x:v>
      </x:c>
      <x:c r="O153" s="14" t="str">
        <x:v>Yes</x:v>
      </x:c>
      <x:c r="P153" s="14" t="str">
        <x:v>KAVITA ENTERPRISES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46126</x:v>
      </x:c>
    </x:row>
    <x:row r="154">
      <x:c r="A154" s="14" t="n">
        <x:v>173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46126</x:v>
      </x:c>
      <x:c r="F154" s="15" t="n">
        <x:v>46126</x:v>
      </x:c>
      <x:c r="G154" s="16" t="str">
        <x:v>DIGITA-MUMBAI/ NEFT-YESAP61042581238-PhonePe Limited</x:v>
      </x:c>
      <x:c r="H154" s="14" t="str"/>
      <x:c r="I154" s="14" t="str">
        <x:v>Receipt</x:v>
      </x:c>
      <x:c r="J154" s="17" t="n">
        <x:v>0</x:v>
      </x:c>
      <x:c r="K154" s="17" t="n">
        <x:v>227801</x:v>
      </x:c>
      <x:c r="L154" s="17" t="n">
        <x:v>227801</x:v>
      </x:c>
      <x:c r="M154" s="17" t="n">
        <x:v>374980</x:v>
      </x:c>
      <x:c r="N154" s="14" t="str">
        <x:v>High Transaction; Recurring Transaction</x:v>
      </x:c>
      <x:c r="O154" s="14" t="str">
        <x:v>Yes</x:v>
      </x:c>
      <x:c r="P154" s="14" t="str">
        <x:v>PHONEPE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46126</x:v>
      </x:c>
    </x:row>
    <x:row r="155">
      <x:c r="A155" s="14" t="n">
        <x:v>174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46126</x:v>
      </x:c>
      <x:c r="F155" s="15" t="n">
        <x:v>46126</x:v>
      </x:c>
      <x:c r="G155" s="16" t="str">
        <x:v>DIGITA-MUMBAI/ NEFT-AXNPN10404023106-PHONEPE LIMITED-PAYMENT AGGR</x:v>
      </x:c>
      <x:c r="H155" s="14" t="str"/>
      <x:c r="I155" s="14" t="str">
        <x:v>Receipt</x:v>
      </x:c>
      <x:c r="J155" s="17" t="n">
        <x:v>0</x:v>
      </x:c>
      <x:c r="K155" s="17" t="n">
        <x:v>79141.65</x:v>
      </x:c>
      <x:c r="L155" s="17" t="n">
        <x:v>79141.65</x:v>
      </x:c>
      <x:c r="M155" s="17" t="n">
        <x:v>454121.65</x:v>
      </x:c>
      <x:c r="N155" s="14" t="str">
        <x:v>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46126</x:v>
      </x:c>
    </x:row>
    <x:row r="156">
      <x:c r="A156" s="14" t="n">
        <x:v>175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46126</x:v>
      </x:c>
      <x:c r="F156" s="15" t="n">
        <x:v>46126</x:v>
      </x:c>
      <x:c r="G156" s="16" t="str">
        <x:v>DIGITA-MUMBAI/ NEFT-AXISCN1310804202-ONE MOBIKWIK SYSTEMS LIMITED</x:v>
      </x:c>
      <x:c r="H156" s="14" t="str"/>
      <x:c r="I156" s="14" t="str">
        <x:v>Receipt</x:v>
      </x:c>
      <x:c r="J156" s="17" t="n">
        <x:v>0</x:v>
      </x:c>
      <x:c r="K156" s="17" t="n">
        <x:v>17500</x:v>
      </x:c>
      <x:c r="L156" s="17" t="n">
        <x:v>17500</x:v>
      </x:c>
      <x:c r="M156" s="17" t="n">
        <x:v>471621.65</x:v>
      </x:c>
      <x:c r="N156" s="14" t="str">
        <x:v>Recurring Transaction</x:v>
      </x:c>
      <x:c r="O156" s="14" t="str">
        <x:v>Yes</x:v>
      </x:c>
      <x:c r="P156" s="14" t="str">
        <x:v>ONE MOBIKWIK SYSTEMS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46126</x:v>
      </x:c>
    </x:row>
    <x:row r="157">
      <x:c r="A157" s="14" t="n">
        <x:v>176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46126</x:v>
      </x:c>
      <x:c r="F157" s="15" t="n">
        <x:v>46126</x:v>
      </x:c>
      <x:c r="G157" s="16" t="str">
        <x:v>EBANK:WIB/1503 EBANK:WIB/1503879023/Edfs</x:v>
      </x:c>
      <x:c r="H157" s="14" t="str"/>
      <x:c r="I157" s="14" t="str">
        <x:v>Payment</x:v>
      </x:c>
      <x:c r="J157" s="17" t="n">
        <x:v>421121.65</x:v>
      </x:c>
      <x:c r="K157" s="17" t="n">
        <x:v>0</x:v>
      </x:c>
      <x:c r="L157" s="17" t="n">
        <x:v>421121.65</x:v>
      </x:c>
      <x:c r="M157" s="17" t="n">
        <x:v>50500</x:v>
      </x:c>
      <x:c r="N157" s="14" t="str">
        <x:v>High Transaction; Recurring Transaction</x:v>
      </x:c>
      <x:c r="O157" s="14" t="str">
        <x:v>Yes</x:v>
      </x:c>
      <x:c r="P157" s="14" t="str">
        <x:v>EBANKWIB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46126</x:v>
      </x:c>
    </x:row>
    <x:row r="158">
      <x:c r="A158" s="14" t="n">
        <x:v>177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46126</x:v>
      </x:c>
      <x:c r="F158" s="15" t="n">
        <x:v>46126</x:v>
      </x:c>
      <x:c r="G158" s="16" t="str">
        <x:v>EBANK:15038806 EBANK:1503880651/MSEDCL-LT Post Paid Energy Bill/</x:v>
      </x:c>
      <x:c r="H158" s="14" t="str"/>
      <x:c r="I158" s="14" t="str">
        <x:v>Payment</x:v>
      </x:c>
      <x:c r="J158" s="17" t="n">
        <x:v>1950</x:v>
      </x:c>
      <x:c r="K158" s="17" t="n">
        <x:v>0</x:v>
      </x:c>
      <x:c r="L158" s="17" t="n">
        <x:v>1950</x:v>
      </x:c>
      <x:c r="M158" s="17" t="n">
        <x:v>48550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46126</x:v>
      </x:c>
    </x:row>
    <x:row r="159">
      <x:c r="A159" s="14" t="n">
        <x:v>178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46126</x:v>
      </x:c>
      <x:c r="F159" s="15" t="n">
        <x:v>46126</x:v>
      </x:c>
      <x:c r="G159" s="16" t="str">
        <x:v>DIGITA-MUMBAI/ NEFT-AXISCN1310872121-PINE LABS PRIVATE LIMITED-NO</x:v>
      </x:c>
      <x:c r="H159" s="14" t="str"/>
      <x:c r="I159" s="14" t="str">
        <x:v>Receipt</x:v>
      </x:c>
      <x:c r="J159" s="17" t="n">
        <x:v>0</x:v>
      </x:c>
      <x:c r="K159" s="17" t="n">
        <x:v>181645</x:v>
      </x:c>
      <x:c r="L159" s="17" t="n">
        <x:v>181645</x:v>
      </x:c>
      <x:c r="M159" s="17" t="n">
        <x:v>230195</x:v>
      </x:c>
      <x:c r="N159" s="14" t="str">
        <x:v>High Transaction; 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46126</x:v>
      </x:c>
    </x:row>
    <x:row r="160">
      <x:c r="A160" s="14" t="n">
        <x:v>179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46126</x:v>
      </x:c>
      <x:c r="F160" s="15" t="n">
        <x:v>46126</x:v>
      </x:c>
      <x:c r="G160" s="16" t="str">
        <x:v>DIGITA-MUMBAI/ NEFT-IDIBH10438167138-JAI AMBE TRANSPORT</x:v>
      </x:c>
      <x:c r="H160" s="14" t="str"/>
      <x:c r="I160" s="14" t="str">
        <x:v>Receipt</x:v>
      </x:c>
      <x:c r="J160" s="17" t="n">
        <x:v>0</x:v>
      </x:c>
      <x:c r="K160" s="17" t="n">
        <x:v>3660</x:v>
      </x:c>
      <x:c r="L160" s="17" t="n">
        <x:v>3660</x:v>
      </x:c>
      <x:c r="M160" s="17" t="n">
        <x:v>233855</x:v>
      </x:c>
      <x:c r="N160" s="14" t="str">
        <x:v>Recurring Transaction</x:v>
      </x:c>
      <x:c r="O160" s="14" t="str">
        <x:v>Yes</x:v>
      </x:c>
      <x:c r="P160" s="14" t="str">
        <x:v>JAI AMBE TRANSPORT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46126</x:v>
      </x:c>
    </x:row>
    <x:row r="161">
      <x:c r="A161" s="14" t="n">
        <x:v>180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46126</x:v>
      </x:c>
      <x:c r="F161" s="15" t="n">
        <x:v>46126</x:v>
      </x:c>
      <x:c r="G161" s="16" t="str">
        <x:v>DIGITA-MUMBAI/ NEFT-KKBKH26104944678-ATLAS COMMODITIES PRIVATE LI</x:v>
      </x:c>
      <x:c r="H161" s="14" t="str"/>
      <x:c r="I161" s="14" t="str">
        <x:v>Receipt</x:v>
      </x:c>
      <x:c r="J161" s="17" t="n">
        <x:v>0</x:v>
      </x:c>
      <x:c r="K161" s="17" t="n">
        <x:v>8470</x:v>
      </x:c>
      <x:c r="L161" s="17" t="n">
        <x:v>8470</x:v>
      </x:c>
      <x:c r="M161" s="17" t="n">
        <x:v>242325</x:v>
      </x:c>
      <x:c r="N161" s="14" t="str">
        <x:v>Recurring Transaction</x:v>
      </x:c>
      <x:c r="O161" s="14" t="str">
        <x:v>Yes</x:v>
      </x:c>
      <x:c r="P161" s="14" t="str">
        <x:v>ATLAS COMMODITIES PRIVATE LI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46126</x:v>
      </x:c>
    </x:row>
    <x:row r="162">
      <x:c r="A162" s="14" t="n">
        <x:v>181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46126</x:v>
      </x:c>
      <x:c r="F162" s="15" t="n">
        <x:v>46126</x:v>
      </x:c>
      <x:c r="G162" s="16" t="str">
        <x:v>EBANK:WIB/1504 EBANK:WIB/1504010401/Edfs</x:v>
      </x:c>
      <x:c r="H162" s="14" t="str"/>
      <x:c r="I162" s="14" t="str">
        <x:v>Payment</x:v>
      </x:c>
      <x:c r="J162" s="17" t="n">
        <x:v>240000</x:v>
      </x:c>
      <x:c r="K162" s="17" t="n">
        <x:v>0</x:v>
      </x:c>
      <x:c r="L162" s="17" t="n">
        <x:v>240000</x:v>
      </x:c>
      <x:c r="M162" s="17" t="n">
        <x:v>2325</x:v>
      </x:c>
      <x:c r="N162" s="14" t="str">
        <x:v>High Transaction; Recurring Transaction</x:v>
      </x:c>
      <x:c r="O162" s="14" t="str">
        <x:v>Yes</x:v>
      </x:c>
      <x:c r="P162" s="14" t="str">
        <x:v>EBANKWIB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46126</x:v>
      </x:c>
    </x:row>
    <x:row r="163">
      <x:c r="A163" s="14" t="n">
        <x:v>182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46127</x:v>
      </x:c>
      <x:c r="F163" s="15" t="n">
        <x:v>46127</x:v>
      </x:c>
      <x:c r="G163" s="16" t="str">
        <x:v>DIGITA-MUMBAI/ NEFT-YESAP61053875611-PhonePe Limited</x:v>
      </x:c>
      <x:c r="H163" s="14" t="str"/>
      <x:c r="I163" s="14" t="str">
        <x:v>Receipt</x:v>
      </x:c>
      <x:c r="J163" s="17" t="n">
        <x:v>0</x:v>
      </x:c>
      <x:c r="K163" s="17" t="n">
        <x:v>289276.57</x:v>
      </x:c>
      <x:c r="L163" s="17" t="n">
        <x:v>289276.57</x:v>
      </x:c>
      <x:c r="M163" s="17" t="n">
        <x:v>291601.57</x:v>
      </x:c>
      <x:c r="N163" s="14" t="str">
        <x:v>High Transaction; Recurring Transaction</x:v>
      </x:c>
      <x:c r="O163" s="14" t="str">
        <x:v>Yes</x:v>
      </x:c>
      <x:c r="P163" s="14" t="str">
        <x:v>PHONEPE LIMITED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1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46127</x:v>
      </x:c>
    </x:row>
    <x:row r="164">
      <x:c r="A164" s="14" t="n">
        <x:v>183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46127</x:v>
      </x:c>
      <x:c r="F164" s="15" t="n">
        <x:v>46127</x:v>
      </x:c>
      <x:c r="G164" s="16" t="str">
        <x:v>DIGITA-MUMBAI/ NEFT-AXNPN10512169091-PHONEPE LIMITED-PAYMENT AGGR</x:v>
      </x:c>
      <x:c r="H164" s="14" t="str"/>
      <x:c r="I164" s="14" t="str">
        <x:v>Receipt</x:v>
      </x:c>
      <x:c r="J164" s="17" t="n">
        <x:v>0</x:v>
      </x:c>
      <x:c r="K164" s="17" t="n">
        <x:v>106410</x:v>
      </x:c>
      <x:c r="L164" s="17" t="n">
        <x:v>106410</x:v>
      </x:c>
      <x:c r="M164" s="17" t="n">
        <x:v>398011.57</x:v>
      </x:c>
      <x:c r="N164" s="14" t="str">
        <x:v>High Transaction; Recurring Transaction</x:v>
      </x:c>
      <x:c r="O164" s="14" t="str">
        <x:v>Yes</x:v>
      </x:c>
      <x:c r="P164" s="14" t="str">
        <x:v>PHONEPE LIMITED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46127</x:v>
      </x:c>
    </x:row>
    <x:row r="165">
      <x:c r="A165" s="14" t="n">
        <x:v>184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46127</x:v>
      </x:c>
      <x:c r="F165" s="15" t="n">
        <x:v>46127</x:v>
      </x:c>
      <x:c r="G165" s="16" t="str">
        <x:v>DIGITA-MUMBAI/ NEFT-AXISCN1311551702-ONE MOBIKWIK SYSTEMS LIMITED</x:v>
      </x:c>
      <x:c r="H165" s="14" t="str"/>
      <x:c r="I165" s="14" t="str">
        <x:v>Receipt</x:v>
      </x:c>
      <x:c r="J165" s="17" t="n">
        <x:v>0</x:v>
      </x:c>
      <x:c r="K165" s="17" t="n">
        <x:v>13630</x:v>
      </x:c>
      <x:c r="L165" s="17" t="n">
        <x:v>13630</x:v>
      </x:c>
      <x:c r="M165" s="17" t="n">
        <x:v>411641.57</x:v>
      </x:c>
      <x:c r="N165" s="14" t="str">
        <x:v>Recurring Transaction</x:v>
      </x:c>
      <x:c r="O165" s="14" t="str">
        <x:v>Yes</x:v>
      </x:c>
      <x:c r="P165" s="14" t="str">
        <x:v>ONE MOBIKWIK SYSTEMS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46127</x:v>
      </x:c>
    </x:row>
    <x:row r="166">
      <x:c r="A166" s="14" t="n">
        <x:v>185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46127</x:v>
      </x:c>
      <x:c r="F166" s="15" t="n">
        <x:v>46127</x:v>
      </x:c>
      <x:c r="G16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66" s="14" t="str"/>
      <x:c r="I166" s="14" t="str">
        <x:v>Payment</x:v>
      </x:c>
      <x:c r="J166" s="17" t="n">
        <x:v>401141.57</x:v>
      </x:c>
      <x:c r="K166" s="17" t="n">
        <x:v>0</x:v>
      </x:c>
      <x:c r="L166" s="17" t="n">
        <x:v>401141.57</x:v>
      </x:c>
      <x:c r="M166" s="17" t="n">
        <x:v>10500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46127</x:v>
      </x:c>
    </x:row>
    <x:row r="167">
      <x:c r="A167" s="14" t="n">
        <x:v>186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46127</x:v>
      </x:c>
      <x:c r="F167" s="15" t="n">
        <x:v>46127</x:v>
      </x:c>
      <x:c r="G167" s="16" t="str">
        <x:v>DIGITA-MUMBAI/ NEFT-AXISCN1311689812-PINE LABS PRIVATE LIMITED-NO</x:v>
      </x:c>
      <x:c r="H167" s="14" t="str"/>
      <x:c r="I167" s="14" t="str">
        <x:v>Receipt</x:v>
      </x:c>
      <x:c r="J167" s="17" t="n">
        <x:v>0</x:v>
      </x:c>
      <x:c r="K167" s="17" t="n">
        <x:v>56935</x:v>
      </x:c>
      <x:c r="L167" s="17" t="n">
        <x:v>56935</x:v>
      </x:c>
      <x:c r="M167" s="17" t="n">
        <x:v>67435</x:v>
      </x:c>
      <x:c r="N167" s="14" t="str">
        <x:v>Recurring Transaction</x:v>
      </x:c>
      <x:c r="O167" s="14" t="str">
        <x:v>Yes</x:v>
      </x:c>
      <x:c r="P167" s="14" t="str">
        <x:v>PINE LABS PRIVATE LIMITED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46127</x:v>
      </x:c>
    </x:row>
    <x:row r="168">
      <x:c r="A168" s="14" t="n">
        <x:v>187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46127</x:v>
      </x:c>
      <x:c r="F168" s="15" t="n">
        <x:v>46127</x:v>
      </x:c>
      <x:c r="G168" s="16" t="str">
        <x:v>DIGITA-MUMBAI/ Dep-NEFT-IN42610556923441-JERAI FITNESS LIMITED</x:v>
      </x:c>
      <x:c r="H168" s="14" t="str"/>
      <x:c r="I168" s="14" t="str">
        <x:v>Receipt</x:v>
      </x:c>
      <x:c r="J168" s="17" t="n">
        <x:v>0</x:v>
      </x:c>
      <x:c r="K168" s="17" t="n">
        <x:v>18357.8</x:v>
      </x:c>
      <x:c r="L168" s="17" t="n">
        <x:v>18357.8</x:v>
      </x:c>
      <x:c r="M168" s="17" t="n">
        <x:v>85792.8</x:v>
      </x:c>
      <x:c r="N168" s="14" t="str">
        <x:v>Recurring Transaction</x:v>
      </x:c>
      <x:c r="O168" s="14" t="str">
        <x:v>Yes</x:v>
      </x:c>
      <x:c r="P168" s="14" t="str">
        <x:v>JERAI FITNESS LIMITED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46127</x:v>
      </x:c>
    </x:row>
    <x:row r="169">
      <x:c r="A169" s="14" t="n">
        <x:v>188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46127</x:v>
      </x:c>
      <x:c r="F169" s="15" t="n">
        <x:v>46127</x:v>
      </x:c>
      <x:c r="G169" s="16" t="str">
        <x:v>DIGITA-MUMBAI/ NEFT-KKBKH26105643449-VENKTESHWAR INDUSTRIAL CORPO</x:v>
      </x:c>
      <x:c r="H169" s="14" t="str"/>
      <x:c r="I169" s="14" t="str">
        <x:v>Receipt</x:v>
      </x:c>
      <x:c r="J169" s="17" t="n">
        <x:v>0</x:v>
      </x:c>
      <x:c r="K169" s="17" t="n">
        <x:v>28088</x:v>
      </x:c>
      <x:c r="L169" s="17" t="n">
        <x:v>28088</x:v>
      </x:c>
      <x:c r="M169" s="17" t="n">
        <x:v>113880.8</x:v>
      </x:c>
      <x:c r="N169" s="14" t="str">
        <x:v>Recurring Transaction</x:v>
      </x:c>
      <x:c r="O169" s="14" t="str">
        <x:v>Yes</x:v>
      </x:c>
      <x:c r="P169" s="14" t="str">
        <x:v>VENKTESHWAR INDUSTRIAL CORPO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46127</x:v>
      </x:c>
    </x:row>
    <x:row r="170">
      <x:c r="A170" s="14" t="n">
        <x:v>189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46127</x:v>
      </x:c>
      <x:c r="F170" s="15" t="n">
        <x:v>46127</x:v>
      </x:c>
      <x:c r="G170" s="16" t="str">
        <x:v>DIGITA-MUMBAI/ NEFT-IN42610557031748-MITA FASTENERS PRIVATE LIMIT</x:v>
      </x:c>
      <x:c r="H170" s="14" t="str"/>
      <x:c r="I170" s="14" t="str">
        <x:v>Receipt</x:v>
      </x:c>
      <x:c r="J170" s="17" t="n">
        <x:v>0</x:v>
      </x:c>
      <x:c r="K170" s="17" t="n">
        <x:v>9044</x:v>
      </x:c>
      <x:c r="L170" s="17" t="n">
        <x:v>9044</x:v>
      </x:c>
      <x:c r="M170" s="17" t="n">
        <x:v>122924.8</x:v>
      </x:c>
      <x:c r="N170" s="14" t="str">
        <x:v>Recurring Transaction</x:v>
      </x:c>
      <x:c r="O170" s="14" t="str">
        <x:v>Yes</x:v>
      </x:c>
      <x:c r="P170" s="14" t="str">
        <x:v>MITA FASTENERS PRIVATE LIMIT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46127</x:v>
      </x:c>
    </x:row>
    <x:row r="171">
      <x:c r="A171" s="14" t="n">
        <x:v>190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46127</x:v>
      </x:c>
      <x:c r="F171" s="15" t="n">
        <x:v>46127</x:v>
      </x:c>
      <x:c r="G171" s="16" t="str">
        <x:v>DIGITA-MUMBAI/ NEFT-HDFCH00934703842-QUEST ENTERPRISES PVT LTD</x:v>
      </x:c>
      <x:c r="H171" s="14" t="str"/>
      <x:c r="I171" s="14" t="str">
        <x:v>Receipt</x:v>
      </x:c>
      <x:c r="J171" s="17" t="n">
        <x:v>0</x:v>
      </x:c>
      <x:c r="K171" s="17" t="n">
        <x:v>5000</x:v>
      </x:c>
      <x:c r="L171" s="17" t="n">
        <x:v>5000</x:v>
      </x:c>
      <x:c r="M171" s="17" t="n">
        <x:v>127924.8</x:v>
      </x:c>
      <x:c r="N171" s="14" t="str">
        <x:v>Recurring Transaction</x:v>
      </x:c>
      <x:c r="O171" s="14" t="str">
        <x:v>Yes</x:v>
      </x:c>
      <x:c r="P171" s="14" t="str">
        <x:v>QUEST ENTERPRISES PVT LTD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46127</x:v>
      </x:c>
    </x:row>
    <x:row r="172">
      <x:c r="A172" s="14" t="n">
        <x:v>191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46127</x:v>
      </x:c>
      <x:c r="F172" s="15" t="n">
        <x:v>46127</x:v>
      </x:c>
      <x:c r="G172" s="16" t="str">
        <x:v>EBANK:WIB/1504 EBANK:WIB/1504096201/Edfs</x:v>
      </x:c>
      <x:c r="H172" s="14" t="str"/>
      <x:c r="I172" s="14" t="str">
        <x:v>Payment</x:v>
      </x:c>
      <x:c r="J172" s="17" t="n">
        <x:v>125424</x:v>
      </x:c>
      <x:c r="K172" s="17" t="n">
        <x:v>0</x:v>
      </x:c>
      <x:c r="L172" s="17" t="n">
        <x:v>125424</x:v>
      </x:c>
      <x:c r="M172" s="17" t="n">
        <x:v>2500.8</x:v>
      </x:c>
      <x:c r="N172" s="14" t="str">
        <x:v>High Transaction; Recurring Transaction</x:v>
      </x:c>
      <x:c r="O172" s="14" t="str">
        <x:v>Yes</x:v>
      </x:c>
      <x:c r="P172" s="14" t="str">
        <x:v>EBANKWIB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1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46127</x:v>
      </x:c>
    </x:row>
    <x:row r="173">
      <x:c r="A173" s="14" t="n">
        <x:v>192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46127</x:v>
      </x:c>
      <x:c r="F173" s="15" t="n">
        <x:v>46127</x:v>
      </x:c>
      <x:c r="G173" s="16" t="str">
        <x:v>DIGITA-MUMBAI/ NEFT-NKGSH26105037900-GEBI PRODUCTS PRIVATE LIMITE</x:v>
      </x:c>
      <x:c r="H173" s="14" t="str"/>
      <x:c r="I173" s="14" t="str">
        <x:v>Receipt</x:v>
      </x:c>
      <x:c r="J173" s="17" t="n">
        <x:v>0</x:v>
      </x:c>
      <x:c r="K173" s="17" t="n">
        <x:v>10119</x:v>
      </x:c>
      <x:c r="L173" s="17" t="n">
        <x:v>10119</x:v>
      </x:c>
      <x:c r="M173" s="17" t="n">
        <x:v>12619.8</x:v>
      </x:c>
      <x:c r="N173" s="14" t="str">
        <x:v>Recurring Transaction</x:v>
      </x:c>
      <x:c r="O173" s="14" t="str">
        <x:v>Yes</x:v>
      </x:c>
      <x:c r="P173" s="14" t="str">
        <x:v>GEBI PRODUCTS PRIVATE LIMITE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46127</x:v>
      </x:c>
    </x:row>
    <x:row r="174">
      <x:c r="A174" s="14" t="n">
        <x:v>193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46127</x:v>
      </x:c>
      <x:c r="F174" s="15" t="n">
        <x:v>46127</x:v>
      </x:c>
      <x:c r="G174" s="16" t="str">
        <x:v>UPI/5133890676 89067648 UPI/513389067648/17:04:34/UPI/surajdhanotra1@ibl/</x:v>
      </x:c>
      <x:c r="H174" s="14" t="str"/>
      <x:c r="I174" s="14" t="str">
        <x:v>Receipt</x:v>
      </x:c>
      <x:c r="J174" s="17" t="n">
        <x:v>0</x:v>
      </x:c>
      <x:c r="K174" s="17" t="n">
        <x:v>3617</x:v>
      </x:c>
      <x:c r="L174" s="17" t="n">
        <x:v>3617</x:v>
      </x:c>
      <x:c r="M174" s="17" t="n">
        <x:v>16236.8</x:v>
      </x:c>
      <x:c r="N174" s="14" t="str">
        <x:v>UPI; Recurring Transaction</x:v>
      </x:c>
      <x:c r="O174" s="14" t="str">
        <x:v>Yes</x:v>
      </x:c>
      <x:c r="P174" s="14" t="str">
        <x:v>SURAJDHANOTRAIBL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46127</x:v>
      </x:c>
    </x:row>
    <x:row r="175">
      <x:c r="A175" s="14" t="n">
        <x:v>194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46127</x:v>
      </x:c>
      <x:c r="F175" s="15" t="n">
        <x:v>46127</x:v>
      </x:c>
      <x:c r="G175" s="16" t="str">
        <x:v>EBANK:WIB/1504 EBANK:WIB/1504156827/Edfs</x:v>
      </x:c>
      <x:c r="H175" s="14" t="str"/>
      <x:c r="I175" s="14" t="str">
        <x:v>Payment</x:v>
      </x:c>
      <x:c r="J175" s="17" t="n">
        <x:v>13736</x:v>
      </x:c>
      <x:c r="K175" s="17" t="n">
        <x:v>0</x:v>
      </x:c>
      <x:c r="L175" s="17" t="n">
        <x:v>13736</x:v>
      </x:c>
      <x:c r="M175" s="17" t="n">
        <x:v>2500.8</x:v>
      </x:c>
      <x:c r="N175" s="14" t="str">
        <x:v>Recurring Transaction</x:v>
      </x:c>
      <x:c r="O175" s="14" t="str">
        <x:v>Yes</x:v>
      </x:c>
      <x:c r="P175" s="14" t="str">
        <x:v>EBANKWIB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46127</x:v>
      </x:c>
    </x:row>
    <x:row r="176">
      <x:c r="A176" s="14" t="n">
        <x:v>195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46127</x:v>
      </x:c>
      <x:c r="F176" s="15" t="n">
        <x:v>46127</x:v>
      </x:c>
      <x:c r="G176" s="16" t="str">
        <x:v>DIGITA-MUMBAI/ IMPS/P2A/610519636341/VAKAS TEMPO SER/IMPSCNB9199</x:v>
      </x:c>
      <x:c r="H176" s="14" t="str"/>
      <x:c r="I176" s="14" t="str">
        <x:v>Receipt</x:v>
      </x:c>
      <x:c r="J176" s="17" t="n">
        <x:v>0</x:v>
      </x:c>
      <x:c r="K176" s="17" t="n">
        <x:v>28766</x:v>
      </x:c>
      <x:c r="L176" s="17" t="n">
        <x:v>28766</x:v>
      </x:c>
      <x:c r="M176" s="17" t="n">
        <x:v>31266.8</x:v>
      </x:c>
      <x:c r="N176" s="14" t="str">
        <x:v>Recurring Transaction</x:v>
      </x:c>
      <x:c r="O176" s="14" t="str">
        <x:v>Yes</x:v>
      </x:c>
      <x:c r="P176" s="14" t="str">
        <x:v>VAKAS TEMPO SER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46127</x:v>
      </x:c>
    </x:row>
    <x:row r="177">
      <x:c r="A177" s="14" t="n">
        <x:v>196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46127</x:v>
      </x:c>
      <x:c r="F177" s="15" t="n">
        <x:v>46127</x:v>
      </x:c>
      <x:c r="G177" s="16" t="str">
        <x:v>DIGITA-MUMBAI/ IMPS/P2A/610519636774/VAKAS TEMPO SER/IMPSCNB9199</x:v>
      </x:c>
      <x:c r="H177" s="14" t="str"/>
      <x:c r="I177" s="14" t="str">
        <x:v>Receipt</x:v>
      </x:c>
      <x:c r="J177" s="17" t="n">
        <x:v>0</x:v>
      </x:c>
      <x:c r="K177" s="17" t="n">
        <x:v>25486</x:v>
      </x:c>
      <x:c r="L177" s="17" t="n">
        <x:v>25486</x:v>
      </x:c>
      <x:c r="M177" s="17" t="n">
        <x:v>56752.8</x:v>
      </x:c>
      <x:c r="N177" s="14" t="str">
        <x:v>Recurring Transaction</x:v>
      </x:c>
      <x:c r="O177" s="14" t="str">
        <x:v>Yes</x:v>
      </x:c>
      <x:c r="P177" s="14" t="str">
        <x:v>VAKAS TEMPO SER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46127</x:v>
      </x:c>
    </x:row>
    <x:row r="178">
      <x:c r="A178" s="14" t="n">
        <x:v>197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46127</x:v>
      </x:c>
      <x:c r="F178" s="15" t="n">
        <x:v>46127</x:v>
      </x:c>
      <x:c r="G178" s="16" t="str">
        <x:v>EBANK:WIB/1504 EBANK:WIB/1504160264/Edfs</x:v>
      </x:c>
      <x:c r="H178" s="14" t="str"/>
      <x:c r="I178" s="14" t="str">
        <x:v>Payment</x:v>
      </x:c>
      <x:c r="J178" s="17" t="n">
        <x:v>54252.8</x:v>
      </x:c>
      <x:c r="K178" s="17" t="n">
        <x:v>0</x:v>
      </x:c>
      <x:c r="L178" s="17" t="n">
        <x:v>54252.8</x:v>
      </x:c>
      <x:c r="M178" s="17" t="n">
        <x:v>2500</x:v>
      </x:c>
      <x:c r="N178" s="14" t="str">
        <x:v>Recurring Transaction</x:v>
      </x:c>
      <x:c r="O178" s="14" t="str">
        <x:v>Yes</x:v>
      </x:c>
      <x:c r="P178" s="14" t="str">
        <x:v>EBANKWIB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46127</x:v>
      </x:c>
    </x:row>
    <x:row r="179">
      <x:c r="A179" s="14" t="n">
        <x:v>198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46127</x:v>
      </x:c>
      <x:c r="F179" s="15" t="n">
        <x:v>46127</x:v>
      </x:c>
      <x:c r="G179" s="16" t="str">
        <x:v>DIGITA-MUMBAI/ NEFT-IN42610557385883-VINAYAK OIL INDUSTRIES</x:v>
      </x:c>
      <x:c r="H179" s="14" t="str"/>
      <x:c r="I179" s="14" t="str">
        <x:v>Receipt</x:v>
      </x:c>
      <x:c r="J179" s="17" t="n">
        <x:v>0</x:v>
      </x:c>
      <x:c r="K179" s="17" t="n">
        <x:v>44496</x:v>
      </x:c>
      <x:c r="L179" s="17" t="n">
        <x:v>44496</x:v>
      </x:c>
      <x:c r="M179" s="17" t="n">
        <x:v>46996</x:v>
      </x:c>
      <x:c r="N179" s="14" t="str">
        <x:v>Recurring Transaction</x:v>
      </x:c>
      <x:c r="O179" s="14" t="str">
        <x:v>Yes</x:v>
      </x:c>
      <x:c r="P179" s="14" t="str">
        <x:v>VINAYAK OIL INDUSTRIES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46127</x:v>
      </x:c>
    </x:row>
    <x:row r="180">
      <x:c r="A180" s="14" t="n">
        <x:v>199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46127</x:v>
      </x:c>
      <x:c r="F180" s="15" t="n">
        <x:v>46127</x:v>
      </x:c>
      <x:c r="G180" s="16" t="str">
        <x:v>EBANK:WIB/1504 EBANK:WIB/1504165308/Edfs</x:v>
      </x:c>
      <x:c r="H180" s="14" t="str"/>
      <x:c r="I180" s="14" t="str">
        <x:v>Payment</x:v>
      </x:c>
      <x:c r="J180" s="17" t="n">
        <x:v>44496</x:v>
      </x:c>
      <x:c r="K180" s="17" t="n">
        <x:v>0</x:v>
      </x:c>
      <x:c r="L180" s="17" t="n">
        <x:v>44496</x:v>
      </x:c>
      <x:c r="M180" s="17" t="n">
        <x:v>2500</x:v>
      </x:c>
      <x:c r="N180" s="14" t="str">
        <x:v>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46127</x:v>
      </x:c>
    </x:row>
    <x:row r="181">
      <x:c r="A181" s="14" t="n">
        <x:v>200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46128</x:v>
      </x:c>
      <x:c r="F181" s="15" t="n">
        <x:v>46128</x:v>
      </x:c>
      <x:c r="G18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181" s="14" t="str"/>
      <x:c r="I181" s="14" t="str">
        <x:v>Receipt</x:v>
      </x:c>
      <x:c r="J181" s="17" t="n">
        <x:v>0</x:v>
      </x:c>
      <x:c r="K181" s="17" t="n">
        <x:v>239756</x:v>
      </x:c>
      <x:c r="L181" s="17" t="n">
        <x:v>239756</x:v>
      </x:c>
      <x:c r="M181" s="17" t="n">
        <x:v>242256</x:v>
      </x:c>
      <x:c r="N181" s="14" t="str">
        <x:v>High Transaction; Recurring Transaction</x:v>
      </x:c>
      <x:c r="O181" s="14" t="str">
        <x:v>Yes</x:v>
      </x:c>
      <x:c r="P181" s="14" t="str">
        <x:v>PHONEPE LIMITED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46128</x:v>
      </x:c>
    </x:row>
    <x:row r="182">
      <x:c r="A182" s="14" t="n">
        <x:v>201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46128</x:v>
      </x:c>
      <x:c r="F182" s="15" t="n">
        <x:v>46128</x:v>
      </x:c>
      <x:c r="G182" s="16" t="str">
        <x:v>DIGITA-MUMBAI/ NEFT-AXNPN10621015464-PHONEPE LIMITED-PAYMENT AGGR</x:v>
      </x:c>
      <x:c r="H182" s="14" t="str"/>
      <x:c r="I182" s="14" t="str">
        <x:v>Receipt</x:v>
      </x:c>
      <x:c r="J182" s="17" t="n">
        <x:v>0</x:v>
      </x:c>
      <x:c r="K182" s="17" t="n">
        <x:v>74560.78</x:v>
      </x:c>
      <x:c r="L182" s="17" t="n">
        <x:v>74560.78</x:v>
      </x:c>
      <x:c r="M182" s="17" t="n">
        <x:v>316816.78</x:v>
      </x:c>
      <x:c r="N182" s="14" t="str">
        <x:v>Recurring Transaction</x:v>
      </x:c>
      <x:c r="O182" s="14" t="str">
        <x:v>Yes</x:v>
      </x:c>
      <x:c r="P182" s="14" t="str">
        <x:v>PHONEPE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46128</x:v>
      </x:c>
    </x:row>
    <x:row r="183">
      <x:c r="A183" s="14" t="n">
        <x:v>202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46128</x:v>
      </x:c>
      <x:c r="F183" s="15" t="n">
        <x:v>46128</x:v>
      </x:c>
      <x:c r="G183" s="16" t="str">
        <x:v>DIGITA-MUMBAI/ NEFT-AXISCN1312951656-ONE MOBIKWIK SYSTEMS LIMITED</x:v>
      </x:c>
      <x:c r="H183" s="14" t="str"/>
      <x:c r="I183" s="14" t="str">
        <x:v>Receipt</x:v>
      </x:c>
      <x:c r="J183" s="17" t="n">
        <x:v>0</x:v>
      </x:c>
      <x:c r="K183" s="17" t="n">
        <x:v>1700</x:v>
      </x:c>
      <x:c r="L183" s="17" t="n">
        <x:v>1700</x:v>
      </x:c>
      <x:c r="M183" s="17" t="n">
        <x:v>318516.78</x:v>
      </x:c>
      <x:c r="N183" s="14" t="str">
        <x:v>Recurring Transaction</x:v>
      </x:c>
      <x:c r="O183" s="14" t="str">
        <x:v>Yes</x:v>
      </x:c>
      <x:c r="P183" s="14" t="str">
        <x:v>ONE MOBIKWIK SYSTEMS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46128</x:v>
      </x:c>
    </x:row>
    <x:row r="184">
      <x:c r="A184" s="14" t="n">
        <x:v>203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46128</x:v>
      </x:c>
      <x:c r="F184" s="15" t="n">
        <x:v>46128</x:v>
      </x:c>
      <x:c r="G184" s="16" t="str">
        <x:v>DIGITA-MUMBAI/ NEFT-AXISCN1312996692-PINE LABS PRIVATE LIMITED-NO</x:v>
      </x:c>
      <x:c r="H184" s="14" t="str"/>
      <x:c r="I184" s="14" t="str">
        <x:v>Receipt</x:v>
      </x:c>
      <x:c r="J184" s="17" t="n">
        <x:v>0</x:v>
      </x:c>
      <x:c r="K184" s="17" t="n">
        <x:v>250421</x:v>
      </x:c>
      <x:c r="L184" s="17" t="n">
        <x:v>250421</x:v>
      </x:c>
      <x:c r="M184" s="17" t="n">
        <x:v>568937.78</x:v>
      </x:c>
      <x:c r="N184" s="14" t="str">
        <x:v>High Transaction; Recurring Transaction</x:v>
      </x:c>
      <x:c r="O184" s="14" t="str">
        <x:v>Yes</x:v>
      </x:c>
      <x:c r="P184" s="14" t="str">
        <x:v>PINE LABS PRIVATE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46128</x:v>
      </x:c>
    </x:row>
    <x:row r="185">
      <x:c r="A185" s="14" t="n">
        <x:v>206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46128</x:v>
      </x:c>
      <x:c r="F185" s="15" t="n">
        <x:v>46128</x:v>
      </x:c>
      <x:c r="G185" s="16" t="str">
        <x:v>DIGITA-MUMBAI/ https://cbdrpt101.bankofbaroda.co.in:22000/finbranch/arjspmorph/INFENG/tran_rpt.jsp?... 04-05-2026 NEFT-NKGSH26106053406-GEBI PRODUCTS PRIVATE LIMITE</x:v>
      </x:c>
      <x:c r="H185" s="14" t="str"/>
      <x:c r="I185" s="14" t="str">
        <x:v>Receipt</x:v>
      </x:c>
      <x:c r="J185" s="17" t="n">
        <x:v>0</x:v>
      </x:c>
      <x:c r="K185" s="17" t="n">
        <x:v>2407</x:v>
      </x:c>
      <x:c r="L185" s="17" t="n">
        <x:v>2407</x:v>
      </x:c>
      <x:c r="M185" s="17" t="n">
        <x:v>837365.78</x:v>
      </x:c>
      <x:c r="N185" s="14" t="str">
        <x:v>Recurring Transaction</x:v>
      </x:c>
      <x:c r="O185" s="14" t="str">
        <x:v>Yes</x:v>
      </x:c>
      <x:c r="P185" s="14" t="str">
        <x:v>CBDRPTBANKOFBARODACOIN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46128</x:v>
      </x:c>
    </x:row>
    <x:row r="186">
      <x:c r="A186" s="14" t="n">
        <x:v>207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46128</x:v>
      </x:c>
      <x:c r="F186" s="15" t="n">
        <x:v>46128</x:v>
      </x:c>
      <x:c r="G186" s="16" t="str">
        <x:v>DIGITA-MUMBAI/ IMPS/P2A/610615582026/SHREE GANESH EN/dieselVVS91</x:v>
      </x:c>
      <x:c r="H186" s="14" t="str"/>
      <x:c r="I186" s="14" t="str">
        <x:v>Receipt</x:v>
      </x:c>
      <x:c r="J186" s="17" t="n">
        <x:v>0</x:v>
      </x:c>
      <x:c r="K186" s="17" t="n">
        <x:v>63308</x:v>
      </x:c>
      <x:c r="L186" s="17" t="n">
        <x:v>63308</x:v>
      </x:c>
      <x:c r="M186" s="17" t="n">
        <x:v>900673.78</x:v>
      </x:c>
      <x:c r="N186" s="14" t="str">
        <x:v>Recurring Transaction</x:v>
      </x:c>
      <x:c r="O186" s="14" t="str">
        <x:v>Yes</x:v>
      </x:c>
      <x:c r="P186" s="14" t="str">
        <x:v>SHREE GANESH EN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46128</x:v>
      </x:c>
    </x:row>
    <x:row r="187">
      <x:c r="A187" s="14" t="n">
        <x:v>208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46128</x:v>
      </x:c>
      <x:c r="F187" s="15" t="n">
        <x:v>46128</x:v>
      </x:c>
      <x:c r="G187" s="16" t="str">
        <x:v>EBANK:WIB/1504 EBANK:WIB/1504268202/Edfs</x:v>
      </x:c>
      <x:c r="H187" s="14" t="str"/>
      <x:c r="I187" s="14" t="str">
        <x:v>Payment</x:v>
      </x:c>
      <x:c r="J187" s="17" t="n">
        <x:v>898173.78</x:v>
      </x:c>
      <x:c r="K187" s="17" t="n">
        <x:v>0</x:v>
      </x:c>
      <x:c r="L187" s="17" t="n">
        <x:v>898173.78</x:v>
      </x:c>
      <x:c r="M187" s="17" t="n">
        <x:v>2500</x:v>
      </x:c>
      <x:c r="N187" s="14" t="str">
        <x:v>High Transaction; Recurring Transaction</x:v>
      </x:c>
      <x:c r="O187" s="14" t="str">
        <x:v>Yes</x:v>
      </x:c>
      <x:c r="P187" s="14" t="str">
        <x:v>EBANKWIB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46128</x:v>
      </x:c>
    </x:row>
    <x:row r="188">
      <x:c r="A188" s="14" t="n">
        <x:v>209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46128</x:v>
      </x:c>
      <x:c r="F188" s="15" t="n">
        <x:v>46128</x:v>
      </x:c>
      <x:c r="G188" s="16" t="str">
        <x:v>DIGITA-MUMBAI/ NEFT-HDFCH00937546897-KUNDAN QUARRY</x:v>
      </x:c>
      <x:c r="H188" s="14" t="str"/>
      <x:c r="I188" s="14" t="str">
        <x:v>Receipt</x:v>
      </x:c>
      <x:c r="J188" s="17" t="n">
        <x:v>0</x:v>
      </x:c>
      <x:c r="K188" s="17" t="n">
        <x:v>6250</x:v>
      </x:c>
      <x:c r="L188" s="17" t="n">
        <x:v>6250</x:v>
      </x:c>
      <x:c r="M188" s="17" t="n">
        <x:v>8750</x:v>
      </x:c>
      <x:c r="N188" s="14" t="str">
        <x:v>Recurring Transaction</x:v>
      </x:c>
      <x:c r="O188" s="14" t="str">
        <x:v>Yes</x:v>
      </x:c>
      <x:c r="P188" s="14" t="str">
        <x:v>KUNDAN QUARRY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46128</x:v>
      </x:c>
    </x:row>
    <x:row r="189">
      <x:c r="A189" s="14" t="n">
        <x:v>210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46129</x:v>
      </x:c>
      <x:c r="F189" s="15" t="n">
        <x:v>46129</x:v>
      </x:c>
      <x:c r="G189" s="16" t="str">
        <x:v>DIGITA-MUMBAI/ NEFT-YESAP61072570192-PhonePe Limited</x:v>
      </x:c>
      <x:c r="H189" s="14" t="str"/>
      <x:c r="I189" s="14" t="str">
        <x:v>Receipt</x:v>
      </x:c>
      <x:c r="J189" s="17" t="n">
        <x:v>0</x:v>
      </x:c>
      <x:c r="K189" s="17" t="n">
        <x:v>249326.76</x:v>
      </x:c>
      <x:c r="L189" s="17" t="n">
        <x:v>249326.76</x:v>
      </x:c>
      <x:c r="M189" s="17" t="n">
        <x:v>258076.76</x:v>
      </x:c>
      <x:c r="N189" s="14" t="str">
        <x:v>High Transaction; Recurring Transaction</x:v>
      </x:c>
      <x:c r="O189" s="14" t="str">
        <x:v>Yes</x:v>
      </x:c>
      <x:c r="P189" s="14" t="str">
        <x:v>PHONEPE LIMITED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46129</x:v>
      </x:c>
    </x:row>
    <x:row r="190">
      <x:c r="A190" s="14" t="n">
        <x:v>211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46129</x:v>
      </x:c>
      <x:c r="F190" s="15" t="n">
        <x:v>46129</x:v>
      </x:c>
      <x:c r="G190" s="16" t="str">
        <x:v>DIGITA-MUMBAI/ NEFT-AXNPN10729450166-PHONEPE LIMITED-PAYMENT AGGR</x:v>
      </x:c>
      <x:c r="H190" s="14" t="str"/>
      <x:c r="I190" s="14" t="str">
        <x:v>Receipt</x:v>
      </x:c>
      <x:c r="J190" s="17" t="n">
        <x:v>0</x:v>
      </x:c>
      <x:c r="K190" s="17" t="n">
        <x:v>72938</x:v>
      </x:c>
      <x:c r="L190" s="17" t="n">
        <x:v>72938</x:v>
      </x:c>
      <x:c r="M190" s="17" t="n">
        <x:v>331014.76</x:v>
      </x:c>
      <x:c r="N190" s="14" t="str">
        <x:v>Recurring Transaction</x:v>
      </x:c>
      <x:c r="O190" s="14" t="str">
        <x:v>Yes</x:v>
      </x:c>
      <x:c r="P190" s="14" t="str">
        <x:v>PHONEPE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46129</x:v>
      </x:c>
    </x:row>
    <x:row r="191">
      <x:c r="A191" s="14" t="n">
        <x:v>212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46129</x:v>
      </x:c>
      <x:c r="F191" s="15" t="n">
        <x:v>46129</x:v>
      </x:c>
      <x:c r="G191" s="16" t="str">
        <x:v>EBANK:WIB/1504 EBANK:WIB/1504347697/Edfs</x:v>
      </x:c>
      <x:c r="H191" s="14" t="str"/>
      <x:c r="I191" s="14" t="str">
        <x:v>Payment</x:v>
      </x:c>
      <x:c r="J191" s="17" t="n">
        <x:v>328514.76</x:v>
      </x:c>
      <x:c r="K191" s="17" t="n">
        <x:v>0</x:v>
      </x:c>
      <x:c r="L191" s="17" t="n">
        <x:v>328514.76</x:v>
      </x:c>
      <x:c r="M191" s="17" t="n">
        <x:v>2500</x:v>
      </x:c>
      <x:c r="N191" s="14" t="str">
        <x:v>High Transaction; Recurring Transaction</x:v>
      </x:c>
      <x:c r="O191" s="14" t="str">
        <x:v>Yes</x:v>
      </x:c>
      <x:c r="P191" s="14" t="str">
        <x:v>EBANKWIB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1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46129</x:v>
      </x:c>
    </x:row>
    <x:row r="192">
      <x:c r="A192" s="14" t="n">
        <x:v>213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46129</x:v>
      </x:c>
      <x:c r="F192" s="15" t="n">
        <x:v>46129</x:v>
      </x:c>
      <x:c r="G192" s="16" t="str">
        <x:v>DIGITA-MUMBAI/ NEFT-AXISCN1314090244-ONE MOBIKWIK SYSTEMS LIMITED</x:v>
      </x:c>
      <x:c r="H192" s="14" t="str"/>
      <x:c r="I192" s="14" t="str">
        <x:v>Receipt</x:v>
      </x:c>
      <x:c r="J192" s="17" t="n">
        <x:v>0</x:v>
      </x:c>
      <x:c r="K192" s="17" t="n">
        <x:v>25410</x:v>
      </x:c>
      <x:c r="L192" s="17" t="n">
        <x:v>25410</x:v>
      </x:c>
      <x:c r="M192" s="17" t="n">
        <x:v>27910</x:v>
      </x:c>
      <x:c r="N192" s="14" t="str">
        <x:v>Recurring Transaction</x:v>
      </x:c>
      <x:c r="O192" s="14" t="str">
        <x:v>Yes</x:v>
      </x:c>
      <x:c r="P192" s="14" t="str">
        <x:v>ONE MOBIKWIK SYSTEMS LIMITED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46129</x:v>
      </x:c>
    </x:row>
    <x:row r="193">
      <x:c r="A193" s="14" t="n">
        <x:v>214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46129</x:v>
      </x:c>
      <x:c r="F193" s="15" t="n">
        <x:v>46129</x:v>
      </x:c>
      <x:c r="G193" s="16" t="str">
        <x:v>DIGITA-MUMBAI/ NEFT-AXISCN1314172091-PINE LABS PRIVATE LIMITED-NO</x:v>
      </x:c>
      <x:c r="H193" s="14" t="str"/>
      <x:c r="I193" s="14" t="str">
        <x:v>Receipt</x:v>
      </x:c>
      <x:c r="J193" s="17" t="n">
        <x:v>0</x:v>
      </x:c>
      <x:c r="K193" s="17" t="n">
        <x:v>33352</x:v>
      </x:c>
      <x:c r="L193" s="17" t="n">
        <x:v>33352</x:v>
      </x:c>
      <x:c r="M193" s="17" t="n">
        <x:v>61262</x:v>
      </x:c>
      <x:c r="N193" s="14" t="str">
        <x:v>Recurring Transaction</x:v>
      </x:c>
      <x:c r="O193" s="14" t="str">
        <x:v>Yes</x:v>
      </x:c>
      <x:c r="P193" s="14" t="str">
        <x:v>PINE LABS PRIVATE LIMITED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46129</x:v>
      </x:c>
    </x:row>
    <x:row r="194">
      <x:c r="A194" s="14" t="n">
        <x:v>215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46129</x:v>
      </x:c>
      <x:c r="F194" s="15" t="n">
        <x:v>46129</x:v>
      </x:c>
      <x:c r="G194" s="16" t="str">
        <x:v>DIGITA-MUMBAI/ IMPS/P2A/610752978132/SAYEDTAHIRUDDIN/IMPS P2A JI</x:v>
      </x:c>
      <x:c r="H194" s="14" t="str"/>
      <x:c r="I194" s="14" t="str">
        <x:v>Receipt</x:v>
      </x:c>
      <x:c r="J194" s="17" t="n">
        <x:v>0</x:v>
      </x:c>
      <x:c r="K194" s="17" t="n">
        <x:v>45220</x:v>
      </x:c>
      <x:c r="L194" s="17" t="n">
        <x:v>45220</x:v>
      </x:c>
      <x:c r="M194" s="17" t="n">
        <x:v>106482</x:v>
      </x:c>
      <x:c r="N194" s="14" t="str">
        <x:v>Recurring Transaction</x:v>
      </x:c>
      <x:c r="O194" s="14" t="str">
        <x:v>Yes</x:v>
      </x:c>
      <x:c r="P194" s="14" t="str">
        <x:v>SAYEDTAHIRUDDIN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46129</x:v>
      </x:c>
    </x:row>
    <x:row r="195">
      <x:c r="A195" s="14" t="n">
        <x:v>216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46129</x:v>
      </x:c>
      <x:c r="F195" s="15" t="n">
        <x:v>46129</x:v>
      </x:c>
      <x:c r="G195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195" s="14" t="str"/>
      <x:c r="I195" s="14" t="str">
        <x:v>Receipt</x:v>
      </x:c>
      <x:c r="J195" s="17" t="n">
        <x:v>0</x:v>
      </x:c>
      <x:c r="K195" s="17" t="n">
        <x:v>48786</x:v>
      </x:c>
      <x:c r="L195" s="17" t="n">
        <x:v>48786</x:v>
      </x:c>
      <x:c r="M195" s="17" t="n">
        <x:v>155268</x:v>
      </x:c>
      <x:c r="N195" s="14" t="str">
        <x:v>Recurring Transaction</x:v>
      </x:c>
      <x:c r="O195" s="14" t="str">
        <x:v>Yes</x:v>
      </x:c>
      <x:c r="P195" s="14" t="str">
        <x:v>PAGE TOTAL   CR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46129</x:v>
      </x:c>
    </x:row>
    <x:row r="196">
      <x:c r="A196" s="14" t="n">
        <x:v>217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46129</x:v>
      </x:c>
      <x:c r="F196" s="15" t="n">
        <x:v>46129</x:v>
      </x:c>
      <x:c r="G196" s="16" t="str">
        <x:v>EBANK:WIB/1504 EBANK:WIB/1504424773/Edfs</x:v>
      </x:c>
      <x:c r="H196" s="14" t="str"/>
      <x:c r="I196" s="14" t="str">
        <x:v>Payment</x:v>
      </x:c>
      <x:c r="J196" s="17" t="n">
        <x:v>150000</x:v>
      </x:c>
      <x:c r="K196" s="17" t="n">
        <x:v>0</x:v>
      </x:c>
      <x:c r="L196" s="17" t="n">
        <x:v>150000</x:v>
      </x:c>
      <x:c r="M196" s="17" t="n">
        <x:v>5268</x:v>
      </x:c>
      <x:c r="N196" s="14" t="str">
        <x:v>High Transaction; Recurring Transaction</x:v>
      </x:c>
      <x:c r="O196" s="14" t="str">
        <x:v>Yes</x:v>
      </x:c>
      <x:c r="P196" s="14" t="str">
        <x:v>EBANKWIB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1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46129</x:v>
      </x:c>
    </x:row>
    <x:row r="197">
      <x:c r="A197" s="14" t="n">
        <x:v>220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46130</x:v>
      </x:c>
      <x:c r="F197" s="15" t="n">
        <x:v>46130</x:v>
      </x:c>
      <x:c r="G197" s="16" t="str">
        <x:v>DIGITA-MUMBAI/ NEFT-YESAP61082703898-PhonePe Limited</x:v>
      </x:c>
      <x:c r="H197" s="14" t="str"/>
      <x:c r="I197" s="14" t="str">
        <x:v>Receipt</x:v>
      </x:c>
      <x:c r="J197" s="17" t="n">
        <x:v>0</x:v>
      </x:c>
      <x:c r="K197" s="17" t="n">
        <x:v>219193</x:v>
      </x:c>
      <x:c r="L197" s="17" t="n">
        <x:v>219193</x:v>
      </x:c>
      <x:c r="M197" s="17" t="n">
        <x:v>283765</x:v>
      </x:c>
      <x:c r="N197" s="14" t="str">
        <x:v>High Transaction; Recurring Transaction</x:v>
      </x:c>
      <x:c r="O197" s="14" t="str">
        <x:v>Yes</x:v>
      </x:c>
      <x:c r="P197" s="14" t="str">
        <x:v>PHONEPE LIMITED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46130</x:v>
      </x:c>
    </x:row>
    <x:row r="198">
      <x:c r="A198" s="14" t="n">
        <x:v>221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46130</x:v>
      </x:c>
      <x:c r="F198" s="15" t="n">
        <x:v>46130</x:v>
      </x:c>
      <x:c r="G198" s="16" t="str">
        <x:v>DIGITA-MUMBAI/ NEFT-AXNPN10838004592-PHONEPE LIMITED-PAYMENT AGGR</x:v>
      </x:c>
      <x:c r="H198" s="14" t="str"/>
      <x:c r="I198" s="14" t="str">
        <x:v>Receipt</x:v>
      </x:c>
      <x:c r="J198" s="17" t="n">
        <x:v>0</x:v>
      </x:c>
      <x:c r="K198" s="17" t="n">
        <x:v>61076.28</x:v>
      </x:c>
      <x:c r="L198" s="17" t="n">
        <x:v>61076.28</x:v>
      </x:c>
      <x:c r="M198" s="17" t="n">
        <x:v>344841.28</x:v>
      </x:c>
      <x:c r="N198" s="14" t="str">
        <x:v>Recurring Transaction</x:v>
      </x:c>
      <x:c r="O198" s="14" t="str">
        <x:v>Yes</x:v>
      </x:c>
      <x:c r="P198" s="14" t="str">
        <x:v>PHONEPE LIMITED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46130</x:v>
      </x:c>
    </x:row>
    <x:row r="199">
      <x:c r="A199" s="14" t="n">
        <x:v>222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46130</x:v>
      </x:c>
      <x:c r="F199" s="15" t="n">
        <x:v>46130</x:v>
      </x:c>
      <x:c r="G199" s="16" t="str">
        <x:v>DIGITA-MUMBAI/ NEFT-AXISCN1315312388-ONE MOBIKWIK SYSTEMS LIMITED</x:v>
      </x:c>
      <x:c r="H199" s="14" t="str"/>
      <x:c r="I199" s="14" t="str">
        <x:v>Receipt</x:v>
      </x:c>
      <x:c r="J199" s="17" t="n">
        <x:v>0</x:v>
      </x:c>
      <x:c r="K199" s="17" t="n">
        <x:v>15702</x:v>
      </x:c>
      <x:c r="L199" s="17" t="n">
        <x:v>15702</x:v>
      </x:c>
      <x:c r="M199" s="17" t="n">
        <x:v>360543.28</x:v>
      </x:c>
      <x:c r="N199" s="14" t="str">
        <x:v>Recurring Transaction</x:v>
      </x:c>
      <x:c r="O199" s="14" t="str">
        <x:v>Yes</x:v>
      </x:c>
      <x:c r="P199" s="14" t="str">
        <x:v>ONE MOBIKWIK SYSTEMS LIMITED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46130</x:v>
      </x:c>
    </x:row>
    <x:row r="200">
      <x:c r="A200" s="14" t="n">
        <x:v>223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46130</x:v>
      </x:c>
      <x:c r="F200" s="15" t="n">
        <x:v>46130</x:v>
      </x:c>
      <x:c r="G200" s="16" t="str">
        <x:v>DIGITA-MUMBAI/ NEFT-AXISCN1315357169-PINE LABS PRIVATE LIMITED-NO</x:v>
      </x:c>
      <x:c r="H200" s="14" t="str"/>
      <x:c r="I200" s="14" t="str">
        <x:v>Receipt</x:v>
      </x:c>
      <x:c r="J200" s="17" t="n">
        <x:v>0</x:v>
      </x:c>
      <x:c r="K200" s="17" t="n">
        <x:v>52492</x:v>
      </x:c>
      <x:c r="L200" s="17" t="n">
        <x:v>52492</x:v>
      </x:c>
      <x:c r="M200" s="17" t="n">
        <x:v>413035.28</x:v>
      </x:c>
      <x:c r="N200" s="14" t="str">
        <x:v>Recurring Transaction</x:v>
      </x:c>
      <x:c r="O200" s="14" t="str">
        <x:v>Yes</x:v>
      </x:c>
      <x:c r="P200" s="14" t="str">
        <x:v>PINE LABS PRIVATE LIMITED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46130</x:v>
      </x:c>
    </x:row>
    <x:row r="201">
      <x:c r="A201" s="14" t="n">
        <x:v>224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46130</x:v>
      </x:c>
      <x:c r="F201" s="15" t="n">
        <x:v>46130</x:v>
      </x:c>
      <x:c r="G201" s="16" t="str">
        <x:v>UPI/1217782049 78204946 UPI/121778204946/11:06:59/UPI/sureshenterprises15</x:v>
      </x:c>
      <x:c r="H201" s="14" t="str"/>
      <x:c r="I201" s="14" t="str">
        <x:v>Receipt</x:v>
      </x:c>
      <x:c r="J201" s="17" t="n">
        <x:v>0</x:v>
      </x:c>
      <x:c r="K201" s="17" t="n">
        <x:v>15000</x:v>
      </x:c>
      <x:c r="L201" s="17" t="n">
        <x:v>15000</x:v>
      </x:c>
      <x:c r="M201" s="17" t="n">
        <x:v>428035.28</x:v>
      </x:c>
      <x:c r="N201" s="14" t="str">
        <x:v>UPI; Recurring Transaction</x:v>
      </x:c>
      <x:c r="O201" s="14" t="str">
        <x:v>Yes</x:v>
      </x:c>
      <x:c r="P201" s="14" t="str">
        <x:v>SURESHENTERPRISES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46130</x:v>
      </x:c>
    </x:row>
    <x:row r="202">
      <x:c r="A202" s="14" t="n">
        <x:v>226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46130</x:v>
      </x:c>
      <x:c r="F202" s="15" t="n">
        <x:v>46130</x:v>
      </x:c>
      <x:c r="G202" s="16" t="str">
        <x:v>DIGITA-MUMBAI/ NEFT-FBPT261087153653-PREMIER CONVEYORS PRIVATE LI</x:v>
      </x:c>
      <x:c r="H202" s="14" t="str"/>
      <x:c r="I202" s="14" t="str">
        <x:v>Receipt</x:v>
      </x:c>
      <x:c r="J202" s="17" t="n">
        <x:v>0</x:v>
      </x:c>
      <x:c r="K202" s="17" t="n">
        <x:v>37132</x:v>
      </x:c>
      <x:c r="L202" s="17" t="n">
        <x:v>37132</x:v>
      </x:c>
      <x:c r="M202" s="17" t="n">
        <x:v>483167.28</x:v>
      </x:c>
      <x:c r="N202" s="14" t="str">
        <x:v>EMI; Recurring Transaction</x:v>
      </x:c>
      <x:c r="O202" s="14" t="str">
        <x:v>Yes</x:v>
      </x:c>
      <x:c r="P202" s="14" t="str">
        <x:v>PREMIER CONVEYORS PRIVATE LI</x:v>
      </x:c>
      <x:c r="Q202" s="14" t="n">
        <x:v>0</x:v>
      </x:c>
      <x:c r="R202" s="14" t="n">
        <x:v>1</x:v>
      </x:c>
      <x:c r="S202" s="14" t="n">
        <x:v>1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46130</x:v>
      </x:c>
    </x:row>
    <x:row r="203">
      <x:c r="A203" s="14" t="n">
        <x:v>227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46130</x:v>
      </x:c>
      <x:c r="F203" s="15" t="n">
        <x:v>46130</x:v>
      </x:c>
      <x:c r="G203" s="16" t="str">
        <x:v>EBANK:WIB/1504 EBANK:WIB/1504650433/Edfs</x:v>
      </x:c>
      <x:c r="H203" s="14" t="str"/>
      <x:c r="I203" s="14" t="str">
        <x:v>Payment</x:v>
      </x:c>
      <x:c r="J203" s="17" t="n">
        <x:v>480667.28</x:v>
      </x:c>
      <x:c r="K203" s="17" t="n">
        <x:v>0</x:v>
      </x:c>
      <x:c r="L203" s="17" t="n">
        <x:v>480667.28</x:v>
      </x:c>
      <x:c r="M203" s="17" t="n">
        <x:v>2500</x:v>
      </x:c>
      <x:c r="N203" s="14" t="str">
        <x:v>High Transaction; 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46130</x:v>
      </x:c>
    </x:row>
    <x:row r="204">
      <x:c r="A204" s="14" t="n">
        <x:v>228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46131</x:v>
      </x:c>
      <x:c r="F204" s="15" t="n">
        <x:v>46131</x:v>
      </x:c>
      <x:c r="G204" s="16" t="str">
        <x:v>DIGITA-MUMBAI/ NEFT-AXNPN10949045747-PHONEPE LIMITED-PAYMENT AGGR</x:v>
      </x:c>
      <x:c r="H204" s="14" t="str"/>
      <x:c r="I204" s="14" t="str">
        <x:v>Receipt</x:v>
      </x:c>
      <x:c r="J204" s="17" t="n">
        <x:v>0</x:v>
      </x:c>
      <x:c r="K204" s="17" t="n">
        <x:v>66511</x:v>
      </x:c>
      <x:c r="L204" s="17" t="n">
        <x:v>66511</x:v>
      </x:c>
      <x:c r="M204" s="17" t="n">
        <x:v>69011</x:v>
      </x:c>
      <x:c r="N204" s="14" t="str">
        <x:v>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46131</x:v>
      </x:c>
    </x:row>
    <x:row r="205">
      <x:c r="A205" s="14" t="n">
        <x:v>230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46131</x:v>
      </x:c>
      <x:c r="F205" s="15" t="n">
        <x:v>46131</x:v>
      </x:c>
      <x:c r="G205" s="16" t="str">
        <x:v>DIGITA-MUMBAI/ NEFT-AXISCN1317988876-ONE MOBIKWIK SYSTEMS LIMITED</x:v>
      </x:c>
      <x:c r="H205" s="14" t="str"/>
      <x:c r="I205" s="14" t="str">
        <x:v>Receipt</x:v>
      </x:c>
      <x:c r="J205" s="17" t="n">
        <x:v>0</x:v>
      </x:c>
      <x:c r="K205" s="17" t="n">
        <x:v>2500</x:v>
      </x:c>
      <x:c r="L205" s="17" t="n">
        <x:v>2500</x:v>
      </x:c>
      <x:c r="M205" s="17" t="n">
        <x:v>289933</x:v>
      </x:c>
      <x:c r="N205" s="14" t="str">
        <x:v>Recurring Transaction</x:v>
      </x:c>
      <x:c r="O205" s="14" t="str">
        <x:v>Yes</x:v>
      </x:c>
      <x:c r="P205" s="14" t="str">
        <x:v>ONE MOBIKWIK SYSTEMS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46131</x:v>
      </x:c>
    </x:row>
    <x:row r="206">
      <x:c r="A206" s="14" t="n">
        <x:v>231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46131</x:v>
      </x:c>
      <x:c r="F206" s="15" t="n">
        <x:v>46131</x:v>
      </x:c>
      <x:c r="G206" s="16" t="str">
        <x:v>EBANK:WIB/1504 EBANK:WIB/1504657570/Edfs</x:v>
      </x:c>
      <x:c r="H206" s="14" t="str"/>
      <x:c r="I206" s="14" t="str">
        <x:v>Payment</x:v>
      </x:c>
      <x:c r="J206" s="17" t="n">
        <x:v>259433</x:v>
      </x:c>
      <x:c r="K206" s="17" t="n">
        <x:v>0</x:v>
      </x:c>
      <x:c r="L206" s="17" t="n">
        <x:v>259433</x:v>
      </x:c>
      <x:c r="M206" s="17" t="n">
        <x:v>30500</x:v>
      </x:c>
      <x:c r="N206" s="14" t="str">
        <x:v>High Transaction; Recurring Transaction</x:v>
      </x:c>
      <x:c r="O206" s="14" t="str">
        <x:v>Yes</x:v>
      </x:c>
      <x:c r="P206" s="14" t="str">
        <x:v>EBANKWIB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46131</x:v>
      </x:c>
    </x:row>
    <x:row r="207">
      <x:c r="A207" s="14" t="n">
        <x:v>232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46131</x:v>
      </x:c>
      <x:c r="F207" s="15" t="n">
        <x:v>46131</x:v>
      </x:c>
      <x:c r="G207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07" s="14" t="str"/>
      <x:c r="I207" s="14" t="str">
        <x:v>Receipt</x:v>
      </x:c>
      <x:c r="J207" s="17" t="n">
        <x:v>0</x:v>
      </x:c>
      <x:c r="K207" s="17" t="n">
        <x:v>40698</x:v>
      </x:c>
      <x:c r="L207" s="17" t="n">
        <x:v>40698</x:v>
      </x:c>
      <x:c r="M207" s="17" t="n">
        <x:v>71198</x:v>
      </x:c>
      <x:c r="N207" s="14" t="str">
        <x:v>Recurring Transaction</x:v>
      </x:c>
      <x:c r="O207" s="14" t="str">
        <x:v>Yes</x:v>
      </x:c>
      <x:c r="P207" s="14" t="str">
        <x:v>PAGE TOTAL   CR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46131</x:v>
      </x:c>
    </x:row>
    <x:row r="208">
      <x:c r="A208" s="14" t="n">
        <x:v>234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46131</x:v>
      </x:c>
      <x:c r="F208" s="15" t="n">
        <x:v>46131</x:v>
      </x:c>
      <x:c r="G208" s="16" t="str">
        <x:v>DIGITA-MUMBAI/ IMPS/P2A/610911584011/SHREE GANESH EN/diesel VVS9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134505.53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46131</x:v>
      </x:c>
    </x:row>
    <x:row r="209">
      <x:c r="A209" s="14" t="n">
        <x:v>235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46131</x:v>
      </x:c>
      <x:c r="F209" s="15" t="n">
        <x:v>46131</x:v>
      </x:c>
      <x:c r="G209" s="16" t="str">
        <x:v>UPI/4002793229 79322988 UPI/400279322988/11:44:31/UPI/surajdhanotra1@ibl/</x:v>
      </x:c>
      <x:c r="H209" s="14" t="str"/>
      <x:c r="I209" s="14" t="str">
        <x:v>Receipt</x:v>
      </x:c>
      <x:c r="J209" s="17" t="n">
        <x:v>0</x:v>
      </x:c>
      <x:c r="K209" s="17" t="n">
        <x:v>11305</x:v>
      </x:c>
      <x:c r="L209" s="17" t="n">
        <x:v>11305</x:v>
      </x:c>
      <x:c r="M209" s="17" t="n">
        <x:v>145810.53</x:v>
      </x:c>
      <x:c r="N209" s="14" t="str">
        <x:v>UPI; Recurring Transaction</x:v>
      </x:c>
      <x:c r="O209" s="14" t="str">
        <x:v>Yes</x:v>
      </x:c>
      <x:c r="P209" s="14" t="str">
        <x:v>SURAJDHANOTRAIBL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46131</x:v>
      </x:c>
    </x:row>
    <x:row r="210">
      <x:c r="A210" s="14" t="n">
        <x:v>236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46131</x:v>
      </x:c>
      <x:c r="F210" s="15" t="n">
        <x:v>46131</x:v>
      </x:c>
      <x:c r="G210" s="16" t="str">
        <x:v>UPI/6109476580 47658049 UPI/610947658049/18:07:36/UPI/akashshelar41-2@oki</x:v>
      </x:c>
      <x:c r="H210" s="14" t="str"/>
      <x:c r="I210" s="14" t="str">
        <x:v>Receipt</x:v>
      </x:c>
      <x:c r="J210" s="17" t="n">
        <x:v>0</x:v>
      </x:c>
      <x:c r="K210" s="17" t="n">
        <x:v>58000</x:v>
      </x:c>
      <x:c r="L210" s="17" t="n">
        <x:v>58000</x:v>
      </x:c>
      <x:c r="M210" s="17" t="n">
        <x:v>203810.53</x:v>
      </x:c>
      <x:c r="N210" s="14" t="str">
        <x:v>UPI; Recurring Transaction</x:v>
      </x:c>
      <x:c r="O210" s="14" t="str">
        <x:v>Yes</x:v>
      </x:c>
      <x:c r="P210" s="14" t="str">
        <x:v>AKASHSHELAR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46131</x:v>
      </x:c>
    </x:row>
    <x:row r="211">
      <x:c r="A211" s="14" t="n">
        <x:v>238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46131</x:v>
      </x:c>
      <x:c r="F211" s="15" t="n">
        <x:v>46131</x:v>
      </x:c>
      <x:c r="G211" s="16" t="str">
        <x:v>EBANK:WIB/1504 EBANK:WIB/1504707135/Edfs</x:v>
      </x:c>
      <x:c r="H211" s="14" t="str"/>
      <x:c r="I211" s="14" t="str">
        <x:v>Payment</x:v>
      </x:c>
      <x:c r="J211" s="17" t="n">
        <x:v>211310.53</x:v>
      </x:c>
      <x:c r="K211" s="17" t="n">
        <x:v>0</x:v>
      </x:c>
      <x:c r="L211" s="17" t="n">
        <x:v>211310.53</x:v>
      </x:c>
      <x:c r="M211" s="17" t="n">
        <x:v>2500</x:v>
      </x:c>
      <x:c r="N211" s="14" t="str">
        <x:v>High Transaction; Recurring Transaction</x:v>
      </x:c>
      <x:c r="O211" s="14" t="str">
        <x:v>Yes</x:v>
      </x:c>
      <x:c r="P211" s="14" t="str">
        <x:v>EBANKWIB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46131</x:v>
      </x:c>
    </x:row>
    <x:row r="212">
      <x:c r="A212" s="14" t="n">
        <x:v>239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46132</x:v>
      </x:c>
      <x:c r="F212" s="15" t="n">
        <x:v>46132</x:v>
      </x:c>
      <x:c r="G212" s="16" t="str">
        <x:v>DIGITA-MUMBAI/ NEFT-YESAP61103651332-PhonePe Limited</x:v>
      </x:c>
      <x:c r="H212" s="14" t="str"/>
      <x:c r="I212" s="14" t="str">
        <x:v>Receipt</x:v>
      </x:c>
      <x:c r="J212" s="17" t="n">
        <x:v>0</x:v>
      </x:c>
      <x:c r="K212" s="17" t="n">
        <x:v>174695.6</x:v>
      </x:c>
      <x:c r="L212" s="17" t="n">
        <x:v>174695.6</x:v>
      </x:c>
      <x:c r="M212" s="17" t="n">
        <x:v>177195.6</x:v>
      </x:c>
      <x:c r="N212" s="14" t="str">
        <x:v>High Transaction; 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46132</x:v>
      </x:c>
    </x:row>
    <x:row r="213">
      <x:c r="A213" s="14" t="n">
        <x:v>240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46132</x:v>
      </x:c>
      <x:c r="F213" s="15" t="n">
        <x:v>46132</x:v>
      </x:c>
      <x:c r="G213" s="16" t="str">
        <x:v>DIGITA-MUMBAI/ NEFT-AXNPN11057011051-PHONEPE LIMITED-PAYMENT AGGR</x:v>
      </x:c>
      <x:c r="H213" s="14" t="str"/>
      <x:c r="I213" s="14" t="str">
        <x:v>Receipt</x:v>
      </x:c>
      <x:c r="J213" s="17" t="n">
        <x:v>0</x:v>
      </x:c>
      <x:c r="K213" s="17" t="n">
        <x:v>86876.92</x:v>
      </x:c>
      <x:c r="L213" s="17" t="n">
        <x:v>86876.92</x:v>
      </x:c>
      <x:c r="M213" s="17" t="n">
        <x:v>264072.52</x:v>
      </x:c>
      <x:c r="N213" s="14" t="str">
        <x:v>Recurring Transaction</x:v>
      </x:c>
      <x:c r="O213" s="14" t="str">
        <x:v>Yes</x:v>
      </x:c>
      <x:c r="P213" s="14" t="str">
        <x:v>PHONEPE LIMITED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46132</x:v>
      </x:c>
    </x:row>
    <x:row r="214">
      <x:c r="A214" s="14" t="n">
        <x:v>241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46132</x:v>
      </x:c>
      <x:c r="F214" s="15" t="n">
        <x:v>46132</x:v>
      </x:c>
      <x:c r="G214" s="16" t="str">
        <x:v>EBANK:WIB/1504 EBANK:WIB/1504717278/Edfs</x:v>
      </x:c>
      <x:c r="H214" s="14" t="str"/>
      <x:c r="I214" s="14" t="str">
        <x:v>Payment</x:v>
      </x:c>
      <x:c r="J214" s="17" t="n">
        <x:v>260572.52</x:v>
      </x:c>
      <x:c r="K214" s="17" t="n">
        <x:v>0</x:v>
      </x:c>
      <x:c r="L214" s="17" t="n">
        <x:v>260572.52</x:v>
      </x:c>
      <x:c r="M214" s="17" t="n">
        <x:v>3500</x:v>
      </x:c>
      <x:c r="N214" s="14" t="str">
        <x:v>High Transaction; Recurring Transaction</x:v>
      </x:c>
      <x:c r="O214" s="14" t="str">
        <x:v>Yes</x:v>
      </x:c>
      <x:c r="P214" s="14" t="str">
        <x:v>EBANKWIB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46132</x:v>
      </x:c>
    </x:row>
    <x:row r="215">
      <x:c r="A215" s="14" t="n">
        <x:v>242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46132</x:v>
      </x:c>
      <x:c r="F215" s="15" t="n">
        <x:v>46132</x:v>
      </x:c>
      <x:c r="G215" s="16" t="str">
        <x:v>DIGITA-MUMBAI/ IMPS/P2A/611008018806/VILLAGE STONE L/Diesel paym</x:v>
      </x:c>
      <x:c r="H215" s="14" t="str"/>
      <x:c r="I215" s="14" t="str">
        <x:v>Receipt</x:v>
      </x:c>
      <x:c r="J215" s="17" t="n">
        <x:v>0</x:v>
      </x:c>
      <x:c r="K215" s="17" t="n">
        <x:v>16000</x:v>
      </x:c>
      <x:c r="L215" s="17" t="n">
        <x:v>16000</x:v>
      </x:c>
      <x:c r="M215" s="17" t="n">
        <x:v>19500</x:v>
      </x:c>
      <x:c r="N215" s="14" t="str">
        <x:v>Recurring Transaction</x:v>
      </x:c>
      <x:c r="O215" s="14" t="str">
        <x:v>Yes</x:v>
      </x:c>
      <x:c r="P215" s="14" t="str">
        <x:v>VILLAGE STONE L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46132</x:v>
      </x:c>
    </x:row>
    <x:row r="216">
      <x:c r="A216" s="14" t="n">
        <x:v>243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46132</x:v>
      </x:c>
      <x:c r="F216" s="15" t="n">
        <x:v>46132</x:v>
      </x:c>
      <x:c r="G216" s="16" t="str">
        <x:v>DIGITA-MUMBAI/ NEFT-AXISCN1318671183-PINE LABS PRIVATE LIMITED-NO</x:v>
      </x:c>
      <x:c r="H216" s="14" t="str"/>
      <x:c r="I216" s="14" t="str">
        <x:v>Receipt</x:v>
      </x:c>
      <x:c r="J216" s="17" t="n">
        <x:v>0</x:v>
      </x:c>
      <x:c r="K216" s="17" t="n">
        <x:v>17950</x:v>
      </x:c>
      <x:c r="L216" s="17" t="n">
        <x:v>17950</x:v>
      </x:c>
      <x:c r="M216" s="17" t="n">
        <x:v>37450</x:v>
      </x:c>
      <x:c r="N216" s="14" t="str">
        <x:v>Recurring Transaction</x:v>
      </x:c>
      <x:c r="O216" s="14" t="str">
        <x:v>Yes</x:v>
      </x:c>
      <x:c r="P216" s="14" t="str">
        <x:v>PINE LABS PRIVATE LIMITED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46132</x:v>
      </x:c>
    </x:row>
    <x:row r="217">
      <x:c r="A217" s="14" t="n">
        <x:v>244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46132</x:v>
      </x:c>
      <x:c r="F217" s="15" t="n">
        <x:v>46132</x:v>
      </x:c>
      <x:c r="G217" s="16" t="str">
        <x:v>DIGITA-MUMBAI/ NEFT-AXISCN1318760388-PINE LABS PRIVATE LIMITED-NO</x:v>
      </x:c>
      <x:c r="H217" s="14" t="str"/>
      <x:c r="I217" s="14" t="str">
        <x:v>Receipt</x:v>
      </x:c>
      <x:c r="J217" s="17" t="n">
        <x:v>0</x:v>
      </x:c>
      <x:c r="K217" s="17" t="n">
        <x:v>56731</x:v>
      </x:c>
      <x:c r="L217" s="17" t="n">
        <x:v>56731</x:v>
      </x:c>
      <x:c r="M217" s="17" t="n">
        <x:v>94181</x:v>
      </x:c>
      <x:c r="N217" s="14" t="str">
        <x:v>Recurring Transaction</x:v>
      </x:c>
      <x:c r="O217" s="14" t="str">
        <x:v>Yes</x:v>
      </x:c>
      <x:c r="P217" s="14" t="str">
        <x:v>PINE LABS PRIVATE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46132</x:v>
      </x:c>
    </x:row>
    <x:row r="218">
      <x:c r="A218" s="14" t="n">
        <x:v>245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46132</x:v>
      </x:c>
      <x:c r="F218" s="15" t="n">
        <x:v>46132</x:v>
      </x:c>
      <x:c r="G218" s="16" t="str">
        <x:v>DIGITA-MUMBAI/ NEFT-NKGSH26110097618-GEBI PRODUCTS PRIVATE LIMITE</x:v>
      </x:c>
      <x:c r="H218" s="14" t="str"/>
      <x:c r="I218" s="14" t="str">
        <x:v>Receipt</x:v>
      </x:c>
      <x:c r="J218" s="17" t="n">
        <x:v>0</x:v>
      </x:c>
      <x:c r="K218" s="17" t="n">
        <x:v>6226.78</x:v>
      </x:c>
      <x:c r="L218" s="17" t="n">
        <x:v>6226.78</x:v>
      </x:c>
      <x:c r="M218" s="17" t="n">
        <x:v>100407.78</x:v>
      </x:c>
      <x:c r="N218" s="14" t="str">
        <x:v>Recurring Transaction</x:v>
      </x:c>
      <x:c r="O218" s="14" t="str">
        <x:v>Yes</x:v>
      </x:c>
      <x:c r="P218" s="14" t="str">
        <x:v>GEBI PRODUCTS PRIVATE LIMITE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46132</x:v>
      </x:c>
    </x:row>
    <x:row r="219">
      <x:c r="A219" s="14" t="n">
        <x:v>246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46132</x:v>
      </x:c>
      <x:c r="F219" s="15" t="n">
        <x:v>46132</x:v>
      </x:c>
      <x:c r="G219" s="16" t="str">
        <x:v>UPI/6476820079 82007940 UPI/647682007940/13:39:58/UPI/patilsojwal855@okax</x:v>
      </x:c>
      <x:c r="H219" s="14" t="str"/>
      <x:c r="I219" s="14" t="str">
        <x:v>Receipt</x:v>
      </x:c>
      <x:c r="J219" s="17" t="n">
        <x:v>0</x:v>
      </x:c>
      <x:c r="K219" s="17" t="n">
        <x:v>1</x:v>
      </x:c>
      <x:c r="L219" s="17" t="n">
        <x:v>1</x:v>
      </x:c>
      <x:c r="M219" s="17" t="n">
        <x:v>100408.78</x:v>
      </x:c>
      <x:c r="N219" s="14" t="str">
        <x:v>UPI; Recurring Transaction</x:v>
      </x:c>
      <x:c r="O219" s="14" t="str">
        <x:v>Yes</x:v>
      </x:c>
      <x:c r="P219" s="14" t="str">
        <x:v>PATILSOJWALOKAX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46132</x:v>
      </x:c>
    </x:row>
    <x:row r="220">
      <x:c r="A220" s="14" t="n">
        <x:v>247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46132</x:v>
      </x:c>
      <x:c r="F220" s="15" t="n">
        <x:v>46132</x:v>
      </x:c>
      <x:c r="G220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20" s="14" t="str"/>
      <x:c r="I220" s="14" t="str">
        <x:v>Receipt</x:v>
      </x:c>
      <x:c r="J220" s="17" t="n">
        <x:v>0</x:v>
      </x:c>
      <x:c r="K220" s="17" t="n">
        <x:v>14699</x:v>
      </x:c>
      <x:c r="L220" s="17" t="n">
        <x:v>14699</x:v>
      </x:c>
      <x:c r="M220" s="17" t="n">
        <x:v>115107.78</x:v>
      </x:c>
      <x:c r="N220" s="14" t="str">
        <x:v>UPI; Recurring Transaction</x:v>
      </x:c>
      <x:c r="O220" s="14" t="str">
        <x:v>Yes</x:v>
      </x:c>
      <x:c r="P220" s="14" t="str">
        <x:v>PATILSOJWALOKAX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46132</x:v>
      </x:c>
    </x:row>
    <x:row r="221">
      <x:c r="A221" s="14" t="n">
        <x:v>248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46132</x:v>
      </x:c>
      <x:c r="F221" s="15" t="n">
        <x:v>46132</x:v>
      </x:c>
      <x:c r="G221" s="16" t="str">
        <x:v>DIGITA-MUMBAI/ NEFT-IDIBH11038876490-JAI AMBE TRANSPORT</x:v>
      </x:c>
      <x:c r="H221" s="14" t="str"/>
      <x:c r="I221" s="14" t="str">
        <x:v>Receipt</x:v>
      </x:c>
      <x:c r="J221" s="17" t="n">
        <x:v>0</x:v>
      </x:c>
      <x:c r="K221" s="17" t="n">
        <x:v>2930</x:v>
      </x:c>
      <x:c r="L221" s="17" t="n">
        <x:v>2930</x:v>
      </x:c>
      <x:c r="M221" s="17" t="n">
        <x:v>118037.78</x:v>
      </x:c>
      <x:c r="N221" s="14" t="str">
        <x:v>Recurring Transaction</x:v>
      </x:c>
      <x:c r="O221" s="14" t="str">
        <x:v>Yes</x:v>
      </x:c>
      <x:c r="P221" s="14" t="str">
        <x:v>JAI AMBE TRANSPORT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46132</x:v>
      </x:c>
    </x:row>
    <x:row r="222">
      <x:c r="A222" s="14" t="n">
        <x:v>249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46132</x:v>
      </x:c>
      <x:c r="F222" s="15" t="n">
        <x:v>46132</x:v>
      </x:c>
      <x:c r="G222" s="16" t="str">
        <x:v>DIGITA-MUMBAI/ NEFT-KKBKH26110838388-ATLAS COMMODITIES PRIVATE LI</x:v>
      </x:c>
      <x:c r="H222" s="14" t="str"/>
      <x:c r="I222" s="14" t="str">
        <x:v>Receipt</x:v>
      </x:c>
      <x:c r="J222" s="17" t="n">
        <x:v>0</x:v>
      </x:c>
      <x:c r="K222" s="17" t="n">
        <x:v>8210</x:v>
      </x:c>
      <x:c r="L222" s="17" t="n">
        <x:v>8210</x:v>
      </x:c>
      <x:c r="M222" s="17" t="n">
        <x:v>126247.78</x:v>
      </x:c>
      <x:c r="N222" s="14" t="str">
        <x:v>Recurring Transaction</x:v>
      </x:c>
      <x:c r="O222" s="14" t="str">
        <x:v>Yes</x:v>
      </x:c>
      <x:c r="P222" s="14" t="str">
        <x:v>ATLAS COMMODITIES PRIVATE LI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46132</x:v>
      </x:c>
    </x:row>
    <x:row r="223">
      <x:c r="A223" s="14" t="n">
        <x:v>250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46132</x:v>
      </x:c>
      <x:c r="F223" s="15" t="n">
        <x:v>46132</x:v>
      </x:c>
      <x:c r="G223" s="16" t="str">
        <x:v>DIGITA-MUMBAI/ NEFT-IN42611050112752-JERAI FITNESS LIMITED</x:v>
      </x:c>
      <x:c r="H223" s="14" t="str"/>
      <x:c r="I223" s="14" t="str">
        <x:v>Receipt</x:v>
      </x:c>
      <x:c r="J223" s="17" t="n">
        <x:v>0</x:v>
      </x:c>
      <x:c r="K223" s="17" t="n">
        <x:v>163337</x:v>
      </x:c>
      <x:c r="L223" s="17" t="n">
        <x:v>163337</x:v>
      </x:c>
      <x:c r="M223" s="17" t="n">
        <x:v>289584.78</x:v>
      </x:c>
      <x:c r="N223" s="14" t="str">
        <x:v>High Transaction; Recurring Transaction</x:v>
      </x:c>
      <x:c r="O223" s="14" t="str">
        <x:v>Yes</x:v>
      </x:c>
      <x:c r="P223" s="14" t="str">
        <x:v>JERAI FITNESS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1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46132</x:v>
      </x:c>
    </x:row>
    <x:row r="224">
      <x:c r="A224" s="14" t="n">
        <x:v>251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46132</x:v>
      </x:c>
      <x:c r="F224" s="15" t="n">
        <x:v>46132</x:v>
      </x:c>
      <x:c r="G224" s="16" t="str">
        <x:v>EBANK:WIB/1504 EBANK:WIB/1504868004/Edfs</x:v>
      </x:c>
      <x:c r="H224" s="14" t="str"/>
      <x:c r="I224" s="14" t="str">
        <x:v>Payment</x:v>
      </x:c>
      <x:c r="J224" s="17" t="n">
        <x:v>287084.78</x:v>
      </x:c>
      <x:c r="K224" s="17" t="n">
        <x:v>0</x:v>
      </x:c>
      <x:c r="L224" s="17" t="n">
        <x:v>287084.78</x:v>
      </x:c>
      <x:c r="M224" s="17" t="n">
        <x:v>2500</x:v>
      </x:c>
      <x:c r="N224" s="14" t="str">
        <x:v>High Transaction; Recurring Transaction</x:v>
      </x:c>
      <x:c r="O224" s="14" t="str">
        <x:v>Yes</x:v>
      </x:c>
      <x:c r="P224" s="14" t="str">
        <x:v>EBANKWIB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46132</x:v>
      </x:c>
    </x:row>
    <x:row r="225">
      <x:c r="A225" s="14" t="n">
        <x:v>252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46132</x:v>
      </x:c>
      <x:c r="F225" s="15" t="n">
        <x:v>46132</x:v>
      </x:c>
      <x:c r="G225" s="16" t="str">
        <x:v>UPI/6476077667 7766718 UPI/647607766718/23:35:11/UPI/sureshenterprises15</x:v>
      </x:c>
      <x:c r="H225" s="14" t="str"/>
      <x:c r="I225" s="14" t="str">
        <x:v>Receipt</x:v>
      </x:c>
      <x:c r="J225" s="17" t="n">
        <x:v>0</x:v>
      </x:c>
      <x:c r="K225" s="17" t="n">
        <x:v>10000</x:v>
      </x:c>
      <x:c r="L225" s="17" t="n">
        <x:v>10000</x:v>
      </x:c>
      <x:c r="M225" s="17" t="n">
        <x:v>12500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46132</x:v>
      </x:c>
    </x:row>
    <x:row r="226">
      <x:c r="A226" s="14" t="n">
        <x:v>253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46133</x:v>
      </x:c>
      <x:c r="F226" s="15" t="n">
        <x:v>46133</x:v>
      </x:c>
      <x:c r="G226" s="16" t="str">
        <x:v>DIGITA-MUMBAI/ NEFT-YESAP61112557088-PhonePe Limited</x:v>
      </x:c>
      <x:c r="H226" s="14" t="str"/>
      <x:c r="I226" s="14" t="str">
        <x:v>Receipt</x:v>
      </x:c>
      <x:c r="J226" s="17" t="n">
        <x:v>0</x:v>
      </x:c>
      <x:c r="K226" s="17" t="n">
        <x:v>252575.92</x:v>
      </x:c>
      <x:c r="L226" s="17" t="n">
        <x:v>252575.92</x:v>
      </x:c>
      <x:c r="M226" s="17" t="n">
        <x:v>265075.92</x:v>
      </x:c>
      <x:c r="N226" s="14" t="str">
        <x:v>High Transaction; Recurring Transaction</x:v>
      </x:c>
      <x:c r="O226" s="14" t="str">
        <x:v>Yes</x:v>
      </x:c>
      <x:c r="P226" s="14" t="str">
        <x:v>PHONEPE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1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46133</x:v>
      </x:c>
    </x:row>
    <x:row r="227">
      <x:c r="A227" s="14" t="n">
        <x:v>254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46133</x:v>
      </x:c>
      <x:c r="F227" s="15" t="n">
        <x:v>46133</x:v>
      </x:c>
      <x:c r="G227" s="16" t="str">
        <x:v>DIGITA-MUMBAI/ Dep-NEFT-AXNPN11165247615-PHONEPE LIMITED-PAYMENT</x:v>
      </x:c>
      <x:c r="H227" s="14" t="str"/>
      <x:c r="I227" s="14" t="str">
        <x:v>Receipt</x:v>
      </x:c>
      <x:c r="J227" s="17" t="n">
        <x:v>0</x:v>
      </x:c>
      <x:c r="K227" s="17" t="n">
        <x:v>70870</x:v>
      </x:c>
      <x:c r="L227" s="17" t="n">
        <x:v>70870</x:v>
      </x:c>
      <x:c r="M227" s="17" t="n">
        <x:v>335945.92</x:v>
      </x:c>
      <x:c r="N227" s="14" t="str">
        <x:v>Recurring Transaction</x:v>
      </x:c>
      <x:c r="O227" s="14" t="str">
        <x:v>Yes</x:v>
      </x:c>
      <x:c r="P227" s="14" t="str">
        <x:v>PHONEPE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46133</x:v>
      </x:c>
    </x:row>
    <x:row r="228">
      <x:c r="A228" s="14" t="n">
        <x:v>255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46133</x:v>
      </x:c>
      <x:c r="F228" s="15" t="n">
        <x:v>46133</x:v>
      </x:c>
      <x:c r="G228" s="16" t="str">
        <x:v>EBANK:WIB/1504 EBANK:WIB/1504892301/Edfs</x:v>
      </x:c>
      <x:c r="H228" s="14" t="str"/>
      <x:c r="I228" s="14" t="str">
        <x:v>Payment</x:v>
      </x:c>
      <x:c r="J228" s="17" t="n">
        <x:v>333445.92</x:v>
      </x:c>
      <x:c r="K228" s="17" t="n">
        <x:v>0</x:v>
      </x:c>
      <x:c r="L228" s="17" t="n">
        <x:v>333445.92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46133</x:v>
      </x:c>
    </x:row>
    <x:row r="229">
      <x:c r="A229" s="14" t="n">
        <x:v>256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46133</x:v>
      </x:c>
      <x:c r="F229" s="15" t="n">
        <x:v>46133</x:v>
      </x:c>
      <x:c r="G229" s="16" t="str">
        <x:v>DIGITA-MUMBAI/ NEFT-AXISCN1319524277-ONE MOBIKWIK SYSTEMS LIMITED</x:v>
      </x:c>
      <x:c r="H229" s="14" t="str"/>
      <x:c r="I229" s="14" t="str">
        <x:v>Receipt</x:v>
      </x:c>
      <x:c r="J229" s="17" t="n">
        <x:v>0</x:v>
      </x:c>
      <x:c r="K229" s="17" t="n">
        <x:v>4510</x:v>
      </x:c>
      <x:c r="L229" s="17" t="n">
        <x:v>4510</x:v>
      </x:c>
      <x:c r="M229" s="17" t="n">
        <x:v>7010</x:v>
      </x:c>
      <x:c r="N229" s="14" t="str">
        <x:v>Recurring Transaction</x:v>
      </x:c>
      <x:c r="O229" s="14" t="str">
        <x:v>Yes</x:v>
      </x:c>
      <x:c r="P229" s="14" t="str">
        <x:v>ONE MOBIKWIK SYSTEMS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46133</x:v>
      </x:c>
    </x:row>
    <x:row r="230">
      <x:c r="A230" s="14" t="n">
        <x:v>257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46133</x:v>
      </x:c>
      <x:c r="F230" s="15" t="n">
        <x:v>46133</x:v>
      </x:c>
      <x:c r="G230" s="16" t="str">
        <x:v>DIGITA-MUMBAI/ NEFT-AXISCN1319563932-PINE LABS PRIVATE LIMITED-NO</x:v>
      </x:c>
      <x:c r="H230" s="14" t="str"/>
      <x:c r="I230" s="14" t="str">
        <x:v>Receipt</x:v>
      </x:c>
      <x:c r="J230" s="17" t="n">
        <x:v>0</x:v>
      </x:c>
      <x:c r="K230" s="17" t="n">
        <x:v>9630</x:v>
      </x:c>
      <x:c r="L230" s="17" t="n">
        <x:v>9630</x:v>
      </x:c>
      <x:c r="M230" s="17" t="n">
        <x:v>16640</x:v>
      </x:c>
      <x:c r="N230" s="14" t="str">
        <x:v>Recurring Transaction</x:v>
      </x:c>
      <x:c r="O230" s="14" t="str">
        <x:v>Yes</x:v>
      </x:c>
      <x:c r="P230" s="14" t="str">
        <x:v>PINE LABS PRIVATE LIMITED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46133</x:v>
      </x:c>
    </x:row>
    <x:row r="231">
      <x:c r="A231" s="14" t="n">
        <x:v>258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46133</x:v>
      </x:c>
      <x:c r="F231" s="15" t="n">
        <x:v>46133</x:v>
      </x:c>
      <x:c r="G231" s="16" t="str">
        <x:v>DIGITA-MUMBAI/ NEFT-HDFCH00946369304-MOHANJI BHARAT WELFARE FOUND</x:v>
      </x:c>
      <x:c r="H231" s="14" t="str"/>
      <x:c r="I231" s="14" t="str">
        <x:v>Receipt</x:v>
      </x:c>
      <x:c r="J231" s="17" t="n">
        <x:v>0</x:v>
      </x:c>
      <x:c r="K231" s="17" t="n">
        <x:v>14200</x:v>
      </x:c>
      <x:c r="L231" s="17" t="n">
        <x:v>14200</x:v>
      </x:c>
      <x:c r="M231" s="17" t="n">
        <x:v>30840</x:v>
      </x:c>
      <x:c r="N231" s="14" t="str">
        <x:v>Recurring Transaction</x:v>
      </x:c>
      <x:c r="O231" s="14" t="str">
        <x:v>Yes</x:v>
      </x:c>
      <x:c r="P231" s="14" t="str">
        <x:v>MOHANJI BHARAT WELFARE FOUND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46133</x:v>
      </x:c>
    </x:row>
    <x:row r="232">
      <x:c r="A232" s="14" t="n">
        <x:v>260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46133</x:v>
      </x:c>
      <x:c r="F232" s="15" t="n">
        <x:v>46133</x:v>
      </x:c>
      <x:c r="G232" s="16" t="str">
        <x:v>DIGITA-MUMBAI/ NEFT-NKGSH26111112804-GEBI PRODUCTS PRIVATE LIMITE</x:v>
      </x:c>
      <x:c r="H232" s="14" t="str"/>
      <x:c r="I232" s="14" t="str">
        <x:v>Receipt</x:v>
      </x:c>
      <x:c r="J232" s="17" t="n">
        <x:v>0</x:v>
      </x:c>
      <x:c r="K232" s="17" t="n">
        <x:v>4874.7</x:v>
      </x:c>
      <x:c r="L232" s="17" t="n">
        <x:v>4874.7</x:v>
      </x:c>
      <x:c r="M232" s="17" t="n">
        <x:v>53802.7</x:v>
      </x:c>
      <x:c r="N232" s="14" t="str">
        <x:v>Recurring Transaction</x:v>
      </x:c>
      <x:c r="O232" s="14" t="str">
        <x:v>Yes</x:v>
      </x:c>
      <x:c r="P232" s="14" t="str">
        <x:v>GEBI PRODUCTS PRIVATE LIMITE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46133</x:v>
      </x:c>
    </x:row>
    <x:row r="233">
      <x:c r="A233" s="14" t="n">
        <x:v>263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46133</x:v>
      </x:c>
      <x:c r="F233" s="15" t="n">
        <x:v>46133</x:v>
      </x:c>
      <x:c r="G233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33" s="14" t="str"/>
      <x:c r="I233" s="14" t="str">
        <x:v>Payment</x:v>
      </x:c>
      <x:c r="J233" s="17" t="n">
        <x:v>108963.7</x:v>
      </x:c>
      <x:c r="K233" s="17" t="n">
        <x:v>0</x:v>
      </x:c>
      <x:c r="L233" s="17" t="n">
        <x:v>108963.7</x:v>
      </x:c>
      <x:c r="M233" s="17" t="n">
        <x:v>2500</x:v>
      </x:c>
      <x:c r="N233" s="14" t="str">
        <x:v>High Transaction; Recurring Transaction</x:v>
      </x:c>
      <x:c r="O233" s="14" t="str">
        <x:v>Yes</x:v>
      </x:c>
      <x:c r="P233" s="14" t="str">
        <x:v>EBANKWIB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46133</x:v>
      </x:c>
    </x:row>
    <x:row r="234">
      <x:c r="A234" s="14" t="n">
        <x:v>264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46133</x:v>
      </x:c>
      <x:c r="F234" s="15" t="n">
        <x:v>46133</x:v>
      </x:c>
      <x:c r="G234" s="16" t="str">
        <x:v>DIGITA-MUMBAI/ NEFT-HDFCH00948007276-QUEST ENTERPRISES PVT LTD</x:v>
      </x:c>
      <x:c r="H234" s="14" t="str"/>
      <x:c r="I234" s="14" t="str">
        <x:v>Receipt</x:v>
      </x:c>
      <x:c r="J234" s="17" t="n">
        <x:v>0</x:v>
      </x:c>
      <x:c r="K234" s="17" t="n">
        <x:v>5000</x:v>
      </x:c>
      <x:c r="L234" s="17" t="n">
        <x:v>5000</x:v>
      </x:c>
      <x:c r="M234" s="17" t="n">
        <x:v>7500</x:v>
      </x:c>
      <x:c r="N234" s="14" t="str">
        <x:v>Recurring Transaction</x:v>
      </x:c>
      <x:c r="O234" s="14" t="str">
        <x:v>Yes</x:v>
      </x:c>
      <x:c r="P234" s="14" t="str">
        <x:v>QUEST ENTERPRISES PVT LTD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46133</x:v>
      </x:c>
    </x:row>
    <x:row r="235">
      <x:c r="A235" s="14" t="n">
        <x:v>265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46134</x:v>
      </x:c>
      <x:c r="F235" s="15" t="n">
        <x:v>46134</x:v>
      </x:c>
      <x:c r="G235" s="16" t="str">
        <x:v>DIGITA-MUMBAI/ NEFT-YESAP61123591632-PhonePe Limited</x:v>
      </x:c>
      <x:c r="H235" s="14" t="str"/>
      <x:c r="I235" s="14" t="str">
        <x:v>Receipt</x:v>
      </x:c>
      <x:c r="J235" s="17" t="n">
        <x:v>0</x:v>
      </x:c>
      <x:c r="K235" s="17" t="n">
        <x:v>195840</x:v>
      </x:c>
      <x:c r="L235" s="17" t="n">
        <x:v>195840</x:v>
      </x:c>
      <x:c r="M235" s="17" t="n">
        <x:v>203340</x:v>
      </x:c>
      <x:c r="N235" s="14" t="str">
        <x:v>High Transaction; Recurring Transaction</x:v>
      </x:c>
      <x:c r="O235" s="14" t="str">
        <x:v>Yes</x:v>
      </x:c>
      <x:c r="P235" s="14" t="str">
        <x:v>PHONEPE LIMITED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46134</x:v>
      </x:c>
    </x:row>
    <x:row r="236">
      <x:c r="A236" s="14" t="n">
        <x:v>266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46134</x:v>
      </x:c>
      <x:c r="F236" s="15" t="n">
        <x:v>46134</x:v>
      </x:c>
      <x:c r="G236" s="16" t="str">
        <x:v>DIGITA-MUMBAI/ NEFT-AXNPN11273516230-PHONEPE LIMITED-PAYMENT AGGR</x:v>
      </x:c>
      <x:c r="H236" s="14" t="str"/>
      <x:c r="I236" s="14" t="str">
        <x:v>Receipt</x:v>
      </x:c>
      <x:c r="J236" s="17" t="n">
        <x:v>0</x:v>
      </x:c>
      <x:c r="K236" s="17" t="n">
        <x:v>73388.24</x:v>
      </x:c>
      <x:c r="L236" s="17" t="n">
        <x:v>73388.24</x:v>
      </x:c>
      <x:c r="M236" s="17" t="n">
        <x:v>276728.24</x:v>
      </x:c>
      <x:c r="N236" s="14" t="str">
        <x:v>Recurring Transaction</x:v>
      </x:c>
      <x:c r="O236" s="14" t="str">
        <x:v>Yes</x:v>
      </x:c>
      <x:c r="P236" s="14" t="str">
        <x:v>PHONEPE LIMITED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46134</x:v>
      </x:c>
    </x:row>
    <x:row r="237">
      <x:c r="A237" s="14" t="n">
        <x:v>267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46134</x:v>
      </x:c>
      <x:c r="F237" s="15" t="n">
        <x:v>46134</x:v>
      </x:c>
      <x:c r="G237" s="16" t="str">
        <x:v>DIGITA-MUMBAI/ NEFT-AXISCN1320689816-ONE MOBIKWIK SYSTEMS LIMITED</x:v>
      </x:c>
      <x:c r="H237" s="14" t="str"/>
      <x:c r="I237" s="14" t="str">
        <x:v>Receipt</x:v>
      </x:c>
      <x:c r="J237" s="17" t="n">
        <x:v>0</x:v>
      </x:c>
      <x:c r="K237" s="17" t="n">
        <x:v>3079</x:v>
      </x:c>
      <x:c r="L237" s="17" t="n">
        <x:v>3079</x:v>
      </x:c>
      <x:c r="M237" s="17" t="n">
        <x:v>279807.24</x:v>
      </x:c>
      <x:c r="N237" s="14" t="str">
        <x:v>Recurring Transaction</x:v>
      </x:c>
      <x:c r="O237" s="14" t="str">
        <x:v>Yes</x:v>
      </x:c>
      <x:c r="P237" s="14" t="str">
        <x:v>ONE MOBIKWIK SYSTEMS LIMITED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46134</x:v>
      </x:c>
    </x:row>
    <x:row r="238">
      <x:c r="A238" s="14" t="n">
        <x:v>268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46134</x:v>
      </x:c>
      <x:c r="F238" s="15" t="n">
        <x:v>46134</x:v>
      </x:c>
      <x:c r="G238" s="16" t="str">
        <x:v>EBANK:WIB/1505 EBANK:WIB/1505048812/Edfs</x:v>
      </x:c>
      <x:c r="H238" s="14" t="str"/>
      <x:c r="I238" s="14" t="str">
        <x:v>Payment</x:v>
      </x:c>
      <x:c r="J238" s="17" t="n">
        <x:v>259307.24</x:v>
      </x:c>
      <x:c r="K238" s="17" t="n">
        <x:v>0</x:v>
      </x:c>
      <x:c r="L238" s="17" t="n">
        <x:v>259307.24</x:v>
      </x:c>
      <x:c r="M238" s="17" t="n">
        <x:v>20500</x:v>
      </x:c>
      <x:c r="N238" s="14" t="str">
        <x:v>High Transaction; Recurring Transaction</x:v>
      </x:c>
      <x:c r="O238" s="14" t="str">
        <x:v>Yes</x:v>
      </x:c>
      <x:c r="P238" s="14" t="str">
        <x:v>EBANKWIB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46134</x:v>
      </x:c>
    </x:row>
    <x:row r="239">
      <x:c r="A239" s="14" t="n">
        <x:v>269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46134</x:v>
      </x:c>
      <x:c r="F239" s="15" t="n">
        <x:v>46134</x:v>
      </x:c>
      <x:c r="G239" s="16" t="str">
        <x:v>DIGITA-MUMBAI/ https://cbdrpt101.bankofbaroda.co.in:22000/finbranch/arjspmorph/INFENG/tran_rpt.jsp?... 04-05-2026 IMPS/P2A/611209124412/VAKAS TEMPO SER/IMPSCNB9199</x:v>
      </x:c>
      <x:c r="H239" s="14" t="str"/>
      <x:c r="I239" s="14" t="str">
        <x:v>Receipt</x:v>
      </x:c>
      <x:c r="J239" s="17" t="n">
        <x:v>0</x:v>
      </x:c>
      <x:c r="K239" s="17" t="n">
        <x:v>15047</x:v>
      </x:c>
      <x:c r="L239" s="17" t="n">
        <x:v>15047</x:v>
      </x:c>
      <x:c r="M239" s="17" t="n">
        <x:v>35547</x:v>
      </x:c>
      <x:c r="N239" s="14" t="str">
        <x:v>Recurring Transaction</x:v>
      </x:c>
      <x:c r="O239" s="14" t="str">
        <x:v>Yes</x:v>
      </x:c>
      <x:c r="P239" s="14" t="str">
        <x:v>CBDRPTBANKOFBARODACOIN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46134</x:v>
      </x:c>
    </x:row>
    <x:row r="240">
      <x:c r="A240" s="14" t="n">
        <x:v>270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46134</x:v>
      </x:c>
      <x:c r="F240" s="15" t="n">
        <x:v>46134</x:v>
      </x:c>
      <x:c r="G240" s="16" t="str">
        <x:v>DIGITA-MUMBAI/ NEFT-AXISCN1320801214-PINE LABS PRIVATE LIMITED-NO</x:v>
      </x:c>
      <x:c r="H240" s="14" t="str"/>
      <x:c r="I240" s="14" t="str">
        <x:v>Receipt</x:v>
      </x:c>
      <x:c r="J240" s="17" t="n">
        <x:v>0</x:v>
      </x:c>
      <x:c r="K240" s="17" t="n">
        <x:v>43401</x:v>
      </x:c>
      <x:c r="L240" s="17" t="n">
        <x:v>43401</x:v>
      </x:c>
      <x:c r="M240" s="17" t="n">
        <x:v>78948</x:v>
      </x:c>
      <x:c r="N240" s="14" t="str">
        <x:v>Recurring Transaction</x:v>
      </x:c>
      <x:c r="O240" s="14" t="str">
        <x:v>Yes</x:v>
      </x:c>
      <x:c r="P240" s="14" t="str">
        <x:v>PINE LABS PRIVATE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46134</x:v>
      </x:c>
    </x:row>
    <x:row r="241">
      <x:c r="A241" s="14" t="n">
        <x:v>271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46134</x:v>
      </x:c>
      <x:c r="F241" s="15" t="n">
        <x:v>46134</x:v>
      </x:c>
      <x:c r="G241" s="16" t="str">
        <x:v>DIGITA-MUMBAI/ IMPS/P2A/611210623841/OMSANITRANSPORT/Diesel Bill</x:v>
      </x:c>
      <x:c r="H241" s="14" t="str"/>
      <x:c r="I241" s="14" t="str">
        <x:v>Receipt</x:v>
      </x:c>
      <x:c r="J241" s="17" t="n">
        <x:v>0</x:v>
      </x:c>
      <x:c r="K241" s="17" t="n">
        <x:v>37750</x:v>
      </x:c>
      <x:c r="L241" s="17" t="n">
        <x:v>37750</x:v>
      </x:c>
      <x:c r="M241" s="17" t="n">
        <x:v>116698</x:v>
      </x:c>
      <x:c r="N241" s="14" t="str">
        <x:v>Recurring Transaction</x:v>
      </x:c>
      <x:c r="O241" s="14" t="str">
        <x:v>Yes</x:v>
      </x:c>
      <x:c r="P241" s="14" t="str">
        <x:v>OMSANITRANSPORT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46134</x:v>
      </x:c>
    </x:row>
    <x:row r="242">
      <x:c r="A242" s="14" t="n">
        <x:v>273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46134</x:v>
      </x:c>
      <x:c r="F242" s="15" t="n">
        <x:v>46134</x:v>
      </x:c>
      <x:c r="G242" s="16" t="str">
        <x:v>DIGITA-MUMBAI/ NEFT-NKGSH26112125723-GEBI PRODUCTS PRIVATE LIMITE</x:v>
      </x:c>
      <x:c r="H242" s="14" t="str"/>
      <x:c r="I242" s="14" t="str">
        <x:v>Receipt</x:v>
      </x:c>
      <x:c r="J242" s="17" t="n">
        <x:v>0</x:v>
      </x:c>
      <x:c r="K242" s="17" t="n">
        <x:v>7484.8</x:v>
      </x:c>
      <x:c r="L242" s="17" t="n">
        <x:v>7484.8</x:v>
      </x:c>
      <x:c r="M242" s="17" t="n">
        <x:v>224182.8</x:v>
      </x:c>
      <x:c r="N242" s="14" t="str">
        <x:v>Recurring Transaction</x:v>
      </x:c>
      <x:c r="O242" s="14" t="str">
        <x:v>Yes</x:v>
      </x:c>
      <x:c r="P242" s="14" t="str">
        <x:v>GEBI PRODUCTS PRIVATE LIMITE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46134</x:v>
      </x:c>
    </x:row>
    <x:row r="243">
      <x:c r="A243" s="14" t="n">
        <x:v>274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46134</x:v>
      </x:c>
      <x:c r="F243" s="15" t="n">
        <x:v>46134</x:v>
      </x:c>
      <x:c r="G243" s="16" t="str">
        <x:v>DIGITA-MUMBAI/ NEFT-IN42611251127313-MITA FASTENERS PRIVATE LIMIT</x:v>
      </x:c>
      <x:c r="H243" s="14" t="str"/>
      <x:c r="I243" s="14" t="str">
        <x:v>Receipt</x:v>
      </x:c>
      <x:c r="J243" s="17" t="n">
        <x:v>0</x:v>
      </x:c>
      <x:c r="K243" s="17" t="n">
        <x:v>9044</x:v>
      </x:c>
      <x:c r="L243" s="17" t="n">
        <x:v>9044</x:v>
      </x:c>
      <x:c r="M243" s="17" t="n">
        <x:v>233226.8</x:v>
      </x:c>
      <x:c r="N243" s="14" t="str">
        <x:v>Recurring Transaction</x:v>
      </x:c>
      <x:c r="O243" s="14" t="str">
        <x:v>Yes</x:v>
      </x:c>
      <x:c r="P243" s="14" t="str">
        <x:v>MITA FASTENERS PRIVATE LIMIT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46134</x:v>
      </x:c>
    </x:row>
    <x:row r="244">
      <x:c r="A244" s="14" t="n">
        <x:v>275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46134</x:v>
      </x:c>
      <x:c r="F244" s="15" t="n">
        <x:v>46134</x:v>
      </x:c>
      <x:c r="G244" s="16" t="str">
        <x:v>DIGITA-MUMBAI/ IMPS/P2A/611218586331/SHREE GANESH EN/diselVVS910</x:v>
      </x:c>
      <x:c r="H244" s="14" t="str"/>
      <x:c r="I244" s="14" t="str">
        <x:v>Receipt</x:v>
      </x:c>
      <x:c r="J244" s="17" t="n">
        <x:v>0</x:v>
      </x:c>
      <x:c r="K244" s="17" t="n">
        <x:v>63308</x:v>
      </x:c>
      <x:c r="L244" s="17" t="n">
        <x:v>63308</x:v>
      </x:c>
      <x:c r="M244" s="17" t="n">
        <x:v>296534.8</x:v>
      </x:c>
      <x:c r="N244" s="14" t="str">
        <x:v>Recurring Transaction</x:v>
      </x:c>
      <x:c r="O244" s="14" t="str">
        <x:v>Yes</x:v>
      </x:c>
      <x:c r="P244" s="14" t="str">
        <x:v>SHREE GANESH EN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46134</x:v>
      </x:c>
    </x:row>
    <x:row r="245">
      <x:c r="A245" s="14" t="n">
        <x:v>276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46134</x:v>
      </x:c>
      <x:c r="F245" s="15" t="n">
        <x:v>46134</x:v>
      </x:c>
      <x:c r="G245" s="16" t="str">
        <x:v>DIGITA-MUMBAI/ NEFT-IN42611251256831-VINAYAK OIL INDUSTRIES</x:v>
      </x:c>
      <x:c r="H245" s="14" t="str"/>
      <x:c r="I245" s="14" t="str">
        <x:v>Receipt</x:v>
      </x:c>
      <x:c r="J245" s="17" t="n">
        <x:v>0</x:v>
      </x:c>
      <x:c r="K245" s="17" t="n">
        <x:v>62222</x:v>
      </x:c>
      <x:c r="L245" s="17" t="n">
        <x:v>62222</x:v>
      </x:c>
      <x:c r="M245" s="17" t="n">
        <x:v>358756.8</x:v>
      </x:c>
      <x:c r="N245" s="14" t="str">
        <x:v>Recurring Transaction</x:v>
      </x:c>
      <x:c r="O245" s="14" t="str">
        <x:v>Yes</x:v>
      </x:c>
      <x:c r="P245" s="14" t="str">
        <x:v>VINAYAK OIL INDUSTRIES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46134</x:v>
      </x:c>
    </x:row>
    <x:row r="246">
      <x:c r="A246" s="14" t="n">
        <x:v>277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46134</x:v>
      </x:c>
      <x:c r="F246" s="15" t="n">
        <x:v>46134</x:v>
      </x:c>
      <x:c r="G246" s="16" t="str">
        <x:v>EBANK:WIB/1505 EBANK:WIB/1505171210/Edfs</x:v>
      </x:c>
      <x:c r="H246" s="14" t="str"/>
      <x:c r="I246" s="14" t="str">
        <x:v>Payment</x:v>
      </x:c>
      <x:c r="J246" s="17" t="n">
        <x:v>356256.8</x:v>
      </x:c>
      <x:c r="K246" s="17" t="n">
        <x:v>0</x:v>
      </x:c>
      <x:c r="L246" s="17" t="n">
        <x:v>356256.8</x:v>
      </x:c>
      <x:c r="M246" s="17" t="n">
        <x:v>2500</x:v>
      </x:c>
      <x:c r="N246" s="14" t="str">
        <x:v>High Transaction; Recurring Transaction</x:v>
      </x:c>
      <x:c r="O246" s="14" t="str">
        <x:v>Yes</x:v>
      </x:c>
      <x:c r="P246" s="14" t="str">
        <x:v>EBANKWIB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1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46134</x:v>
      </x:c>
    </x:row>
    <x:row r="247">
      <x:c r="A247" s="14" t="n">
        <x:v>279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46134</x:v>
      </x:c>
      <x:c r="F247" s="15" t="n">
        <x:v>46134</x:v>
      </x:c>
      <x:c r="G247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47" s="14" t="str"/>
      <x:c r="I247" s="14" t="str">
        <x:v>Payment</x:v>
      </x:c>
      <x:c r="J247" s="17" t="n">
        <x:v>50000</x:v>
      </x:c>
      <x:c r="K247" s="17" t="n">
        <x:v>0</x:v>
      </x:c>
      <x:c r="L247" s="17" t="n">
        <x:v>50000</x:v>
      </x:c>
      <x:c r="M247" s="17" t="n">
        <x:v>2500</x:v>
      </x:c>
      <x:c r="N247" s="14" t="str">
        <x:v>Recurring Transaction</x:v>
      </x:c>
      <x:c r="O247" s="14" t="str">
        <x:v>Yes</x:v>
      </x:c>
      <x:c r="P247" s="14" t="str">
        <x:v>EBANKWIB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46134</x:v>
      </x:c>
    </x:row>
    <x:row r="248">
      <x:c r="A248" s="14" t="n">
        <x:v>280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46135</x:v>
      </x:c>
      <x:c r="F248" s="15" t="n">
        <x:v>46135</x:v>
      </x:c>
      <x:c r="G248" s="16" t="str">
        <x:v>DIGITA-MUMBAI/ NEFT-YESAP61133866852-PhonePe Limited</x:v>
      </x:c>
      <x:c r="H248" s="14" t="str"/>
      <x:c r="I248" s="14" t="str">
        <x:v>Receipt</x:v>
      </x:c>
      <x:c r="J248" s="17" t="n">
        <x:v>0</x:v>
      </x:c>
      <x:c r="K248" s="17" t="n">
        <x:v>224683</x:v>
      </x:c>
      <x:c r="L248" s="17" t="n">
        <x:v>224683</x:v>
      </x:c>
      <x:c r="M248" s="17" t="n">
        <x:v>227183</x:v>
      </x:c>
      <x:c r="N248" s="14" t="str">
        <x:v>High Transaction; Recurring Transaction</x:v>
      </x:c>
      <x:c r="O248" s="14" t="str">
        <x:v>Yes</x:v>
      </x:c>
      <x:c r="P248" s="14" t="str">
        <x:v>PHONEPE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46135</x:v>
      </x:c>
    </x:row>
    <x:row r="249">
      <x:c r="A249" s="14" t="n">
        <x:v>281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46135</x:v>
      </x:c>
      <x:c r="F249" s="15" t="n">
        <x:v>46135</x:v>
      </x:c>
      <x:c r="G249" s="16" t="str">
        <x:v>EBANK:WIB/1505 EBANK:WIB/1505193929/Edfs</x:v>
      </x:c>
      <x:c r="H249" s="14" t="str"/>
      <x:c r="I249" s="14" t="str">
        <x:v>Payment</x:v>
      </x:c>
      <x:c r="J249" s="17" t="n">
        <x:v>224683</x:v>
      </x:c>
      <x:c r="K249" s="17" t="n">
        <x:v>0</x:v>
      </x:c>
      <x:c r="L249" s="17" t="n">
        <x:v>224683</x:v>
      </x:c>
      <x:c r="M249" s="17" t="n">
        <x:v>2500</x:v>
      </x:c>
      <x:c r="N249" s="14" t="str">
        <x:v>High Transaction; Recurring Transaction</x:v>
      </x:c>
      <x:c r="O249" s="14" t="str">
        <x:v>Yes</x:v>
      </x:c>
      <x:c r="P249" s="14" t="str">
        <x:v>EBANKWIB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46135</x:v>
      </x:c>
    </x:row>
    <x:row r="250">
      <x:c r="A250" s="14" t="n">
        <x:v>282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46135</x:v>
      </x:c>
      <x:c r="F250" s="15" t="n">
        <x:v>46135</x:v>
      </x:c>
      <x:c r="G250" s="16" t="str">
        <x:v>DIGITA-MUMBAI/ NEFT-AXNPN11382060759-PHONEPE LIMITED-PAYMENT AGGR</x:v>
      </x:c>
      <x:c r="H250" s="14" t="str"/>
      <x:c r="I250" s="14" t="str">
        <x:v>Receipt</x:v>
      </x:c>
      <x:c r="J250" s="17" t="n">
        <x:v>0</x:v>
      </x:c>
      <x:c r="K250" s="17" t="n">
        <x:v>82795.52</x:v>
      </x:c>
      <x:c r="L250" s="17" t="n">
        <x:v>82795.52</x:v>
      </x:c>
      <x:c r="M250" s="17" t="n">
        <x:v>85295.52</x:v>
      </x:c>
      <x:c r="N250" s="14" t="str">
        <x:v>Recurring Transaction</x:v>
      </x:c>
      <x:c r="O250" s="14" t="str">
        <x:v>Yes</x:v>
      </x:c>
      <x:c r="P250" s="14" t="str">
        <x:v>PHONEPE LIMITED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46135</x:v>
      </x:c>
    </x:row>
    <x:row r="251">
      <x:c r="A251" s="14" t="n">
        <x:v>283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46135</x:v>
      </x:c>
      <x:c r="F251" s="15" t="n">
        <x:v>46135</x:v>
      </x:c>
      <x:c r="G251" s="16" t="str">
        <x:v>EBANK:WIB/1505 EBANK:WIB/1505194002/Edfs</x:v>
      </x:c>
      <x:c r="H251" s="14" t="str"/>
      <x:c r="I251" s="14" t="str">
        <x:v>Payment</x:v>
      </x:c>
      <x:c r="J251" s="17" t="n">
        <x:v>82795.52</x:v>
      </x:c>
      <x:c r="K251" s="17" t="n">
        <x:v>0</x:v>
      </x:c>
      <x:c r="L251" s="17" t="n">
        <x:v>82795.52</x:v>
      </x:c>
      <x:c r="M251" s="17" t="n">
        <x:v>2500</x:v>
      </x:c>
      <x:c r="N251" s="14" t="str">
        <x:v>Recurring Transaction</x:v>
      </x:c>
      <x:c r="O251" s="14" t="str">
        <x:v>Yes</x:v>
      </x:c>
      <x:c r="P251" s="14" t="str">
        <x:v>EBANKWIB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46135</x:v>
      </x:c>
    </x:row>
    <x:row r="252">
      <x:c r="A252" s="14" t="n">
        <x:v>284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46135</x:v>
      </x:c>
      <x:c r="F252" s="15" t="n">
        <x:v>46135</x:v>
      </x:c>
      <x:c r="G252" s="16" t="str">
        <x:v>DIGITA-MUMBAI/ NEFT-AXISCN1321967431-ONE MOBIKWIK SYSTEMS LIMITED</x:v>
      </x:c>
      <x:c r="H252" s="14" t="str"/>
      <x:c r="I252" s="14" t="str">
        <x:v>Receipt</x:v>
      </x:c>
      <x:c r="J252" s="17" t="n">
        <x:v>0</x:v>
      </x:c>
      <x:c r="K252" s="17" t="n">
        <x:v>9330</x:v>
      </x:c>
      <x:c r="L252" s="17" t="n">
        <x:v>9330</x:v>
      </x:c>
      <x:c r="M252" s="17" t="n">
        <x:v>11830</x:v>
      </x:c>
      <x:c r="N252" s="14" t="str">
        <x:v>Recurring Transaction</x:v>
      </x:c>
      <x:c r="O252" s="14" t="str">
        <x:v>Yes</x:v>
      </x:c>
      <x:c r="P252" s="14" t="str">
        <x:v>ONE MOBIKWIK SYSTEMS LIMITED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46135</x:v>
      </x:c>
    </x:row>
    <x:row r="253">
      <x:c r="A253" s="14" t="n">
        <x:v>285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46135</x:v>
      </x:c>
      <x:c r="F253" s="15" t="n">
        <x:v>46135</x:v>
      </x:c>
      <x:c r="G253" s="16" t="str">
        <x:v>DIGITA-MUMBAI/ NEFT-AXISCN1322079433-PINE LABS PRIVATE LIMITED-NO</x:v>
      </x:c>
      <x:c r="H253" s="14" t="str"/>
      <x:c r="I253" s="14" t="str">
        <x:v>Receipt</x:v>
      </x:c>
      <x:c r="J253" s="17" t="n">
        <x:v>0</x:v>
      </x:c>
      <x:c r="K253" s="17" t="n">
        <x:v>214974</x:v>
      </x:c>
      <x:c r="L253" s="17" t="n">
        <x:v>214974</x:v>
      </x:c>
      <x:c r="M253" s="17" t="n">
        <x:v>226804</x:v>
      </x:c>
      <x:c r="N253" s="14" t="str">
        <x:v>High Transaction; Recurring Transaction</x:v>
      </x:c>
      <x:c r="O253" s="14" t="str">
        <x:v>Yes</x:v>
      </x:c>
      <x:c r="P253" s="14" t="str">
        <x:v>PINE LABS PRIVATE LIMITED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1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46135</x:v>
      </x:c>
    </x:row>
    <x:row r="254">
      <x:c r="A254" s="14" t="n">
        <x:v>287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46135</x:v>
      </x:c>
      <x:c r="F254" s="15" t="n">
        <x:v>46135</x:v>
      </x:c>
      <x:c r="G254" s="16" t="str">
        <x:v>EBANK:WIB/1505 EBANK:WIB/1505205959/Edfs</x:v>
      </x:c>
      <x:c r="H254" s="14" t="str"/>
      <x:c r="I254" s="14" t="str">
        <x:v>Payment</x:v>
      </x:c>
      <x:c r="J254" s="17" t="n">
        <x:v>269000</x:v>
      </x:c>
      <x:c r="K254" s="17" t="n">
        <x:v>0</x:v>
      </x:c>
      <x:c r="L254" s="17" t="n">
        <x:v>269000</x:v>
      </x:c>
      <x:c r="M254" s="17" t="n">
        <x:v>3024</x:v>
      </x:c>
      <x:c r="N254" s="14" t="str">
        <x:v>High Transaction; Recurring Transaction</x:v>
      </x:c>
      <x:c r="O254" s="14" t="str">
        <x:v>Yes</x:v>
      </x:c>
      <x:c r="P254" s="14" t="str">
        <x:v>EBANKWIB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46135</x:v>
      </x:c>
    </x:row>
    <x:row r="255">
      <x:c r="A255" s="14" t="n">
        <x:v>288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46135</x:v>
      </x:c>
      <x:c r="F255" s="15" t="n">
        <x:v>46135</x:v>
      </x:c>
      <x:c r="G255" s="16" t="str">
        <x:v>Charges for Charges for PORD Customer Payment :003606420745</x:v>
      </x:c>
      <x:c r="H255" s="14" t="str"/>
      <x:c r="I255" s="14" t="str">
        <x:v>Payment</x:v>
      </x:c>
      <x:c r="J255" s="17" t="n">
        <x:v>2.65</x:v>
      </x:c>
      <x:c r="K255" s="17" t="n">
        <x:v>0</x:v>
      </x:c>
      <x:c r="L255" s="17" t="n">
        <x:v>2.65</x:v>
      </x:c>
      <x:c r="M255" s="17" t="n">
        <x:v>3021.35</x:v>
      </x:c>
      <x:c r="N255" s="14" t="str">
        <x:v>Recurring Transaction</x:v>
      </x:c>
      <x:c r="O255" s="14" t="str">
        <x:v>Yes</x:v>
      </x:c>
      <x:c r="P255" s="14" t="str">
        <x:v>CHARGES FOR CHARGES FOR PORD CUSTOMER PA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46135</x:v>
      </x:c>
    </x:row>
    <x:row r="256">
      <x:c r="A256" s="14" t="n">
        <x:v>289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46135</x:v>
      </x:c>
      <x:c r="F256" s="15" t="n">
        <x:v>46135</x:v>
      </x:c>
      <x:c r="G256" s="16" t="str">
        <x:v>NEFT-BARBV2611 NEFT-BARBV26113832164-RAMZAN HASNANI-CENTRAL BANK</x:v>
      </x:c>
      <x:c r="H256" s="14" t="str"/>
      <x:c r="I256" s="14" t="str">
        <x:v>Payment</x:v>
      </x:c>
      <x:c r="J256" s="17" t="n">
        <x:v>1000</x:v>
      </x:c>
      <x:c r="K256" s="17" t="n">
        <x:v>0</x:v>
      </x:c>
      <x:c r="L256" s="17" t="n">
        <x:v>1000</x:v>
      </x:c>
      <x:c r="M256" s="17" t="n">
        <x:v>2021.35</x:v>
      </x:c>
      <x:c r="N256" s="14" t="str">
        <x:v>Recurring Transaction</x:v>
      </x:c>
      <x:c r="O256" s="14" t="str">
        <x:v>Yes</x:v>
      </x:c>
      <x:c r="P256" s="14" t="str">
        <x:v>BARBV NEFT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46135</x:v>
      </x:c>
    </x:row>
    <x:row r="257">
      <x:c r="A257" s="14" t="n">
        <x:v>290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46135</x:v>
      </x:c>
      <x:c r="F257" s="15" t="n">
        <x:v>46135</x:v>
      </x:c>
      <x:c r="G257" s="16" t="str">
        <x:v>DIGITA-MUMBAI/ NEFT-AXODH11383366299-GRISHMA METAL TECHNOLOGY</x:v>
      </x:c>
      <x:c r="H257" s="14" t="str"/>
      <x:c r="I257" s="14" t="str">
        <x:v>Receipt</x:v>
      </x:c>
      <x:c r="J257" s="17" t="n">
        <x:v>0</x:v>
      </x:c>
      <x:c r="K257" s="17" t="n">
        <x:v>124000</x:v>
      </x:c>
      <x:c r="L257" s="17" t="n">
        <x:v>124000</x:v>
      </x:c>
      <x:c r="M257" s="17" t="n">
        <x:v>126021.35</x:v>
      </x:c>
      <x:c r="N257" s="14" t="str">
        <x:v>High Transaction; Recurring Transaction</x:v>
      </x:c>
      <x:c r="O257" s="14" t="str">
        <x:v>Yes</x:v>
      </x:c>
      <x:c r="P257" s="14" t="str">
        <x:v>GRISHMA METAL TECHNOLOGY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46135</x:v>
      </x:c>
    </x:row>
    <x:row r="258">
      <x:c r="A258" s="14" t="n">
        <x:v>292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46135</x:v>
      </x:c>
      <x:c r="F258" s="15" t="n">
        <x:v>46135</x:v>
      </x:c>
      <x:c r="G258" s="16" t="str">
        <x:v>DIGITA-MUMBAI/ NEFT-KKBKH26113992510-ATLAS COMMODITIES PRIVATE LI</x:v>
      </x:c>
      <x:c r="H258" s="14" t="str"/>
      <x:c r="I258" s="14" t="str">
        <x:v>Receipt</x:v>
      </x:c>
      <x:c r="J258" s="17" t="n">
        <x:v>0</x:v>
      </x:c>
      <x:c r="K258" s="17" t="n">
        <x:v>4796</x:v>
      </x:c>
      <x:c r="L258" s="17" t="n">
        <x:v>4796</x:v>
      </x:c>
      <x:c r="M258" s="17" t="n">
        <x:v>134817.35</x:v>
      </x:c>
      <x:c r="N258" s="14" t="str">
        <x:v>Recurring Transaction</x:v>
      </x:c>
      <x:c r="O258" s="14" t="str">
        <x:v>Yes</x:v>
      </x:c>
      <x:c r="P258" s="14" t="str">
        <x:v>ATLAS COMMODITIES PRIVATE LI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46135</x:v>
      </x:c>
    </x:row>
    <x:row r="259">
      <x:c r="A259" s="14" t="n">
        <x:v>293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46135</x:v>
      </x:c>
      <x:c r="F259" s="15" t="n">
        <x:v>46135</x:v>
      </x:c>
      <x:c r="G259" s="16" t="str">
        <x:v>DIGITA-MUMBAI/ https://cbdrpt101.bankofbaroda.co.in:22000/finbranch/arjspmorph/INFENG/tran_rpt.jsp?... 04-05-2026 NEFT-NKGSH26113138754-GEBI PRODUCTS PRIVATE LIMITE</x:v>
      </x:c>
      <x:c r="H259" s="14" t="str"/>
      <x:c r="I259" s="14" t="str">
        <x:v>Receipt</x:v>
      </x:c>
      <x:c r="J259" s="17" t="n">
        <x:v>0</x:v>
      </x:c>
      <x:c r="K259" s="17" t="n">
        <x:v>4400</x:v>
      </x:c>
      <x:c r="L259" s="17" t="n">
        <x:v>4400</x:v>
      </x:c>
      <x:c r="M259" s="17" t="n">
        <x:v>139217.35</x:v>
      </x:c>
      <x:c r="N259" s="14" t="str">
        <x:v>Recurring Transaction</x:v>
      </x:c>
      <x:c r="O259" s="14" t="str">
        <x:v>Yes</x:v>
      </x:c>
      <x:c r="P259" s="14" t="str">
        <x:v>CBDRPTBANKOFBARODACOIN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46135</x:v>
      </x:c>
    </x:row>
    <x:row r="260">
      <x:c r="A260" s="14" t="n">
        <x:v>296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46135</x:v>
      </x:c>
      <x:c r="F260" s="15" t="n">
        <x:v>46135</x:v>
      </x:c>
      <x:c r="G260" s="16" t="str">
        <x:v>EBANK:WIB/1505 EBANK:WIB/1505315722/Edfs</x:v>
      </x:c>
      <x:c r="H260" s="14" t="str"/>
      <x:c r="I260" s="14" t="str">
        <x:v>Payment</x:v>
      </x:c>
      <x:c r="J260" s="17" t="n">
        <x:v>222635.35</x:v>
      </x:c>
      <x:c r="K260" s="17" t="n">
        <x:v>0</x:v>
      </x:c>
      <x:c r="L260" s="17" t="n">
        <x:v>222635.35</x:v>
      </x:c>
      <x:c r="M260" s="17" t="n">
        <x:v>2500</x:v>
      </x:c>
      <x:c r="N260" s="14" t="str">
        <x:v>High Transaction; Recurring Transaction</x:v>
      </x:c>
      <x:c r="O260" s="14" t="str">
        <x:v>Yes</x:v>
      </x:c>
      <x:c r="P260" s="14" t="str">
        <x:v>EBANKWIB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1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46135</x:v>
      </x:c>
    </x:row>
    <x:row r="261">
      <x:c r="A261" s="14" t="n">
        <x:v>297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46136</x:v>
      </x:c>
      <x:c r="F261" s="15" t="n">
        <x:v>46136</x:v>
      </x:c>
      <x:c r="G261" s="16" t="str">
        <x:v>DIGITA-MUMBAI/ NEFT-YESAP61143829163-PhonePe Limited</x:v>
      </x:c>
      <x:c r="H261" s="14" t="str"/>
      <x:c r="I261" s="14" t="str">
        <x:v>Receipt</x:v>
      </x:c>
      <x:c r="J261" s="17" t="n">
        <x:v>0</x:v>
      </x:c>
      <x:c r="K261" s="17" t="n">
        <x:v>234281</x:v>
      </x:c>
      <x:c r="L261" s="17" t="n">
        <x:v>234281</x:v>
      </x:c>
      <x:c r="M261" s="17" t="n">
        <x:v>236781</x:v>
      </x:c>
      <x:c r="N261" s="14" t="str">
        <x:v>High Transaction; Recurring Transaction</x:v>
      </x:c>
      <x:c r="O261" s="14" t="str">
        <x:v>Yes</x:v>
      </x:c>
      <x:c r="P261" s="14" t="str">
        <x:v>PHONEPE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1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46136</x:v>
      </x:c>
    </x:row>
    <x:row r="262">
      <x:c r="A262" s="14" t="n">
        <x:v>298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46136</x:v>
      </x:c>
      <x:c r="F262" s="15" t="n">
        <x:v>46136</x:v>
      </x:c>
      <x:c r="G262" s="16" t="str">
        <x:v>DIGITA-MUMBAI/ NEFT-AXNPN11490153195-PHONEPE LIMITED-PAYMENT AGGR</x:v>
      </x:c>
      <x:c r="H262" s="14" t="str"/>
      <x:c r="I262" s="14" t="str">
        <x:v>Receipt</x:v>
      </x:c>
      <x:c r="J262" s="17" t="n">
        <x:v>0</x:v>
      </x:c>
      <x:c r="K262" s="17" t="n">
        <x:v>81529</x:v>
      </x:c>
      <x:c r="L262" s="17" t="n">
        <x:v>81529</x:v>
      </x:c>
      <x:c r="M262" s="17" t="n">
        <x:v>318310</x:v>
      </x:c>
      <x:c r="N262" s="14" t="str">
        <x:v>Recurring Transaction</x:v>
      </x:c>
      <x:c r="O262" s="14" t="str">
        <x:v>Yes</x:v>
      </x:c>
      <x:c r="P262" s="14" t="str">
        <x:v>PHONEPE LIMITED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46136</x:v>
      </x:c>
    </x:row>
    <x:row r="263">
      <x:c r="A263" s="14" t="n">
        <x:v>299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46136</x:v>
      </x:c>
      <x:c r="F263" s="15" t="n">
        <x:v>46136</x:v>
      </x:c>
      <x:c r="G263" s="16" t="str">
        <x:v>DIGITA-MUMBAI/ NEFT-AXISCN1322890868-ONE MOBIKWIK SYSTEMS LIMITED</x:v>
      </x:c>
      <x:c r="H263" s="14" t="str"/>
      <x:c r="I263" s="14" t="str">
        <x:v>Receipt</x:v>
      </x:c>
      <x:c r="J263" s="17" t="n">
        <x:v>0</x:v>
      </x:c>
      <x:c r="K263" s="17" t="n">
        <x:v>3100</x:v>
      </x:c>
      <x:c r="L263" s="17" t="n">
        <x:v>3100</x:v>
      </x:c>
      <x:c r="M263" s="17" t="n">
        <x:v>321410</x:v>
      </x:c>
      <x:c r="N263" s="14" t="str">
        <x:v>Recurring Transaction</x:v>
      </x:c>
      <x:c r="O263" s="14" t="str">
        <x:v>Yes</x:v>
      </x:c>
      <x:c r="P263" s="14" t="str">
        <x:v>ONE MOBIKWIK SYSTEMS LIMITED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46136</x:v>
      </x:c>
    </x:row>
    <x:row r="264">
      <x:c r="A264" s="14" t="n">
        <x:v>300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46136</x:v>
      </x:c>
      <x:c r="F264" s="15" t="n">
        <x:v>46136</x:v>
      </x:c>
      <x:c r="G264" s="16" t="str">
        <x:v>DIGITA-MUMBAI/ NEFT-AXISCN1322996900-PINE LABS PRIVATE LIMITED-NO</x:v>
      </x:c>
      <x:c r="H264" s="14" t="str"/>
      <x:c r="I264" s="14" t="str">
        <x:v>Receipt</x:v>
      </x:c>
      <x:c r="J264" s="17" t="n">
        <x:v>0</x:v>
      </x:c>
      <x:c r="K264" s="17" t="n">
        <x:v>90493</x:v>
      </x:c>
      <x:c r="L264" s="17" t="n">
        <x:v>90493</x:v>
      </x:c>
      <x:c r="M264" s="17" t="n">
        <x:v>411903</x:v>
      </x:c>
      <x:c r="N264" s="14" t="str">
        <x:v>Recurring Transaction</x:v>
      </x:c>
      <x:c r="O264" s="14" t="str">
        <x:v>Yes</x:v>
      </x:c>
      <x:c r="P264" s="14" t="str">
        <x:v>PINE LABS PRIVATE LIMITED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46136</x:v>
      </x:c>
    </x:row>
    <x:row r="265">
      <x:c r="A265" s="14" t="n">
        <x:v>301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46136</x:v>
      </x:c>
      <x:c r="F265" s="15" t="n">
        <x:v>46136</x:v>
      </x:c>
      <x:c r="G265" s="16" t="str">
        <x:v>EBANK:WIB/1505 EBANK:WIB/1505337172/Edfs</x:v>
      </x:c>
      <x:c r="H265" s="14" t="str"/>
      <x:c r="I265" s="14" t="str">
        <x:v>Payment</x:v>
      </x:c>
      <x:c r="J265" s="17" t="n">
        <x:v>400403</x:v>
      </x:c>
      <x:c r="K265" s="17" t="n">
        <x:v>0</x:v>
      </x:c>
      <x:c r="L265" s="17" t="n">
        <x:v>400403</x:v>
      </x:c>
      <x:c r="M265" s="17" t="n">
        <x:v>11500</x:v>
      </x:c>
      <x:c r="N265" s="14" t="str">
        <x:v>High Transaction; Recurring Transaction</x:v>
      </x:c>
      <x:c r="O265" s="14" t="str">
        <x:v>Yes</x:v>
      </x:c>
      <x:c r="P265" s="14" t="str">
        <x:v>EBANKWIB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1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46136</x:v>
      </x:c>
    </x:row>
    <x:row r="266">
      <x:c r="A266" s="14" t="n">
        <x:v>302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46136</x:v>
      </x:c>
      <x:c r="F266" s="15" t="n">
        <x:v>46136</x:v>
      </x:c>
      <x:c r="G266" s="16" t="str">
        <x:v>DIGITA-MUMBAI/ NEFT-NKGSH26114148361-GEBI PRODUCTS PRIVATE LIMITE</x:v>
      </x:c>
      <x:c r="H266" s="14" t="str"/>
      <x:c r="I266" s="14" t="str">
        <x:v>Receipt</x:v>
      </x:c>
      <x:c r="J266" s="17" t="n">
        <x:v>0</x:v>
      </x:c>
      <x:c r="K266" s="17" t="n">
        <x:v>2710</x:v>
      </x:c>
      <x:c r="L266" s="17" t="n">
        <x:v>2710</x:v>
      </x:c>
      <x:c r="M266" s="17" t="n">
        <x:v>14210</x:v>
      </x:c>
      <x:c r="N266" s="14" t="str">
        <x:v>Recurring Transaction</x:v>
      </x:c>
      <x:c r="O266" s="14" t="str">
        <x:v>Yes</x:v>
      </x:c>
      <x:c r="P266" s="14" t="str">
        <x:v>GEBI PRODUCTS PRIVATE LIMITE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46136</x:v>
      </x:c>
    </x:row>
    <x:row r="267">
      <x:c r="A267" s="14" t="n">
        <x:v>303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46136</x:v>
      </x:c>
      <x:c r="F267" s="15" t="n">
        <x:v>46136</x:v>
      </x:c>
      <x:c r="G267" s="16" t="str">
        <x:v>DIGITA-MUMBAI/ NEFT-IN42611452122935-N R COLOURS LIMITED</x:v>
      </x:c>
      <x:c r="H267" s="14" t="str"/>
      <x:c r="I267" s="14" t="str">
        <x:v>Receipt</x:v>
      </x:c>
      <x:c r="J267" s="17" t="n">
        <x:v>0</x:v>
      </x:c>
      <x:c r="K267" s="17" t="n">
        <x:v>20000</x:v>
      </x:c>
      <x:c r="L267" s="17" t="n">
        <x:v>20000</x:v>
      </x:c>
      <x:c r="M267" s="17" t="n">
        <x:v>34210</x:v>
      </x:c>
      <x:c r="N267" s="14" t="str">
        <x:v>Recurring Transaction</x:v>
      </x:c>
      <x:c r="O267" s="14" t="str">
        <x:v>Yes</x:v>
      </x:c>
      <x:c r="P267" s="14" t="str">
        <x:v>N R COLOURS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46136</x:v>
      </x:c>
    </x:row>
    <x:row r="268">
      <x:c r="A268" s="14" t="n">
        <x:v>304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46136</x:v>
      </x:c>
      <x:c r="F268" s="15" t="n">
        <x:v>46136</x:v>
      </x:c>
      <x:c r="G268" s="16" t="str">
        <x:v>DIGITA-MUMBAI/ NEFT-IDIBH11439372913-JAI AMBE TRANSPORT</x:v>
      </x:c>
      <x:c r="H268" s="14" t="str"/>
      <x:c r="I268" s="14" t="str">
        <x:v>Receipt</x:v>
      </x:c>
      <x:c r="J268" s="17" t="n">
        <x:v>0</x:v>
      </x:c>
      <x:c r="K268" s="17" t="n">
        <x:v>4545</x:v>
      </x:c>
      <x:c r="L268" s="17" t="n">
        <x:v>4545</x:v>
      </x:c>
      <x:c r="M268" s="17" t="n">
        <x:v>38755</x:v>
      </x:c>
      <x:c r="N268" s="14" t="str">
        <x:v>Recurring Transaction</x:v>
      </x:c>
      <x:c r="O268" s="14" t="str">
        <x:v>Yes</x:v>
      </x:c>
      <x:c r="P268" s="14" t="str">
        <x:v>JAI AMBE TRANSPORT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46136</x:v>
      </x:c>
    </x:row>
    <x:row r="269">
      <x:c r="A269" s="14" t="n">
        <x:v>305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46136</x:v>
      </x:c>
      <x:c r="F269" s="15" t="n">
        <x:v>46136</x:v>
      </x:c>
      <x:c r="G269" s="16" t="str">
        <x:v>EBANK:15054403 EBANK:1505440385/icicibank/114463157029/AVENUES I</x:v>
      </x:c>
      <x:c r="H269" s="14" t="str"/>
      <x:c r="I269" s="14" t="str">
        <x:v>Payment</x:v>
      </x:c>
      <x:c r="J269" s="17" t="n">
        <x:v>13249</x:v>
      </x:c>
      <x:c r="K269" s="17" t="n">
        <x:v>0</x:v>
      </x:c>
      <x:c r="L269" s="17" t="n">
        <x:v>13249</x:v>
      </x:c>
      <x:c r="M269" s="17" t="n">
        <x:v>25506</x:v>
      </x:c>
      <x:c r="N269" s="14" t="str">
        <x:v>Recurring Transaction</x:v>
      </x:c>
      <x:c r="O269" s="14" t="str">
        <x:v>Yes</x:v>
      </x:c>
      <x:c r="P269" s="14" t="str">
        <x:v>EBANK EBANK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46136</x:v>
      </x:c>
    </x:row>
    <x:row r="270">
      <x:c r="A270" s="14" t="n">
        <x:v>306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46136</x:v>
      </x:c>
      <x:c r="F270" s="15" t="n">
        <x:v>46136</x:v>
      </x:c>
      <x:c r="G270" s="16" t="str">
        <x:v>DIGITA-MUMBAI/ NEFT-IN22611428762276-PELL TECH HEALTH CARE PRIVAT</x:v>
      </x:c>
      <x:c r="H270" s="14" t="str"/>
      <x:c r="I270" s="14" t="str">
        <x:v>Receipt</x:v>
      </x:c>
      <x:c r="J270" s="17" t="n">
        <x:v>0</x:v>
      </x:c>
      <x:c r="K270" s="17" t="n">
        <x:v>12063</x:v>
      </x:c>
      <x:c r="L270" s="17" t="n">
        <x:v>12063</x:v>
      </x:c>
      <x:c r="M270" s="17" t="n">
        <x:v>37569</x:v>
      </x:c>
      <x:c r="N270" s="14" t="str">
        <x:v>Recurring Transaction</x:v>
      </x:c>
      <x:c r="O270" s="14" t="str">
        <x:v>Yes</x:v>
      </x:c>
      <x:c r="P270" s="14" t="str">
        <x:v>PELL TECH HEALTH CARE PRIVAT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46136</x:v>
      </x:c>
    </x:row>
    <x:row r="271">
      <x:c r="A271" s="14" t="n">
        <x:v>308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46136</x:v>
      </x:c>
      <x:c r="F271" s="15" t="n">
        <x:v>46136</x:v>
      </x:c>
      <x:c r="G271" s="16" t="str">
        <x:v>EBANK:WIB/1505 EBANK:WIB/1505452714/Edfs</x:v>
      </x:c>
      <x:c r="H271" s="14" t="str"/>
      <x:c r="I271" s="14" t="str">
        <x:v>Payment</x:v>
      </x:c>
      <x:c r="J271" s="17" t="n">
        <x:v>115069</x:v>
      </x:c>
      <x:c r="K271" s="17" t="n">
        <x:v>0</x:v>
      </x:c>
      <x:c r="L271" s="17" t="n">
        <x:v>115069</x:v>
      </x:c>
      <x:c r="M271" s="17" t="n">
        <x:v>2500</x:v>
      </x:c>
      <x:c r="N271" s="14" t="str">
        <x:v>High Transaction; Recurring Transaction</x:v>
      </x:c>
      <x:c r="O271" s="14" t="str">
        <x:v>Yes</x:v>
      </x:c>
      <x:c r="P271" s="14" t="str">
        <x:v>EBANKWIB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1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46136</x:v>
      </x:c>
    </x:row>
    <x:row r="272">
      <x:c r="A272" s="14" t="n">
        <x:v>309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46137</x:v>
      </x:c>
      <x:c r="F272" s="15" t="n">
        <x:v>46137</x:v>
      </x:c>
      <x:c r="G272" s="16" t="str">
        <x:v>DIGITA-MUMBAI/ NEFT-YESAP61152331743-PhonePe Limited</x:v>
      </x:c>
      <x:c r="H272" s="14" t="str"/>
      <x:c r="I272" s="14" t="str">
        <x:v>Receipt</x:v>
      </x:c>
      <x:c r="J272" s="17" t="n">
        <x:v>0</x:v>
      </x:c>
      <x:c r="K272" s="17" t="n">
        <x:v>273418</x:v>
      </x:c>
      <x:c r="L272" s="17" t="n">
        <x:v>273418</x:v>
      </x:c>
      <x:c r="M272" s="17" t="n">
        <x:v>275918</x:v>
      </x:c>
      <x:c r="N272" s="14" t="str">
        <x:v>High Transaction; Recurring Transaction</x:v>
      </x:c>
      <x:c r="O272" s="14" t="str">
        <x:v>Yes</x:v>
      </x:c>
      <x:c r="P272" s="14" t="str">
        <x:v>PHONEPE LIMITED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46137</x:v>
      </x:c>
    </x:row>
    <x:row r="273">
      <x:c r="A273" s="14" t="n">
        <x:v>310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46137</x:v>
      </x:c>
      <x:c r="F273" s="15" t="n">
        <x:v>46137</x:v>
      </x:c>
      <x:c r="G273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73" s="14" t="str"/>
      <x:c r="I273" s="14" t="str">
        <x:v>Payment</x:v>
      </x:c>
      <x:c r="J273" s="17" t="n">
        <x:v>273418</x:v>
      </x:c>
      <x:c r="K273" s="17" t="n">
        <x:v>0</x:v>
      </x:c>
      <x:c r="L273" s="17" t="n">
        <x:v>273418</x:v>
      </x:c>
      <x:c r="M273" s="17" t="n">
        <x:v>2500</x:v>
      </x:c>
      <x:c r="N273" s="14" t="str">
        <x:v>High Transaction; Recurring Transaction</x:v>
      </x:c>
      <x:c r="O273" s="14" t="str">
        <x:v>Yes</x:v>
      </x:c>
      <x:c r="P273" s="14" t="str">
        <x:v>EBANKWIB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46137</x:v>
      </x:c>
    </x:row>
    <x:row r="274">
      <x:c r="A274" s="14" t="n">
        <x:v>311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46137</x:v>
      </x:c>
      <x:c r="F274" s="15" t="n">
        <x:v>46137</x:v>
      </x:c>
      <x:c r="G274" s="16" t="str">
        <x:v>DIGITA-MUMBAI/ NEFT-AXNPN11598935300-PHONEPE LIMITED-PAYMENT AGGR</x:v>
      </x:c>
      <x:c r="H274" s="14" t="str"/>
      <x:c r="I274" s="14" t="str">
        <x:v>Receipt</x:v>
      </x:c>
      <x:c r="J274" s="17" t="n">
        <x:v>0</x:v>
      </x:c>
      <x:c r="K274" s="17" t="n">
        <x:v>72545.93</x:v>
      </x:c>
      <x:c r="L274" s="17" t="n">
        <x:v>72545.93</x:v>
      </x:c>
      <x:c r="M274" s="17" t="n">
        <x:v>75045.93</x:v>
      </x:c>
      <x:c r="N274" s="14" t="str">
        <x:v>Recurring Transaction</x:v>
      </x:c>
      <x:c r="O274" s="14" t="str">
        <x:v>Yes</x:v>
      </x:c>
      <x:c r="P274" s="14" t="str">
        <x:v>PHONEPE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46137</x:v>
      </x:c>
    </x:row>
    <x:row r="275">
      <x:c r="A275" s="14" t="n">
        <x:v>312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46137</x:v>
      </x:c>
      <x:c r="F275" s="15" t="n">
        <x:v>46137</x:v>
      </x:c>
      <x:c r="G275" s="16" t="str">
        <x:v>EBANK:WIB/1505 EBANK:WIB/1505471386/Edfs</x:v>
      </x:c>
      <x:c r="H275" s="14" t="str"/>
      <x:c r="I275" s="14" t="str">
        <x:v>Payment</x:v>
      </x:c>
      <x:c r="J275" s="17" t="n">
        <x:v>72545.93</x:v>
      </x:c>
      <x:c r="K275" s="17" t="n">
        <x:v>0</x:v>
      </x:c>
      <x:c r="L275" s="17" t="n">
        <x:v>72545.93</x:v>
      </x:c>
      <x:c r="M275" s="17" t="n">
        <x:v>2500</x:v>
      </x:c>
      <x:c r="N275" s="14" t="str">
        <x:v>Recurring Transaction</x:v>
      </x:c>
      <x:c r="O275" s="14" t="str">
        <x:v>Yes</x:v>
      </x:c>
      <x:c r="P275" s="14" t="str">
        <x:v>EBANKWIB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46137</x:v>
      </x:c>
    </x:row>
    <x:row r="276">
      <x:c r="A276" s="14" t="n">
        <x:v>313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46137</x:v>
      </x:c>
      <x:c r="F276" s="15" t="n">
        <x:v>46137</x:v>
      </x:c>
      <x:c r="G276" s="16" t="str">
        <x:v>DIGITA-MUMBAI/ NEFT-AXISCN1323965473-ONE MOBIKWIK SYSTEMS LIMITED</x:v>
      </x:c>
      <x:c r="H276" s="14" t="str"/>
      <x:c r="I276" s="14" t="str">
        <x:v>Receipt</x:v>
      </x:c>
      <x:c r="J276" s="17" t="n">
        <x:v>0</x:v>
      </x:c>
      <x:c r="K276" s="17" t="n">
        <x:v>1000</x:v>
      </x:c>
      <x:c r="L276" s="17" t="n">
        <x:v>1000</x:v>
      </x:c>
      <x:c r="M276" s="17" t="n">
        <x:v>3500</x:v>
      </x:c>
      <x:c r="N276" s="14" t="str">
        <x:v>Recurring Transaction</x:v>
      </x:c>
      <x:c r="O276" s="14" t="str">
        <x:v>Yes</x:v>
      </x:c>
      <x:c r="P276" s="14" t="str">
        <x:v>ONE MOBIKWIK SYSTEMS LIMITED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46137</x:v>
      </x:c>
    </x:row>
    <x:row r="277">
      <x:c r="A277" s="14" t="n">
        <x:v>314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46137</x:v>
      </x:c>
      <x:c r="F277" s="15" t="n">
        <x:v>46137</x:v>
      </x:c>
      <x:c r="G277" s="16" t="str">
        <x:v>DIGITA-MUMBAI/ NEFT-AXISCN1324050087-PINE LABS PRIVATE LIMITED-NO</x:v>
      </x:c>
      <x:c r="H277" s="14" t="str"/>
      <x:c r="I277" s="14" t="str">
        <x:v>Receipt</x:v>
      </x:c>
      <x:c r="J277" s="17" t="n">
        <x:v>0</x:v>
      </x:c>
      <x:c r="K277" s="17" t="n">
        <x:v>29350</x:v>
      </x:c>
      <x:c r="L277" s="17" t="n">
        <x:v>29350</x:v>
      </x:c>
      <x:c r="M277" s="17" t="n">
        <x:v>32850</x:v>
      </x:c>
      <x:c r="N277" s="14" t="str">
        <x:v>Recurring Transaction</x:v>
      </x:c>
      <x:c r="O277" s="14" t="str">
        <x:v>Yes</x:v>
      </x:c>
      <x:c r="P277" s="14" t="str">
        <x:v>PINE LABS PRIVATE LIMITED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46137</x:v>
      </x:c>
    </x:row>
    <x:row r="278">
      <x:c r="A278" s="14" t="n">
        <x:v>315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46137</x:v>
      </x:c>
      <x:c r="F278" s="15" t="n">
        <x:v>46137</x:v>
      </x:c>
      <x:c r="G278" s="16" t="str">
        <x:v>Charges for Charges for PORD Customer Payment :003610812913</x:v>
      </x:c>
      <x:c r="H278" s="14" t="str"/>
      <x:c r="I278" s="14" t="str">
        <x:v>Payment</x:v>
      </x:c>
      <x:c r="J278" s="17" t="n">
        <x:v>5.6</x:v>
      </x:c>
      <x:c r="K278" s="17" t="n">
        <x:v>0</x:v>
      </x:c>
      <x:c r="L278" s="17" t="n">
        <x:v>5.6</x:v>
      </x:c>
      <x:c r="M278" s="17" t="n">
        <x:v>32844.4</x:v>
      </x:c>
      <x:c r="N278" s="14" t="str">
        <x:v>Recurring Transaction</x:v>
      </x:c>
      <x:c r="O278" s="14" t="str">
        <x:v>Yes</x:v>
      </x:c>
      <x:c r="P278" s="14" t="str">
        <x:v>CHARGES FOR CHARGES FOR PORD CUSTOMER PA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46137</x:v>
      </x:c>
    </x:row>
    <x:row r="279">
      <x:c r="A279" s="14" t="n">
        <x:v>318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46137</x:v>
      </x:c>
      <x:c r="F279" s="15" t="n">
        <x:v>46137</x:v>
      </x:c>
      <x:c r="G279" s="16" t="str">
        <x:v>DIGITA-MUMBAI/ IMPS/P2A/611513033420/VILLAGE STONE L/Diesel paym</x:v>
      </x:c>
      <x:c r="H279" s="14" t="str"/>
      <x:c r="I279" s="14" t="str">
        <x:v>Receipt</x:v>
      </x:c>
      <x:c r="J279" s="17" t="n">
        <x:v>0</x:v>
      </x:c>
      <x:c r="K279" s="17" t="n">
        <x:v>100000</x:v>
      </x:c>
      <x:c r="L279" s="17" t="n">
        <x:v>100000</x:v>
      </x:c>
      <x:c r="M279" s="17" t="n">
        <x:v>138944.05</x:v>
      </x:c>
      <x:c r="N279" s="14" t="str">
        <x:v>High Transaction; Recurring Transaction</x:v>
      </x:c>
      <x:c r="O279" s="14" t="str">
        <x:v>Yes</x:v>
      </x:c>
      <x:c r="P279" s="14" t="str">
        <x:v>VILLAGE STONE L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1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46137</x:v>
      </x:c>
    </x:row>
    <x:row r="280">
      <x:c r="A280" s="14" t="n">
        <x:v>319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46137</x:v>
      </x:c>
      <x:c r="F280" s="15" t="n">
        <x:v>46137</x:v>
      </x:c>
      <x:c r="G280" s="16" t="str">
        <x:v>DIGITA-MUMBAI/ NEFT-KKBKH26115923099-ATLAS COMMODITIES PRIVATE LI</x:v>
      </x:c>
      <x:c r="H280" s="14" t="str"/>
      <x:c r="I280" s="14" t="str">
        <x:v>Receipt</x:v>
      </x:c>
      <x:c r="J280" s="17" t="n">
        <x:v>0</x:v>
      </x:c>
      <x:c r="K280" s="17" t="n">
        <x:v>7389</x:v>
      </x:c>
      <x:c r="L280" s="17" t="n">
        <x:v>7389</x:v>
      </x:c>
      <x:c r="M280" s="17" t="n">
        <x:v>146333.05</x:v>
      </x:c>
      <x:c r="N280" s="14" t="str">
        <x:v>Recurring Transaction</x:v>
      </x:c>
      <x:c r="O280" s="14" t="str">
        <x:v>Yes</x:v>
      </x:c>
      <x:c r="P280" s="14" t="str">
        <x:v>ATLAS COMMODITIES PRIVATE LI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46137</x:v>
      </x:c>
    </x:row>
    <x:row r="281">
      <x:c r="A281" s="14" t="n">
        <x:v>321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46137</x:v>
      </x:c>
      <x:c r="F281" s="15" t="n">
        <x:v>46137</x:v>
      </x:c>
      <x:c r="G281" s="16" t="str">
        <x:v>DIGITA-MUMBAI/ IMPS/P2A/611516181925/S TRANS 14851/Mh04ju3738I</x:v>
      </x:c>
      <x:c r="H281" s="14" t="str"/>
      <x:c r="I281" s="14" t="str">
        <x:v>Receipt</x:v>
      </x:c>
      <x:c r="J281" s="17" t="n">
        <x:v>0</x:v>
      </x:c>
      <x:c r="K281" s="17" t="n">
        <x:v>9400</x:v>
      </x:c>
      <x:c r="L281" s="17" t="n">
        <x:v>9400</x:v>
      </x:c>
      <x:c r="M281" s="17" t="n">
        <x:v>174747.15</x:v>
      </x:c>
      <x:c r="N281" s="14" t="str">
        <x:v>Recurring Transaction</x:v>
      </x:c>
      <x:c r="O281" s="14" t="str">
        <x:v>Yes</x:v>
      </x:c>
      <x:c r="P281" s="14" t="str">
        <x:v>DIGITA-MUMBAI/ IMPS/P#A/#/S TRANS #/MH#JU#I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46137</x:v>
      </x:c>
    </x:row>
    <x:row r="282">
      <x:c r="A282" s="14" t="n">
        <x:v>322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46137</x:v>
      </x:c>
      <x:c r="F282" s="15" t="n">
        <x:v>46137</x:v>
      </x:c>
      <x:c r="G282" s="16" t="str">
        <x:v>EBANK:WIB/1505 EBANK:WIB/1505585919/Edfs</x:v>
      </x:c>
      <x:c r="H282" s="14" t="str"/>
      <x:c r="I282" s="14" t="str">
        <x:v>Payment</x:v>
      </x:c>
      <x:c r="J282" s="17" t="n">
        <x:v>172247.15</x:v>
      </x:c>
      <x:c r="K282" s="17" t="n">
        <x:v>0</x:v>
      </x:c>
      <x:c r="L282" s="17" t="n">
        <x:v>172247.15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46137</x:v>
      </x:c>
    </x:row>
    <x:row r="283">
      <x:c r="A283" s="14" t="n">
        <x:v>323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46138</x:v>
      </x:c>
      <x:c r="F283" s="15" t="n">
        <x:v>46138</x:v>
      </x:c>
      <x:c r="G283" s="16" t="str">
        <x:v>DIGITA-MUMBAI/ NEFT-YESAP61163896825-PhonePe Limited</x:v>
      </x:c>
      <x:c r="H283" s="14" t="str"/>
      <x:c r="I283" s="14" t="str">
        <x:v>Receipt</x:v>
      </x:c>
      <x:c r="J283" s="17" t="n">
        <x:v>0</x:v>
      </x:c>
      <x:c r="K283" s="17" t="n">
        <x:v>244934</x:v>
      </x:c>
      <x:c r="L283" s="17" t="n">
        <x:v>244934</x:v>
      </x:c>
      <x:c r="M283" s="17" t="n">
        <x:v>247434</x:v>
      </x:c>
      <x:c r="N283" s="14" t="str">
        <x:v>High Transaction; 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46138</x:v>
      </x:c>
    </x:row>
    <x:row r="284">
      <x:c r="A284" s="14" t="n">
        <x:v>324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46138</x:v>
      </x:c>
      <x:c r="F284" s="15" t="n">
        <x:v>46138</x:v>
      </x:c>
      <x:c r="G284" s="16" t="str">
        <x:v>DIGITA-MUMBAI/ NEFT-AXNPN11607066053-PHONEPE LIMITED-PAYMENT AGGR</x:v>
      </x:c>
      <x:c r="H284" s="14" t="str"/>
      <x:c r="I284" s="14" t="str">
        <x:v>Receipt</x:v>
      </x:c>
      <x:c r="J284" s="17" t="n">
        <x:v>0</x:v>
      </x:c>
      <x:c r="K284" s="17" t="n">
        <x:v>100291.79</x:v>
      </x:c>
      <x:c r="L284" s="17" t="n">
        <x:v>100291.79</x:v>
      </x:c>
      <x:c r="M284" s="17" t="n">
        <x:v>347725.79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46138</x:v>
      </x:c>
    </x:row>
    <x:row r="285">
      <x:c r="A285" s="14" t="n">
        <x:v>325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46138</x:v>
      </x:c>
      <x:c r="F285" s="15" t="n">
        <x:v>46138</x:v>
      </x:c>
      <x:c r="G285" s="16" t="str">
        <x:v>DIGITA-MUMBAI/ NEFT-AXISCN1324632883-ONE MOBIKWIK SYSTEMS LIMITED</x:v>
      </x:c>
      <x:c r="H285" s="14" t="str"/>
      <x:c r="I285" s="14" t="str">
        <x:v>Receipt</x:v>
      </x:c>
      <x:c r="J285" s="17" t="n">
        <x:v>0</x:v>
      </x:c>
      <x:c r="K285" s="17" t="n">
        <x:v>3765</x:v>
      </x:c>
      <x:c r="L285" s="17" t="n">
        <x:v>3765</x:v>
      </x:c>
      <x:c r="M285" s="17" t="n">
        <x:v>351490.79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46138</x:v>
      </x:c>
    </x:row>
    <x:row r="286">
      <x:c r="A286" s="14" t="n">
        <x:v>326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46138</x:v>
      </x:c>
      <x:c r="F286" s="15" t="n">
        <x:v>46138</x:v>
      </x:c>
      <x:c r="G28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86" s="14" t="str"/>
      <x:c r="I286" s="14" t="str">
        <x:v>Payment</x:v>
      </x:c>
      <x:c r="J286" s="17" t="n">
        <x:v>300990.79</x:v>
      </x:c>
      <x:c r="K286" s="17" t="n">
        <x:v>0</x:v>
      </x:c>
      <x:c r="L286" s="17" t="n">
        <x:v>300990.79</x:v>
      </x:c>
      <x:c r="M286" s="17" t="n">
        <x:v>50500</x:v>
      </x:c>
      <x:c r="N286" s="14" t="str">
        <x:v>High Transaction; Recurring Transaction</x:v>
      </x:c>
      <x:c r="O286" s="14" t="str">
        <x:v>Yes</x:v>
      </x:c>
      <x:c r="P286" s="14" t="str">
        <x:v>EBANKWIB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46138</x:v>
      </x:c>
    </x:row>
    <x:row r="287">
      <x:c r="A287" s="14" t="n">
        <x:v>327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46138</x:v>
      </x:c>
      <x:c r="F287" s="15" t="n">
        <x:v>46138</x:v>
      </x:c>
      <x:c r="G287" s="16" t="str">
        <x:v>DIGITA-MUMBAI/ IMPS/P2A/611609588661/SHREE GANESH EN/billVVS9100</x:v>
      </x:c>
      <x:c r="H287" s="14" t="str"/>
      <x:c r="I287" s="14" t="str">
        <x:v>Receipt</x:v>
      </x:c>
      <x:c r="J287" s="17" t="n">
        <x:v>0</x:v>
      </x:c>
      <x:c r="K287" s="17" t="n">
        <x:v>63308</x:v>
      </x:c>
      <x:c r="L287" s="17" t="n">
        <x:v>63308</x:v>
      </x:c>
      <x:c r="M287" s="17" t="n">
        <x:v>113808</x:v>
      </x:c>
      <x:c r="N287" s="14" t="str">
        <x:v>Recurring Transaction</x:v>
      </x:c>
      <x:c r="O287" s="14" t="str">
        <x:v>Yes</x:v>
      </x:c>
      <x:c r="P287" s="14" t="str">
        <x:v>SHREE GANESH EN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46138</x:v>
      </x:c>
    </x:row>
    <x:row r="288">
      <x:c r="A288" s="14" t="n">
        <x:v>328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46138</x:v>
      </x:c>
      <x:c r="F288" s="15" t="n">
        <x:v>46138</x:v>
      </x:c>
      <x:c r="G288" s="16" t="str">
        <x:v>DIGITA-MUMBAI/ NEFT-HDFCH00955439283-MARK LUBES PRIVATE LIMITED</x:v>
      </x:c>
      <x:c r="H288" s="14" t="str"/>
      <x:c r="I288" s="14" t="str">
        <x:v>Receipt</x:v>
      </x:c>
      <x:c r="J288" s="17" t="n">
        <x:v>0</x:v>
      </x:c>
      <x:c r="K288" s="17" t="n">
        <x:v>3420</x:v>
      </x:c>
      <x:c r="L288" s="17" t="n">
        <x:v>3420</x:v>
      </x:c>
      <x:c r="M288" s="17" t="n">
        <x:v>117228</x:v>
      </x:c>
      <x:c r="N288" s="14" t="str">
        <x:v>Recurring Transaction</x:v>
      </x:c>
      <x:c r="O288" s="14" t="str">
        <x:v>Yes</x:v>
      </x:c>
      <x:c r="P288" s="14" t="str">
        <x:v>MARK LUBES PRIVATE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46138</x:v>
      </x:c>
    </x:row>
    <x:row r="289">
      <x:c r="A289" s="14" t="n">
        <x:v>329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46138</x:v>
      </x:c>
      <x:c r="F289" s="15" t="n">
        <x:v>46138</x:v>
      </x:c>
      <x:c r="G289" s="16" t="str">
        <x:v>EBANK:WIB/1505 EBANK:WIB/1505633295/Edfs</x:v>
      </x:c>
      <x:c r="H289" s="14" t="str"/>
      <x:c r="I289" s="14" t="str">
        <x:v>Payment</x:v>
      </x:c>
      <x:c r="J289" s="17" t="n">
        <x:v>114728</x:v>
      </x:c>
      <x:c r="K289" s="17" t="n">
        <x:v>0</x:v>
      </x:c>
      <x:c r="L289" s="17" t="n">
        <x:v>114728</x:v>
      </x:c>
      <x:c r="M289" s="17" t="n">
        <x:v>2500</x:v>
      </x:c>
      <x:c r="N289" s="14" t="str">
        <x:v>High Transaction; Recurring Transaction</x:v>
      </x:c>
      <x:c r="O289" s="14" t="str">
        <x:v>Yes</x:v>
      </x:c>
      <x:c r="P289" s="14" t="str">
        <x:v>EBANKWIB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46138</x:v>
      </x:c>
    </x:row>
    <x:row r="290">
      <x:c r="A290" s="14" t="n">
        <x:v>330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46139</x:v>
      </x:c>
      <x:c r="F290" s="15" t="n">
        <x:v>46139</x:v>
      </x:c>
      <x:c r="G290" s="16" t="str">
        <x:v>DIGITA-MUMBAI/ NEFT-YESAP61174218113-PhonePe Limited</x:v>
      </x:c>
      <x:c r="H290" s="14" t="str"/>
      <x:c r="I290" s="14" t="str">
        <x:v>Receipt</x:v>
      </x:c>
      <x:c r="J290" s="17" t="n">
        <x:v>0</x:v>
      </x:c>
      <x:c r="K290" s="17" t="n">
        <x:v>243320.8</x:v>
      </x:c>
      <x:c r="L290" s="17" t="n">
        <x:v>243320.8</x:v>
      </x:c>
      <x:c r="M290" s="17" t="n">
        <x:v>245820.8</x:v>
      </x:c>
      <x:c r="N290" s="14" t="str">
        <x:v>High Transaction; Recurring Transaction</x:v>
      </x:c>
      <x:c r="O290" s="14" t="str">
        <x:v>Yes</x:v>
      </x:c>
      <x:c r="P290" s="14" t="str">
        <x:v>PHONEPE LIMITED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1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46139</x:v>
      </x:c>
    </x:row>
    <x:row r="291">
      <x:c r="A291" s="14" t="n">
        <x:v>331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46139</x:v>
      </x:c>
      <x:c r="F291" s="15" t="n">
        <x:v>46139</x:v>
      </x:c>
      <x:c r="G291" s="16" t="str">
        <x:v>DIGITA-MUMBAI/ NEFT-AXNPN11714754008-PHONEPE LIMITED-PAYMENT AGGR</x:v>
      </x:c>
      <x:c r="H291" s="14" t="str"/>
      <x:c r="I291" s="14" t="str">
        <x:v>Receipt</x:v>
      </x:c>
      <x:c r="J291" s="17" t="n">
        <x:v>0</x:v>
      </x:c>
      <x:c r="K291" s="17" t="n">
        <x:v>109488</x:v>
      </x:c>
      <x:c r="L291" s="17" t="n">
        <x:v>109488</x:v>
      </x:c>
      <x:c r="M291" s="17" t="n">
        <x:v>355308.8</x:v>
      </x:c>
      <x:c r="N291" s="14" t="str">
        <x:v>High Transaction; Recurring Transaction</x:v>
      </x:c>
      <x:c r="O291" s="14" t="str">
        <x:v>Yes</x:v>
      </x:c>
      <x:c r="P291" s="14" t="str">
        <x:v>PHONEPE LIMITED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46139</x:v>
      </x:c>
    </x:row>
    <x:row r="292">
      <x:c r="A292" s="14" t="n">
        <x:v>332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46139</x:v>
      </x:c>
      <x:c r="F292" s="15" t="n">
        <x:v>46139</x:v>
      </x:c>
      <x:c r="G292" s="16" t="str">
        <x:v>DIGITA-MUMBAI/ NEFT-AXISCN1325294472-ONE MOBIKWIK SYSTEMS LIMITED https://cbdrpt101.bankofbaroda.co.in:22000/finbranch/arjspmorph/INFENG/tran_rpt.jsp?... 04-05-2026</x:v>
      </x:c>
      <x:c r="H292" s="14" t="str"/>
      <x:c r="I292" s="14" t="str">
        <x:v>Receipt</x:v>
      </x:c>
      <x:c r="J292" s="17" t="n">
        <x:v>0</x:v>
      </x:c>
      <x:c r="K292" s="17" t="n">
        <x:v>1900</x:v>
      </x:c>
      <x:c r="L292" s="17" t="n">
        <x:v>1900</x:v>
      </x:c>
      <x:c r="M292" s="17" t="n">
        <x:v>357208.8</x:v>
      </x:c>
      <x:c r="N292" s="14" t="str">
        <x:v>Recurring Transaction</x:v>
      </x:c>
      <x:c r="O292" s="14" t="str">
        <x:v>Yes</x:v>
      </x:c>
      <x:c r="P292" s="14" t="str">
        <x:v>ONE MOBIKWIK SYSTEMS LIMITED HTTPS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46139</x:v>
      </x:c>
    </x:row>
    <x:row r="293">
      <x:c r="A293" s="14" t="n">
        <x:v>333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46139</x:v>
      </x:c>
      <x:c r="F293" s="15" t="n">
        <x:v>46139</x:v>
      </x:c>
      <x:c r="G293" s="16" t="str">
        <x:v>DIGITA-MUMBAI/ NEFT-AXISCN1325402930-PINE LABS PRIVATE LIMITED-NO</x:v>
      </x:c>
      <x:c r="H293" s="14" t="str"/>
      <x:c r="I293" s="14" t="str">
        <x:v>Receipt</x:v>
      </x:c>
      <x:c r="J293" s="17" t="n">
        <x:v>0</x:v>
      </x:c>
      <x:c r="K293" s="17" t="n">
        <x:v>73824</x:v>
      </x:c>
      <x:c r="L293" s="17" t="n">
        <x:v>73824</x:v>
      </x:c>
      <x:c r="M293" s="17" t="n">
        <x:v>431032.8</x:v>
      </x:c>
      <x:c r="N293" s="14" t="str">
        <x:v>Recurring Transaction</x:v>
      </x:c>
      <x:c r="O293" s="14" t="str">
        <x:v>Yes</x:v>
      </x:c>
      <x:c r="P293" s="14" t="str">
        <x:v>PINE LABS PRIVATE LIMITED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46139</x:v>
      </x:c>
    </x:row>
    <x:row r="294">
      <x:c r="A294" s="14" t="n">
        <x:v>334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46139</x:v>
      </x:c>
      <x:c r="F294" s="15" t="n">
        <x:v>46139</x:v>
      </x:c>
      <x:c r="G294" s="16" t="str">
        <x:v>DIGITA-MUMBAI/ NEFT-AXISCN1325456778-PINE LABS PRIVATE LIMITED-NO</x:v>
      </x:c>
      <x:c r="H294" s="14" t="str"/>
      <x:c r="I294" s="14" t="str">
        <x:v>Receipt</x:v>
      </x:c>
      <x:c r="J294" s="17" t="n">
        <x:v>0</x:v>
      </x:c>
      <x:c r="K294" s="17" t="n">
        <x:v>31285</x:v>
      </x:c>
      <x:c r="L294" s="17" t="n">
        <x:v>31285</x:v>
      </x:c>
      <x:c r="M294" s="17" t="n">
        <x:v>462317.8</x:v>
      </x:c>
      <x:c r="N294" s="14" t="str">
        <x:v>Recurring Transaction</x:v>
      </x:c>
      <x:c r="O294" s="14" t="str">
        <x:v>Yes</x:v>
      </x:c>
      <x:c r="P294" s="14" t="str">
        <x:v>PINE LABS PRIVATE LIMITED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46139</x:v>
      </x:c>
    </x:row>
    <x:row r="295">
      <x:c r="A295" s="14" t="n">
        <x:v>335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46139</x:v>
      </x:c>
      <x:c r="F295" s="15" t="n">
        <x:v>46139</x:v>
      </x:c>
      <x:c r="G295" s="16" t="str">
        <x:v>EBANK:WIB/1505 EBANK:WIB/1505672686/Edfs</x:v>
      </x:c>
      <x:c r="H295" s="14" t="str"/>
      <x:c r="I295" s="14" t="str">
        <x:v>Payment</x:v>
      </x:c>
      <x:c r="J295" s="17" t="n">
        <x:v>460000.8</x:v>
      </x:c>
      <x:c r="K295" s="17" t="n">
        <x:v>0</x:v>
      </x:c>
      <x:c r="L295" s="17" t="n">
        <x:v>460000.8</x:v>
      </x:c>
      <x:c r="M295" s="17" t="n">
        <x:v>2317</x:v>
      </x:c>
      <x:c r="N295" s="14" t="str">
        <x:v>High Transaction; Recurring Transaction</x:v>
      </x:c>
      <x:c r="O295" s="14" t="str">
        <x:v>Yes</x:v>
      </x:c>
      <x:c r="P295" s="14" t="str">
        <x:v>EBANKWIB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1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46139</x:v>
      </x:c>
    </x:row>
    <x:row r="296">
      <x:c r="A296" s="14" t="n">
        <x:v>339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46139</x:v>
      </x:c>
      <x:c r="F296" s="15" t="n">
        <x:v>46139</x:v>
      </x:c>
      <x:c r="G296" s="16" t="str">
        <x:v>DIGITA-MUMBAI/ NEFT-HDFCH00956609022-SL CORBOX PRIVATE LIMITED</x:v>
      </x:c>
      <x:c r="H296" s="14" t="str"/>
      <x:c r="I296" s="14" t="str">
        <x:v>Receipt</x:v>
      </x:c>
      <x:c r="J296" s="17" t="n">
        <x:v>0</x:v>
      </x:c>
      <x:c r="K296" s="17" t="n">
        <x:v>24058</x:v>
      </x:c>
      <x:c r="L296" s="17" t="n">
        <x:v>24058</x:v>
      </x:c>
      <x:c r="M296" s="17" t="n">
        <x:v>161816</x:v>
      </x:c>
      <x:c r="N296" s="14" t="str">
        <x:v>Recurring Transaction</x:v>
      </x:c>
      <x:c r="O296" s="14" t="str">
        <x:v>Yes</x:v>
      </x:c>
      <x:c r="P296" s="14" t="str">
        <x:v>SL CORBOX PRIVATE LIMITED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46139</x:v>
      </x:c>
    </x:row>
    <x:row r="297">
      <x:c r="A297" s="14" t="n">
        <x:v>341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46139</x:v>
      </x:c>
      <x:c r="F297" s="15" t="n">
        <x:v>46139</x:v>
      </x:c>
      <x:c r="G297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297" s="14" t="str"/>
      <x:c r="I297" s="14" t="str">
        <x:v>Receipt</x:v>
      </x:c>
      <x:c r="J297" s="17" t="n">
        <x:v>0</x:v>
      </x:c>
      <x:c r="K297" s="17" t="n">
        <x:v>5189</x:v>
      </x:c>
      <x:c r="L297" s="17" t="n">
        <x:v>5189</x:v>
      </x:c>
      <x:c r="M297" s="17" t="n">
        <x:v>317005</x:v>
      </x:c>
      <x:c r="N297" s="14" t="str">
        <x:v>Recurring Transaction</x:v>
      </x:c>
      <x:c r="O297" s="14" t="str">
        <x:v>Yes</x:v>
      </x:c>
      <x:c r="P297" s="14" t="str">
        <x:v>GEBI PRODUCTS PRIVATE LIMITE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46139</x:v>
      </x:c>
    </x:row>
    <x:row r="298">
      <x:c r="A298" s="14" t="n">
        <x:v>342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46139</x:v>
      </x:c>
      <x:c r="F298" s="15" t="n">
        <x:v>46139</x:v>
      </x:c>
      <x:c r="G298" s="16" t="str">
        <x:v>DIGITA-MUMBAI/ NEFT-TDCBH26117000588-V C ENTERPRISES</x:v>
      </x:c>
      <x:c r="H298" s="14" t="str"/>
      <x:c r="I298" s="14" t="str">
        <x:v>Receipt</x:v>
      </x:c>
      <x:c r="J298" s="17" t="n">
        <x:v>0</x:v>
      </x:c>
      <x:c r="K298" s="17" t="n">
        <x:v>50000</x:v>
      </x:c>
      <x:c r="L298" s="17" t="n">
        <x:v>50000</x:v>
      </x:c>
      <x:c r="M298" s="17" t="n">
        <x:v>367005</x:v>
      </x:c>
      <x:c r="N298" s="14" t="str">
        <x:v>Recurring Transaction</x:v>
      </x:c>
      <x:c r="O298" s="14" t="str">
        <x:v>Yes</x:v>
      </x:c>
      <x:c r="P298" s="14" t="str">
        <x:v>V C ENTERPRISES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46139</x:v>
      </x:c>
    </x:row>
    <x:row r="299">
      <x:c r="A299" s="14" t="n">
        <x:v>343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46139</x:v>
      </x:c>
      <x:c r="F299" s="15" t="n">
        <x:v>46139</x:v>
      </x:c>
      <x:c r="G299" s="16" t="str">
        <x:v>EBANK:WIB/1505 EBANK:WIB/1505752441/Edfs</x:v>
      </x:c>
      <x:c r="H299" s="14" t="str"/>
      <x:c r="I299" s="14" t="str">
        <x:v>Payment</x:v>
      </x:c>
      <x:c r="J299" s="17" t="n">
        <x:v>365005</x:v>
      </x:c>
      <x:c r="K299" s="17" t="n">
        <x:v>0</x:v>
      </x:c>
      <x:c r="L299" s="17" t="n">
        <x:v>365005</x:v>
      </x:c>
      <x:c r="M299" s="17" t="n">
        <x:v>2000</x:v>
      </x:c>
      <x:c r="N299" s="14" t="str">
        <x:v>High Transaction; Recurring Transaction</x:v>
      </x:c>
      <x:c r="O299" s="14" t="str">
        <x:v>Yes</x:v>
      </x:c>
      <x:c r="P299" s="14" t="str">
        <x:v>EBANKWIB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46139</x:v>
      </x:c>
    </x:row>
    <x:row r="300">
      <x:c r="A300" s="14" t="n">
        <x:v>345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46140</x:v>
      </x:c>
      <x:c r="F300" s="15" t="n">
        <x:v>46140</x:v>
      </x:c>
      <x:c r="G300" s="16" t="str">
        <x:v>DIGITA-MUMBAI/ NEFT-YESAP61183745951-PhonePe Limited</x:v>
      </x:c>
      <x:c r="H300" s="14" t="str"/>
      <x:c r="I300" s="14" t="str">
        <x:v>Receipt</x:v>
      </x:c>
      <x:c r="J300" s="17" t="n">
        <x:v>0</x:v>
      </x:c>
      <x:c r="K300" s="17" t="n">
        <x:v>213696</x:v>
      </x:c>
      <x:c r="L300" s="17" t="n">
        <x:v>213696</x:v>
      </x:c>
      <x:c r="M300" s="17" t="n">
        <x:v>215996</x:v>
      </x:c>
      <x:c r="N300" s="14" t="str">
        <x:v>High Transaction; Recurring Transaction</x:v>
      </x:c>
      <x:c r="O300" s="14" t="str">
        <x:v>Yes</x:v>
      </x:c>
      <x:c r="P300" s="14" t="str">
        <x:v>PHONEPE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46140</x:v>
      </x:c>
    </x:row>
    <x:row r="301">
      <x:c r="A301" s="14" t="n">
        <x:v>346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46140</x:v>
      </x:c>
      <x:c r="F301" s="15" t="n">
        <x:v>46140</x:v>
      </x:c>
      <x:c r="G301" s="16" t="str">
        <x:v>DIGITA-MUMBAI/ NEFT-AXNPN11823277068-PHONEPE LIMITED-PAYMENT AGGR</x:v>
      </x:c>
      <x:c r="H301" s="14" t="str"/>
      <x:c r="I301" s="14" t="str">
        <x:v>Receipt</x:v>
      </x:c>
      <x:c r="J301" s="17" t="n">
        <x:v>0</x:v>
      </x:c>
      <x:c r="K301" s="17" t="n">
        <x:v>51517.6</x:v>
      </x:c>
      <x:c r="L301" s="17" t="n">
        <x:v>51517.6</x:v>
      </x:c>
      <x:c r="M301" s="17" t="n">
        <x:v>267513.6</x:v>
      </x:c>
      <x:c r="N301" s="14" t="str">
        <x:v>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46140</x:v>
      </x:c>
    </x:row>
    <x:row r="302">
      <x:c r="A302" s="14" t="n">
        <x:v>347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46140</x:v>
      </x:c>
      <x:c r="F302" s="15" t="n">
        <x:v>46140</x:v>
      </x:c>
      <x:c r="G302" s="16" t="str">
        <x:v>DIGITA-MUMBAI/ NEFT-AXISCN1326481885-PINE LABS PRIVATE LIMITED-NO</x:v>
      </x:c>
      <x:c r="H302" s="14" t="str"/>
      <x:c r="I302" s="14" t="str">
        <x:v>Receipt</x:v>
      </x:c>
      <x:c r="J302" s="17" t="n">
        <x:v>0</x:v>
      </x:c>
      <x:c r="K302" s="17" t="n">
        <x:v>23786</x:v>
      </x:c>
      <x:c r="L302" s="17" t="n">
        <x:v>23786</x:v>
      </x:c>
      <x:c r="M302" s="17" t="n">
        <x:v>291299.6</x:v>
      </x:c>
      <x:c r="N302" s="14" t="str">
        <x:v>Recurring Transaction</x:v>
      </x:c>
      <x:c r="O302" s="14" t="str">
        <x:v>Yes</x:v>
      </x:c>
      <x:c r="P302" s="14" t="str">
        <x:v>PINE LABS PRIVATE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46140</x:v>
      </x:c>
    </x:row>
    <x:row r="303">
      <x:c r="A303" s="14" t="n">
        <x:v>349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46140</x:v>
      </x:c>
      <x:c r="F303" s="15" t="n">
        <x:v>46140</x:v>
      </x:c>
      <x:c r="G303" s="16" t="str">
        <x:v>UPI/6118698401 69840157 UPI/611869840157/10:49:20/UPI/akashshelar41-2@oki</x:v>
      </x:c>
      <x:c r="H303" s="14" t="str"/>
      <x:c r="I303" s="14" t="str">
        <x:v>Receipt</x:v>
      </x:c>
      <x:c r="J303" s="17" t="n">
        <x:v>0</x:v>
      </x:c>
      <x:c r="K303" s="17" t="n">
        <x:v>4200</x:v>
      </x:c>
      <x:c r="L303" s="17" t="n">
        <x:v>4200</x:v>
      </x:c>
      <x:c r="M303" s="17" t="n">
        <x:v>347949.6</x:v>
      </x:c>
      <x:c r="N303" s="14" t="str">
        <x:v>UPI; Recurring Transaction</x:v>
      </x:c>
      <x:c r="O303" s="14" t="str">
        <x:v>Yes</x:v>
      </x:c>
      <x:c r="P303" s="14" t="str">
        <x:v>AKASHSHELAR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1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46140</x:v>
      </x:c>
    </x:row>
    <x:row r="304">
      <x:c r="A304" s="14" t="n">
        <x:v>350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46140</x:v>
      </x:c>
      <x:c r="F304" s="15" t="n">
        <x:v>46140</x:v>
      </x:c>
      <x:c r="G304" s="16" t="str">
        <x:v>DIGITA-MUMBAI/ IMPS/P2A/611855252288/SAYEDTAHIRUDDIN/IMPS P2A JI</x:v>
      </x:c>
      <x:c r="H304" s="14" t="str"/>
      <x:c r="I304" s="14" t="str">
        <x:v>Receipt</x:v>
      </x:c>
      <x:c r="J304" s="17" t="n">
        <x:v>0</x:v>
      </x:c>
      <x:c r="K304" s="17" t="n">
        <x:v>1</x:v>
      </x:c>
      <x:c r="L304" s="17" t="n">
        <x:v>1</x:v>
      </x:c>
      <x:c r="M304" s="17" t="n">
        <x:v>347950.6</x:v>
      </x:c>
      <x:c r="N304" s="14" t="str">
        <x:v>Recurring Transaction</x:v>
      </x:c>
      <x:c r="O304" s="14" t="str">
        <x:v>Yes</x:v>
      </x:c>
      <x:c r="P304" s="14" t="str">
        <x:v>SAYEDTAHIRUDDIN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46140</x:v>
      </x:c>
    </x:row>
    <x:row r="305">
      <x:c r="A305" s="14" t="n">
        <x:v>351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46140</x:v>
      </x:c>
      <x:c r="F305" s="15" t="n">
        <x:v>46140</x:v>
      </x:c>
      <x:c r="G305" s="16" t="str">
        <x:v>DIGITA-MUMBAI/ IMPS/P2A/611855252655/SAYEDTAHIRUDDIN/IMPS P2A JI</x:v>
      </x:c>
      <x:c r="H305" s="14" t="str"/>
      <x:c r="I305" s="14" t="str">
        <x:v>Receipt</x:v>
      </x:c>
      <x:c r="J305" s="17" t="n">
        <x:v>0</x:v>
      </x:c>
      <x:c r="K305" s="17" t="n">
        <x:v>45220</x:v>
      </x:c>
      <x:c r="L305" s="17" t="n">
        <x:v>45220</x:v>
      </x:c>
      <x:c r="M305" s="17" t="n">
        <x:v>393170.6</x:v>
      </x:c>
      <x:c r="N305" s="14" t="str">
        <x:v>Recurring Transaction</x:v>
      </x:c>
      <x:c r="O305" s="14" t="str">
        <x:v>Yes</x:v>
      </x:c>
      <x:c r="P305" s="14" t="str">
        <x:v>SAYEDTAHIRUDDIN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46140</x:v>
      </x:c>
    </x:row>
    <x:row r="306">
      <x:c r="A306" s="14" t="n">
        <x:v>352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46140</x:v>
      </x:c>
      <x:c r="F306" s="15" t="n">
        <x:v>46140</x:v>
      </x:c>
      <x:c r="G306" s="16" t="str">
        <x:v>DIGITA-MUMBAI/ NEFT-IDIBH11839674549-JAI AMBE TRANSPORT</x:v>
      </x:c>
      <x:c r="H306" s="14" t="str"/>
      <x:c r="I306" s="14" t="str">
        <x:v>Receipt</x:v>
      </x:c>
      <x:c r="J306" s="17" t="n">
        <x:v>0</x:v>
      </x:c>
      <x:c r="K306" s="17" t="n">
        <x:v>5500</x:v>
      </x:c>
      <x:c r="L306" s="17" t="n">
        <x:v>5500</x:v>
      </x:c>
      <x:c r="M306" s="17" t="n">
        <x:v>398670.6</x:v>
      </x:c>
      <x:c r="N306" s="14" t="str">
        <x:v>Recurring Transaction</x:v>
      </x:c>
      <x:c r="O306" s="14" t="str">
        <x:v>Yes</x:v>
      </x:c>
      <x:c r="P306" s="14" t="str">
        <x:v>JAI AMBE TRANSPORT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46140</x:v>
      </x:c>
    </x:row>
    <x:row r="307">
      <x:c r="A307" s="14" t="n">
        <x:v>353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46140</x:v>
      </x:c>
      <x:c r="F307" s="15" t="n">
        <x:v>46140</x:v>
      </x:c>
      <x:c r="G307" s="16" t="str">
        <x:v>DIGITA-MUMBAI/ IMPS/P2A/611812542007/VAKAS TEMPO SER/IMPSCNB9199</x:v>
      </x:c>
      <x:c r="H307" s="14" t="str"/>
      <x:c r="I307" s="14" t="str">
        <x:v>Receipt</x:v>
      </x:c>
      <x:c r="J307" s="17" t="n">
        <x:v>0</x:v>
      </x:c>
      <x:c r="K307" s="17" t="n">
        <x:v>20049</x:v>
      </x:c>
      <x:c r="L307" s="17" t="n">
        <x:v>20049</x:v>
      </x:c>
      <x:c r="M307" s="17" t="n">
        <x:v>418719.6</x:v>
      </x:c>
      <x:c r="N307" s="14" t="str">
        <x:v>Recurring Transaction</x:v>
      </x:c>
      <x:c r="O307" s="14" t="str">
        <x:v>Yes</x:v>
      </x:c>
      <x:c r="P307" s="14" t="str">
        <x:v>VAKAS TEMPO SER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46140</x:v>
      </x:c>
    </x:row>
    <x:row r="308">
      <x:c r="A308" s="14" t="n">
        <x:v>354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46140</x:v>
      </x:c>
      <x:c r="F308" s="15" t="n">
        <x:v>46140</x:v>
      </x:c>
      <x:c r="G308" s="16" t="str">
        <x:v>DIGITA-MUMBAI/ NEFT-NKGSH26118186705-GEBI PRODUCTS PRIVATE LIMITE</x:v>
      </x:c>
      <x:c r="H308" s="14" t="str"/>
      <x:c r="I308" s="14" t="str">
        <x:v>Receipt</x:v>
      </x:c>
      <x:c r="J308" s="17" t="n">
        <x:v>0</x:v>
      </x:c>
      <x:c r="K308" s="17" t="n">
        <x:v>4579</x:v>
      </x:c>
      <x:c r="L308" s="17" t="n">
        <x:v>4579</x:v>
      </x:c>
      <x:c r="M308" s="17" t="n">
        <x:v>423298.6</x:v>
      </x:c>
      <x:c r="N308" s="14" t="str">
        <x:v>Recurring Transaction</x:v>
      </x:c>
      <x:c r="O308" s="14" t="str">
        <x:v>Yes</x:v>
      </x:c>
      <x:c r="P308" s="14" t="str">
        <x:v>GEBI PRODUCTS PRIVATE LIMITE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46140</x:v>
      </x:c>
    </x:row>
    <x:row r="309">
      <x:c r="A309" s="14" t="n">
        <x:v>355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46140</x:v>
      </x:c>
      <x:c r="F309" s="15" t="n">
        <x:v>46140</x:v>
      </x:c>
      <x:c r="G309" s="16" t="str">
        <x:v>EBANK:WIB/1505 EBANK:WIB/1505883831/Edfs</x:v>
      </x:c>
      <x:c r="H309" s="14" t="str"/>
      <x:c r="I309" s="14" t="str">
        <x:v>Payment</x:v>
      </x:c>
      <x:c r="J309" s="17" t="n">
        <x:v>402798.6</x:v>
      </x:c>
      <x:c r="K309" s="17" t="n">
        <x:v>0</x:v>
      </x:c>
      <x:c r="L309" s="17" t="n">
        <x:v>402798.6</x:v>
      </x:c>
      <x:c r="M309" s="17" t="n">
        <x:v>20500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46140</x:v>
      </x:c>
    </x:row>
    <x:row r="310">
      <x:c r="A310" s="14" t="n">
        <x:v>356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46140</x:v>
      </x:c>
      <x:c r="F310" s="15" t="n">
        <x:v>46140</x:v>
      </x:c>
      <x:c r="G310" s="16" t="str">
        <x:v>DIGITA-MUMBAI/ https://cbdrpt101.bankofbaroda.co.in:22000/finbranch/arjspmorph/INFENG/tran_rpt.jsp?... 04-05-2026 NEFT-KKBKH26118959856-ATLAS COMMODITIES PRIVATE LI</x:v>
      </x:c>
      <x:c r="H310" s="14" t="str"/>
      <x:c r="I310" s="14" t="str">
        <x:v>Receipt</x:v>
      </x:c>
      <x:c r="J310" s="17" t="n">
        <x:v>0</x:v>
      </x:c>
      <x:c r="K310" s="17" t="n">
        <x:v>4741</x:v>
      </x:c>
      <x:c r="L310" s="17" t="n">
        <x:v>4741</x:v>
      </x:c>
      <x:c r="M310" s="17" t="n">
        <x:v>25241</x:v>
      </x:c>
      <x:c r="N310" s="14" t="str">
        <x:v>Recurring Transaction</x:v>
      </x:c>
      <x:c r="O310" s="14" t="str">
        <x:v>Yes</x:v>
      </x:c>
      <x:c r="P310" s="14" t="str">
        <x:v>CBDRPTBANKOFBARODACOIN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46140</x:v>
      </x:c>
    </x:row>
    <x:row r="311">
      <x:c r="A311" s="14" t="n">
        <x:v>357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46140</x:v>
      </x:c>
      <x:c r="F311" s="15" t="n">
        <x:v>46140</x:v>
      </x:c>
      <x:c r="G31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11" s="14" t="str"/>
      <x:c r="I311" s="14" t="str">
        <x:v>Receipt</x:v>
      </x:c>
      <x:c r="J311" s="17" t="n">
        <x:v>0</x:v>
      </x:c>
      <x:c r="K311" s="17" t="n">
        <x:v>106203</x:v>
      </x:c>
      <x:c r="L311" s="17" t="n">
        <x:v>106203</x:v>
      </x:c>
      <x:c r="M311" s="17" t="n">
        <x:v>131444</x:v>
      </x:c>
      <x:c r="N311" s="14" t="str">
        <x:v>High Transaction; Recurring Transaction</x:v>
      </x:c>
      <x:c r="O311" s="14" t="str">
        <x:v>Yes</x:v>
      </x:c>
      <x:c r="P311" s="14" t="str">
        <x:v>PAGE TOTAL   CR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46140</x:v>
      </x:c>
    </x:row>
    <x:row r="312">
      <x:c r="A312" s="14" t="n">
        <x:v>358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46140</x:v>
      </x:c>
      <x:c r="F312" s="15" t="n">
        <x:v>46140</x:v>
      </x:c>
      <x:c r="G312" s="16" t="str">
        <x:v>DIGITA-MUMBAI/ IMPS/P2A/611819590384/SHREE GANESH EN/diselVVS910</x:v>
      </x:c>
      <x:c r="H312" s="14" t="str"/>
      <x:c r="I312" s="14" t="str">
        <x:v>Receipt</x:v>
      </x:c>
      <x:c r="J312" s="17" t="n">
        <x:v>0</x:v>
      </x:c>
      <x:c r="K312" s="17" t="n">
        <x:v>45155.79</x:v>
      </x:c>
      <x:c r="L312" s="17" t="n">
        <x:v>45155.79</x:v>
      </x:c>
      <x:c r="M312" s="17" t="n">
        <x:v>176599.79</x:v>
      </x:c>
      <x:c r="N312" s="14" t="str">
        <x:v>Recurring Transaction</x:v>
      </x:c>
      <x:c r="O312" s="14" t="str">
        <x:v>Yes</x:v>
      </x:c>
      <x:c r="P312" s="14" t="str">
        <x:v>SHREE GANESH EN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46140</x:v>
      </x:c>
    </x:row>
    <x:row r="313">
      <x:c r="A313" s="14" t="n">
        <x:v>359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46140</x:v>
      </x:c>
      <x:c r="F313" s="15" t="n">
        <x:v>46140</x:v>
      </x:c>
      <x:c r="G313" s="16" t="str">
        <x:v>DIGITA-MUMBAI/ IMPS/P2A/611820590404/SHREE GANESH EN/d billVVS91</x:v>
      </x:c>
      <x:c r="H313" s="14" t="str"/>
      <x:c r="I313" s="14" t="str">
        <x:v>Receipt</x:v>
      </x:c>
      <x:c r="J313" s="17" t="n">
        <x:v>0</x:v>
      </x:c>
      <x:c r="K313" s="17" t="n">
        <x:v>18152</x:v>
      </x:c>
      <x:c r="L313" s="17" t="n">
        <x:v>18152</x:v>
      </x:c>
      <x:c r="M313" s="17" t="n">
        <x:v>194751.79</x:v>
      </x:c>
      <x:c r="N313" s="14" t="str">
        <x:v>Recurring Transaction</x:v>
      </x:c>
      <x:c r="O313" s="14" t="str">
        <x:v>Yes</x:v>
      </x:c>
      <x:c r="P313" s="14" t="str">
        <x:v>SHREE GANESH EN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46140</x:v>
      </x:c>
    </x:row>
    <x:row r="314">
      <x:c r="A314" s="14" t="n">
        <x:v>360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46140</x:v>
      </x:c>
      <x:c r="F314" s="15" t="n">
        <x:v>46140</x:v>
      </x:c>
      <x:c r="G314" s="16" t="str">
        <x:v>EBANK:WIB/1505 EBANK:WIB/1505948506/Edfs</x:v>
      </x:c>
      <x:c r="H314" s="14" t="str"/>
      <x:c r="I314" s="14" t="str">
        <x:v>Payment</x:v>
      </x:c>
      <x:c r="J314" s="17" t="n">
        <x:v>192251.79</x:v>
      </x:c>
      <x:c r="K314" s="17" t="n">
        <x:v>0</x:v>
      </x:c>
      <x:c r="L314" s="17" t="n">
        <x:v>192251.79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46140</x:v>
      </x:c>
    </x:row>
    <x:row r="315">
      <x:c r="A315" s="14" t="n">
        <x:v>361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46141</x:v>
      </x:c>
      <x:c r="F315" s="15" t="n">
        <x:v>46141</x:v>
      </x:c>
      <x:c r="G315" s="16" t="str">
        <x:v>DIGITA-MUMBAI/ NEFT-YESAP61192379931-PhonePe Limited</x:v>
      </x:c>
      <x:c r="H315" s="14" t="str"/>
      <x:c r="I315" s="14" t="str">
        <x:v>Receipt</x:v>
      </x:c>
      <x:c r="J315" s="17" t="n">
        <x:v>0</x:v>
      </x:c>
      <x:c r="K315" s="17" t="n">
        <x:v>300724.33</x:v>
      </x:c>
      <x:c r="L315" s="17" t="n">
        <x:v>300724.33</x:v>
      </x:c>
      <x:c r="M315" s="17" t="n">
        <x:v>303224.33</x:v>
      </x:c>
      <x:c r="N315" s="14" t="str">
        <x:v>High Transaction; 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46141</x:v>
      </x:c>
    </x:row>
    <x:row r="316">
      <x:c r="A316" s="14" t="n">
        <x:v>362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46141</x:v>
      </x:c>
      <x:c r="F316" s="15" t="n">
        <x:v>46141</x:v>
      </x:c>
      <x:c r="G316" s="16" t="str">
        <x:v>DIGITA-MUMBAI/ NEFT-AXNPN11931554437-PHONEPE LIMITED-PAYMENT AGGR</x:v>
      </x:c>
      <x:c r="H316" s="14" t="str"/>
      <x:c r="I316" s="14" t="str">
        <x:v>Receipt</x:v>
      </x:c>
      <x:c r="J316" s="17" t="n">
        <x:v>0</x:v>
      </x:c>
      <x:c r="K316" s="17" t="n">
        <x:v>80141</x:v>
      </x:c>
      <x:c r="L316" s="17" t="n">
        <x:v>80141</x:v>
      </x:c>
      <x:c r="M316" s="17" t="n">
        <x:v>383365.33</x:v>
      </x:c>
      <x:c r="N316" s="14" t="str">
        <x:v>Recurring Transaction</x:v>
      </x:c>
      <x:c r="O316" s="14" t="str">
        <x:v>Yes</x:v>
      </x:c>
      <x:c r="P316" s="14" t="str">
        <x:v>PHONEPE LIMITED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46141</x:v>
      </x:c>
    </x:row>
    <x:row r="317">
      <x:c r="A317" s="14" t="n">
        <x:v>363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46141</x:v>
      </x:c>
      <x:c r="F317" s="15" t="n">
        <x:v>46141</x:v>
      </x:c>
      <x:c r="G317" s="16" t="str">
        <x:v>DIGITA-MUMBAI/ NEFT-AXISCN1327518007-ONE MOBIKWIK SYSTEMS LIMITED</x:v>
      </x:c>
      <x:c r="H317" s="14" t="str"/>
      <x:c r="I317" s="14" t="str">
        <x:v>Receipt</x:v>
      </x:c>
      <x:c r="J317" s="17" t="n">
        <x:v>0</x:v>
      </x:c>
      <x:c r="K317" s="17" t="n">
        <x:v>2500</x:v>
      </x:c>
      <x:c r="L317" s="17" t="n">
        <x:v>2500</x:v>
      </x:c>
      <x:c r="M317" s="17" t="n">
        <x:v>385865.33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46141</x:v>
      </x:c>
    </x:row>
    <x:row r="318">
      <x:c r="A318" s="14" t="n">
        <x:v>364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46141</x:v>
      </x:c>
      <x:c r="F318" s="15" t="n">
        <x:v>46141</x:v>
      </x:c>
      <x:c r="G318" s="16" t="str">
        <x:v>EBANK:WIB/1505 EBANK:WIB/1505959390/Edfs</x:v>
      </x:c>
      <x:c r="H318" s="14" t="str"/>
      <x:c r="I318" s="14" t="str">
        <x:v>Payment</x:v>
      </x:c>
      <x:c r="J318" s="17" t="n">
        <x:v>383365.33</x:v>
      </x:c>
      <x:c r="K318" s="17" t="n">
        <x:v>0</x:v>
      </x:c>
      <x:c r="L318" s="17" t="n">
        <x:v>383365.33</x:v>
      </x:c>
      <x:c r="M318" s="17" t="n">
        <x:v>2500</x:v>
      </x:c>
      <x:c r="N318" s="14" t="str">
        <x:v>High Transaction; Recurring Transaction</x:v>
      </x:c>
      <x:c r="O318" s="14" t="str">
        <x:v>Yes</x:v>
      </x:c>
      <x:c r="P318" s="14" t="str">
        <x:v>EBANKWIB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46141</x:v>
      </x:c>
    </x:row>
    <x:row r="319">
      <x:c r="A319" s="14" t="n">
        <x:v>365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46141</x:v>
      </x:c>
      <x:c r="F319" s="15" t="n">
        <x:v>46141</x:v>
      </x:c>
      <x:c r="G319" s="16" t="str">
        <x:v>DIGITA-MUMBAI/ NEFT-AXISCN1327725971-PINE LABS PRIVATE LIMITED-NO</x:v>
      </x:c>
      <x:c r="H319" s="14" t="str"/>
      <x:c r="I319" s="14" t="str">
        <x:v>Receipt</x:v>
      </x:c>
      <x:c r="J319" s="17" t="n">
        <x:v>0</x:v>
      </x:c>
      <x:c r="K319" s="17" t="n">
        <x:v>161953</x:v>
      </x:c>
      <x:c r="L319" s="17" t="n">
        <x:v>161953</x:v>
      </x:c>
      <x:c r="M319" s="17" t="n">
        <x:v>164453</x:v>
      </x:c>
      <x:c r="N319" s="14" t="str">
        <x:v>High Transaction; Recurring Transaction</x:v>
      </x:c>
      <x:c r="O319" s="14" t="str">
        <x:v>Yes</x:v>
      </x:c>
      <x:c r="P319" s="14" t="str">
        <x:v>PINE LABS PRIVATE LIMITED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46141</x:v>
      </x:c>
    </x:row>
    <x:row r="320">
      <x:c r="A320" s="14" t="n">
        <x:v>366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46141</x:v>
      </x:c>
      <x:c r="F320" s="15" t="n">
        <x:v>46141</x:v>
      </x:c>
      <x:c r="G320" s="16" t="str">
        <x:v>EBANK:WIB/1505 EBANK:WIB/1505997293/Edfs</x:v>
      </x:c>
      <x:c r="H320" s="14" t="str"/>
      <x:c r="I320" s="14" t="str">
        <x:v>Payment</x:v>
      </x:c>
      <x:c r="J320" s="17" t="n">
        <x:v>161953</x:v>
      </x:c>
      <x:c r="K320" s="17" t="n">
        <x:v>0</x:v>
      </x:c>
      <x:c r="L320" s="17" t="n">
        <x:v>161953</x:v>
      </x:c>
      <x:c r="M320" s="17" t="n">
        <x:v>2500</x:v>
      </x:c>
      <x:c r="N320" s="14" t="str">
        <x:v>High Transaction; Recurring Transaction</x:v>
      </x:c>
      <x:c r="O320" s="14" t="str">
        <x:v>Yes</x:v>
      </x:c>
      <x:c r="P320" s="14" t="str">
        <x:v>EBANKWIB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46141</x:v>
      </x:c>
    </x:row>
    <x:row r="321">
      <x:c r="A321" s="14" t="n">
        <x:v>367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46141</x:v>
      </x:c>
      <x:c r="F321" s="15" t="n">
        <x:v>46141</x:v>
      </x:c>
      <x:c r="G321" s="16" t="str">
        <x:v>UPI/6485981469 98146908 UPI/648598146908/13:51:58/UPI/akashshelar41-2@oki</x:v>
      </x:c>
      <x:c r="H321" s="14" t="str"/>
      <x:c r="I321" s="14" t="str">
        <x:v>Receipt</x:v>
      </x:c>
      <x:c r="J321" s="17" t="n">
        <x:v>0</x:v>
      </x:c>
      <x:c r="K321" s="17" t="n">
        <x:v>4000</x:v>
      </x:c>
      <x:c r="L321" s="17" t="n">
        <x:v>4000</x:v>
      </x:c>
      <x:c r="M321" s="17" t="n">
        <x:v>6500</x:v>
      </x:c>
      <x:c r="N321" s="14" t="str">
        <x:v>UPI; Recurring Transaction</x:v>
      </x:c>
      <x:c r="O321" s="14" t="str">
        <x:v>Yes</x:v>
      </x:c>
      <x:c r="P321" s="14" t="str">
        <x:v>AKASHSHELAR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1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46141</x:v>
      </x:c>
    </x:row>
    <x:row r="322">
      <x:c r="A322" s="14" t="n">
        <x:v>368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46141</x:v>
      </x:c>
      <x:c r="F322" s="15" t="n">
        <x:v>46141</x:v>
      </x:c>
      <x:c r="G322" s="16" t="str">
        <x:v>DIGITA-MUMBAI/ NEFT-IN42611955128051-N R COLOURS LIMITED</x:v>
      </x:c>
      <x:c r="H322" s="14" t="str"/>
      <x:c r="I322" s="14" t="str">
        <x:v>Receipt</x:v>
      </x:c>
      <x:c r="J322" s="17" t="n">
        <x:v>0</x:v>
      </x:c>
      <x:c r="K322" s="17" t="n">
        <x:v>20000</x:v>
      </x:c>
      <x:c r="L322" s="17" t="n">
        <x:v>20000</x:v>
      </x:c>
      <x:c r="M322" s="17" t="n">
        <x:v>26500</x:v>
      </x:c>
      <x:c r="N322" s="14" t="str">
        <x:v>Recurring Transaction</x:v>
      </x:c>
      <x:c r="O322" s="14" t="str">
        <x:v>Yes</x:v>
      </x:c>
      <x:c r="P322" s="14" t="str">
        <x:v>N R COLOURS LIMITED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46141</x:v>
      </x:c>
    </x:row>
    <x:row r="323">
      <x:c r="A323" s="14" t="n">
        <x:v>369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46141</x:v>
      </x:c>
      <x:c r="F323" s="15" t="n">
        <x:v>46141</x:v>
      </x:c>
      <x:c r="G323" s="16" t="str">
        <x:v>DIGITA-MUMBAI/ IMPS/P2A/611916141538/S TRANS 14851/Mh04ju3738I</x:v>
      </x:c>
      <x:c r="H323" s="14" t="str"/>
      <x:c r="I323" s="14" t="str">
        <x:v>Receipt</x:v>
      </x:c>
      <x:c r="J323" s="17" t="n">
        <x:v>0</x:v>
      </x:c>
      <x:c r="K323" s="17" t="n">
        <x:v>13500</x:v>
      </x:c>
      <x:c r="L323" s="17" t="n">
        <x:v>13500</x:v>
      </x:c>
      <x:c r="M323" s="17" t="n">
        <x:v>40000</x:v>
      </x:c>
      <x:c r="N323" s="14" t="str">
        <x:v>Recurring Transaction</x:v>
      </x:c>
      <x:c r="O323" s="14" t="str">
        <x:v>Yes</x:v>
      </x:c>
      <x:c r="P323" s="14" t="str">
        <x:v>DIGITA-MUMBAI/ IMPS/P#A/#/S TRANS #/MH#JU#I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46141</x:v>
      </x:c>
    </x:row>
    <x:row r="324">
      <x:c r="A324" s="14" t="n">
        <x:v>370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46141</x:v>
      </x:c>
      <x:c r="F324" s="15" t="n">
        <x:v>46141</x:v>
      </x:c>
      <x:c r="G324" s="16" t="str">
        <x:v>DIGITA-MUMBAI/ NEFT-NKGSH26119201393-GEBI PRODUCTS PRIVATE LIMITE</x:v>
      </x:c>
      <x:c r="H324" s="14" t="str"/>
      <x:c r="I324" s="14" t="str">
        <x:v>Receipt</x:v>
      </x:c>
      <x:c r="J324" s="17" t="n">
        <x:v>0</x:v>
      </x:c>
      <x:c r="K324" s="17" t="n">
        <x:v>4372</x:v>
      </x:c>
      <x:c r="L324" s="17" t="n">
        <x:v>4372</x:v>
      </x:c>
      <x:c r="M324" s="17" t="n">
        <x:v>44372</x:v>
      </x:c>
      <x:c r="N324" s="14" t="str">
        <x:v>Recurring Transaction</x:v>
      </x:c>
      <x:c r="O324" s="14" t="str">
        <x:v>Yes</x:v>
      </x:c>
      <x:c r="P324" s="14" t="str">
        <x:v>GEBI PRODUCTS PRIVATE LIMITE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46141</x:v>
      </x:c>
    </x:row>
    <x:row r="325">
      <x:c r="A325" s="14" t="n">
        <x:v>371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46141</x:v>
      </x:c>
      <x:c r="F325" s="15" t="n">
        <x:v>46141</x:v>
      </x:c>
      <x:c r="G325" s="16" t="str">
        <x:v>DIGITA-MUMBAI/ NEFT-HDFCH00961650004-SL CORBOX PRIVATE LIMITED</x:v>
      </x:c>
      <x:c r="H325" s="14" t="str"/>
      <x:c r="I325" s="14" t="str">
        <x:v>Receipt</x:v>
      </x:c>
      <x:c r="J325" s="17" t="n">
        <x:v>0</x:v>
      </x:c>
      <x:c r="K325" s="17" t="n">
        <x:v>42165</x:v>
      </x:c>
      <x:c r="L325" s="17" t="n">
        <x:v>42165</x:v>
      </x:c>
      <x:c r="M325" s="17" t="n">
        <x:v>86537</x:v>
      </x:c>
      <x:c r="N325" s="14" t="str">
        <x:v>Recurring Transaction</x:v>
      </x:c>
      <x:c r="O325" s="14" t="str">
        <x:v>Yes</x:v>
      </x:c>
      <x:c r="P325" s="14" t="str">
        <x:v>SL CORBOX PRIVATE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46141</x:v>
      </x:c>
    </x:row>
    <x:row r="326">
      <x:c r="A326" s="14" t="n">
        <x:v>372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46141</x:v>
      </x:c>
      <x:c r="F326" s="15" t="n">
        <x:v>46141</x:v>
      </x:c>
      <x:c r="G326" s="16" t="str">
        <x:v>DIGITA-MUMBAI/ NEFT-HDFCH00961665348-CORPAK</x:v>
      </x:c>
      <x:c r="H326" s="14" t="str"/>
      <x:c r="I326" s="14" t="str">
        <x:v>Receipt</x:v>
      </x:c>
      <x:c r="J326" s="17" t="n">
        <x:v>0</x:v>
      </x:c>
      <x:c r="K326" s="17" t="n">
        <x:v>9227</x:v>
      </x:c>
      <x:c r="L326" s="17" t="n">
        <x:v>9227</x:v>
      </x:c>
      <x:c r="M326" s="17" t="n">
        <x:v>95764</x:v>
      </x:c>
      <x:c r="N326" s="14" t="str">
        <x:v>Recurring Transaction</x:v>
      </x:c>
      <x:c r="O326" s="14" t="str">
        <x:v>Yes</x:v>
      </x:c>
      <x:c r="P326" s="14" t="str">
        <x:v>DIGITA-MUMBAI/ NEFT-HDFCH#-CORPAK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46141</x:v>
      </x:c>
    </x:row>
    <x:row r="327">
      <x:c r="A327" s="14" t="n">
        <x:v>373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46141</x:v>
      </x:c>
      <x:c r="F327" s="15" t="n">
        <x:v>46141</x:v>
      </x:c>
      <x:c r="G32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27" s="14" t="str"/>
      <x:c r="I327" s="14" t="str">
        <x:v>Payment</x:v>
      </x:c>
      <x:c r="J327" s="17" t="n">
        <x:v>93264</x:v>
      </x:c>
      <x:c r="K327" s="17" t="n">
        <x:v>0</x:v>
      </x:c>
      <x:c r="L327" s="17" t="n">
        <x:v>93264</x:v>
      </x:c>
      <x:c r="M327" s="17" t="n">
        <x:v>2500</x:v>
      </x:c>
      <x:c r="N327" s="14" t="str">
        <x:v>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46141</x:v>
      </x:c>
    </x:row>
    <x:row r="328">
      <x:c r="A328" s="14" t="n">
        <x:v>374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46141</x:v>
      </x:c>
      <x:c r="F328" s="15" t="n">
        <x:v>46141</x:v>
      </x:c>
      <x:c r="G328" s="16" t="str">
        <x:v>DIGITA-MUMBAI/ IMPS/P2A/611920044748/VILLAGE STONE L/Diesel paym</x:v>
      </x:c>
      <x:c r="H328" s="14" t="str"/>
      <x:c r="I328" s="14" t="str">
        <x:v>Receipt</x:v>
      </x:c>
      <x:c r="J328" s="17" t="n">
        <x:v>0</x:v>
      </x:c>
      <x:c r="K328" s="17" t="n">
        <x:v>47933</x:v>
      </x:c>
      <x:c r="L328" s="17" t="n">
        <x:v>47933</x:v>
      </x:c>
      <x:c r="M328" s="17" t="n">
        <x:v>50433</x:v>
      </x:c>
      <x:c r="N328" s="14" t="str">
        <x:v>Recurring Transaction</x:v>
      </x:c>
      <x:c r="O328" s="14" t="str">
        <x:v>Yes</x:v>
      </x:c>
      <x:c r="P328" s="14" t="str">
        <x:v>VILLAGE STONE L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46141</x:v>
      </x:c>
    </x:row>
    <x:row r="329">
      <x:c r="A329" s="14" t="n">
        <x:v>375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46141</x:v>
      </x:c>
      <x:c r="F329" s="15" t="n">
        <x:v>46141</x:v>
      </x:c>
      <x:c r="G329" s="16" t="str">
        <x:v>DIGITA-MUMBAI/ NEFT-IN42611955380476-VINAYAK OIL INDUSTRIES</x:v>
      </x:c>
      <x:c r="H329" s="14" t="str"/>
      <x:c r="I329" s="14" t="str">
        <x:v>Receipt</x:v>
      </x:c>
      <x:c r="J329" s="17" t="n">
        <x:v>0</x:v>
      </x:c>
      <x:c r="K329" s="17" t="n">
        <x:v>44307</x:v>
      </x:c>
      <x:c r="L329" s="17" t="n">
        <x:v>44307</x:v>
      </x:c>
      <x:c r="M329" s="17" t="n">
        <x:v>94740</x:v>
      </x:c>
      <x:c r="N329" s="14" t="str">
        <x:v>Recurring Transaction</x:v>
      </x:c>
      <x:c r="O329" s="14" t="str">
        <x:v>Yes</x:v>
      </x:c>
      <x:c r="P329" s="14" t="str">
        <x:v>VINAYAK OIL INDUSTRIES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46141</x:v>
      </x:c>
    </x:row>
    <x:row r="330">
      <x:c r="A330" s="14" t="n">
        <x:v>376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46141</x:v>
      </x:c>
      <x:c r="F330" s="15" t="n">
        <x:v>46141</x:v>
      </x:c>
      <x:c r="G330" s="16" t="str">
        <x:v>EBANK:WIB/1506 EBANK:WIB/1506102762/Edfs</x:v>
      </x:c>
      <x:c r="H330" s="14" t="str"/>
      <x:c r="I330" s="14" t="str">
        <x:v>Payment</x:v>
      </x:c>
      <x:c r="J330" s="17" t="n">
        <x:v>92240</x:v>
      </x:c>
      <x:c r="K330" s="17" t="n">
        <x:v>0</x:v>
      </x:c>
      <x:c r="L330" s="17" t="n">
        <x:v>92240</x:v>
      </x:c>
      <x:c r="M330" s="17" t="n">
        <x:v>2500</x:v>
      </x:c>
      <x:c r="N330" s="14" t="str">
        <x:v>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46141</x:v>
      </x:c>
    </x:row>
    <x:row r="331">
      <x:c r="A331" s="14" t="n">
        <x:v>377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46141</x:v>
      </x:c>
      <x:c r="F331" s="15" t="n">
        <x:v>46141</x:v>
      </x:c>
      <x:c r="G331" s="16" t="str">
        <x:v>DIGITA-MUMBAI/ IMPS/P2A/611922088049/OMSANITRANSPORT/Diesel Bill</x:v>
      </x:c>
      <x:c r="H331" s="14" t="str"/>
      <x:c r="I331" s="14" t="str">
        <x:v>Receipt</x:v>
      </x:c>
      <x:c r="J331" s="17" t="n">
        <x:v>0</x:v>
      </x:c>
      <x:c r="K331" s="17" t="n">
        <x:v>44070</x:v>
      </x:c>
      <x:c r="L331" s="17" t="n">
        <x:v>44070</x:v>
      </x:c>
      <x:c r="M331" s="17" t="n">
        <x:v>46570</x:v>
      </x:c>
      <x:c r="N331" s="14" t="str">
        <x:v>Recurring Transaction</x:v>
      </x:c>
      <x:c r="O331" s="14" t="str">
        <x:v>Yes</x:v>
      </x:c>
      <x:c r="P331" s="14" t="str">
        <x:v>OMSANITRANSPORT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46141</x:v>
      </x:c>
    </x:row>
    <x:row r="332">
      <x:c r="A332" s="14" t="n">
        <x:v>378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46142</x:v>
      </x:c>
      <x:c r="F332" s="15" t="n">
        <x:v>46142</x:v>
      </x:c>
      <x:c r="G332" s="16" t="str">
        <x:v>EBANK:WIB/1506 EBANK:WIB/1506112730/Edfs</x:v>
      </x:c>
      <x:c r="H332" s="14" t="str"/>
      <x:c r="I332" s="14" t="str">
        <x:v>Payment</x:v>
      </x:c>
      <x:c r="J332" s="17" t="n">
        <x:v>44070</x:v>
      </x:c>
      <x:c r="K332" s="17" t="n">
        <x:v>0</x:v>
      </x:c>
      <x:c r="L332" s="17" t="n">
        <x:v>44070</x:v>
      </x:c>
      <x:c r="M332" s="17" t="n">
        <x:v>2500</x:v>
      </x:c>
      <x:c r="N332" s="14" t="str">
        <x:v>Recurring Transaction</x:v>
      </x:c>
      <x:c r="O332" s="14" t="str">
        <x:v>Yes</x:v>
      </x:c>
      <x:c r="P332" s="14" t="str">
        <x:v>EBANKWIB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46142</x:v>
      </x:c>
    </x:row>
    <x:row r="333">
      <x:c r="A333" s="14" t="n">
        <x:v>379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46142</x:v>
      </x:c>
      <x:c r="F333" s="15" t="n">
        <x:v>46142</x:v>
      </x:c>
      <x:c r="G333" s="16" t="str">
        <x:v>DIGITA-MUMBAI/ NEFT-YESAP61203718924-PhonePe Limited</x:v>
      </x:c>
      <x:c r="H333" s="14" t="str"/>
      <x:c r="I333" s="14" t="str">
        <x:v>Receipt</x:v>
      </x:c>
      <x:c r="J333" s="17" t="n">
        <x:v>0</x:v>
      </x:c>
      <x:c r="K333" s="17" t="n">
        <x:v>331429.91</x:v>
      </x:c>
      <x:c r="L333" s="17" t="n">
        <x:v>331429.91</x:v>
      </x:c>
      <x:c r="M333" s="17" t="n">
        <x:v>333929.91</x:v>
      </x:c>
      <x:c r="N333" s="14" t="str">
        <x:v>High Transaction; Recurring Transaction</x:v>
      </x:c>
      <x:c r="O333" s="14" t="str">
        <x:v>Yes</x:v>
      </x:c>
      <x:c r="P333" s="14" t="str">
        <x:v>PHONEPE LIMITED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46142</x:v>
      </x:c>
    </x:row>
    <x:row r="334">
      <x:c r="A334" s="14" t="n">
        <x:v>380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46142</x:v>
      </x:c>
      <x:c r="F334" s="15" t="n">
        <x:v>46142</x:v>
      </x:c>
      <x:c r="G334" s="16" t="str">
        <x:v>DIGITA-MUMBAI/ NEFT-AXISCN1328726065-ONE MOBIKWIK SYSTEMS LIMITED</x:v>
      </x:c>
      <x:c r="H334" s="14" t="str"/>
      <x:c r="I334" s="14" t="str">
        <x:v>Receipt</x:v>
      </x:c>
      <x:c r="J334" s="17" t="n">
        <x:v>0</x:v>
      </x:c>
      <x:c r="K334" s="17" t="n">
        <x:v>4500</x:v>
      </x:c>
      <x:c r="L334" s="17" t="n">
        <x:v>4500</x:v>
      </x:c>
      <x:c r="M334" s="17" t="n">
        <x:v>338429.91</x:v>
      </x:c>
      <x:c r="N334" s="14" t="str">
        <x:v>Recurring Transaction</x:v>
      </x:c>
      <x:c r="O334" s="14" t="str">
        <x:v>Yes</x:v>
      </x:c>
      <x:c r="P334" s="14" t="str">
        <x:v>ONE MOBIKWIK SYSTEMS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46142</x:v>
      </x:c>
    </x:row>
    <x:row r="335">
      <x:c r="A335" s="14" t="n">
        <x:v>381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46142</x:v>
      </x:c>
      <x:c r="F335" s="15" t="n">
        <x:v>46142</x:v>
      </x:c>
      <x:c r="G335" s="16" t="str">
        <x:v>DIGITA-MUMBAI/ NEFT-AXNPN12039810952-PHONEPE LIMITED-PAYMENT AGGR</x:v>
      </x:c>
      <x:c r="H335" s="14" t="str"/>
      <x:c r="I335" s="14" t="str">
        <x:v>Receipt</x:v>
      </x:c>
      <x:c r="J335" s="17" t="n">
        <x:v>0</x:v>
      </x:c>
      <x:c r="K335" s="17" t="n">
        <x:v>93657.2</x:v>
      </x:c>
      <x:c r="L335" s="17" t="n">
        <x:v>93657.2</x:v>
      </x:c>
      <x:c r="M335" s="17" t="n">
        <x:v>432087.11</x:v>
      </x:c>
      <x:c r="N335" s="14" t="str">
        <x:v>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46142</x:v>
      </x:c>
    </x:row>
    <x:row r="336">
      <x:c r="A336" s="14" t="n">
        <x:v>382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46142</x:v>
      </x:c>
      <x:c r="F336" s="15" t="n">
        <x:v>46142</x:v>
      </x:c>
      <x:c r="G336" s="16" t="str">
        <x:v>EBANK:WIB/1506 EBANK:WIB/1506112904/Edfs</x:v>
      </x:c>
      <x:c r="H336" s="14" t="str"/>
      <x:c r="I336" s="14" t="str">
        <x:v>Payment</x:v>
      </x:c>
      <x:c r="J336" s="17" t="n">
        <x:v>429587.11</x:v>
      </x:c>
      <x:c r="K336" s="17" t="n">
        <x:v>0</x:v>
      </x:c>
      <x:c r="L336" s="17" t="n">
        <x:v>429587.11</x:v>
      </x:c>
      <x:c r="M336" s="17" t="n">
        <x:v>2500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46142</x:v>
      </x:c>
    </x:row>
    <x:row r="337">
      <x:c r="A337" s="14" t="n">
        <x:v>383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46142</x:v>
      </x:c>
      <x:c r="F337" s="15" t="n">
        <x:v>46142</x:v>
      </x:c>
      <x:c r="G337" s="16" t="str">
        <x:v>IMPS/P2A/61200 IMPS/P2A/612006415602/XXXXXXXXXXR111/forload</x:v>
      </x:c>
      <x:c r="H337" s="14" t="str"/>
      <x:c r="I337" s="14" t="str">
        <x:v>Payment</x:v>
      </x:c>
      <x:c r="J337" s="17" t="n">
        <x:v>500</x:v>
      </x:c>
      <x:c r="K337" s="17" t="n">
        <x:v>0</x:v>
      </x:c>
      <x:c r="L337" s="17" t="n">
        <x:v>500</x:v>
      </x:c>
      <x:c r="M337" s="17" t="n">
        <x:v>2000</x:v>
      </x:c>
      <x:c r="N337" s="14" t="str">
        <x:v>Recurring Transaction</x:v>
      </x:c>
      <x:c r="O337" s="14" t="str">
        <x:v>Yes</x:v>
      </x:c>
      <x:c r="P337" s="14" t="str">
        <x:v>XXXXXXXXXXR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46142</x:v>
      </x:c>
    </x:row>
    <x:row r="338">
      <x:c r="A338" s="14" t="n">
        <x:v>384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46142</x:v>
      </x:c>
      <x:c r="F338" s="15" t="n">
        <x:v>46142</x:v>
      </x:c>
      <x:c r="G338" s="16" t="str">
        <x:v>CHARGES FOR CHARGES FOR :IMPS/P2A/612006415602/XXXXXXXX</x:v>
      </x:c>
      <x:c r="H338" s="14" t="str"/>
      <x:c r="I338" s="14" t="str">
        <x:v>Payment</x:v>
      </x:c>
      <x:c r="J338" s="17" t="n">
        <x:v>2.95</x:v>
      </x:c>
      <x:c r="K338" s="17" t="n">
        <x:v>0</x:v>
      </x:c>
      <x:c r="L338" s="17" t="n">
        <x:v>2.95</x:v>
      </x:c>
      <x:c r="M338" s="17" t="n">
        <x:v>1997.05</x:v>
      </x:c>
      <x:c r="N338" s="14" t="str">
        <x:v>Recurring Transaction</x:v>
      </x:c>
      <x:c r="O338" s="14" t="str">
        <x:v>Yes</x:v>
      </x:c>
      <x:c r="P338" s="14" t="str">
        <x:v>CHARGES FOR CHARGES FOR IMPS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46142</x:v>
      </x:c>
    </x:row>
    <x:row r="339">
      <x:c r="A339" s="14" t="n">
        <x:v>386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46142</x:v>
      </x:c>
      <x:c r="F339" s="15" t="n">
        <x:v>46142</x:v>
      </x:c>
      <x:c r="G339" s="16" t="str">
        <x:v>DIGITA-MUMBAI/ NEFT-AXISCN1328873702-PINE LABS PRIVATE LIMITED-NO</x:v>
      </x:c>
      <x:c r="H339" s="14" t="str"/>
      <x:c r="I339" s="14" t="str">
        <x:v>Receipt</x:v>
      </x:c>
      <x:c r="J339" s="17" t="n">
        <x:v>0</x:v>
      </x:c>
      <x:c r="K339" s="17" t="n">
        <x:v>98741</x:v>
      </x:c>
      <x:c r="L339" s="17" t="n">
        <x:v>98741</x:v>
      </x:c>
      <x:c r="M339" s="17" t="n">
        <x:v>111738.05</x:v>
      </x:c>
      <x:c r="N339" s="14" t="str">
        <x:v>Recurring Transaction</x:v>
      </x:c>
      <x:c r="O339" s="14" t="str">
        <x:v>Yes</x:v>
      </x:c>
      <x:c r="P339" s="14" t="str">
        <x:v>PINE LABS PRIVATE LIMITED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46142</x:v>
      </x:c>
    </x:row>
    <x:row r="340">
      <x:c r="A340" s="14" t="n">
        <x:v>387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46142</x:v>
      </x:c>
      <x:c r="F340" s="15" t="n">
        <x:v>46142</x:v>
      </x:c>
      <x:c r="G340" s="16" t="str">
        <x:v>DIGITA-MUMBAI/ NEFT-HDFCH00963002372-KUNDAN QUARRY</x:v>
      </x:c>
      <x:c r="H340" s="14" t="str"/>
      <x:c r="I340" s="14" t="str">
        <x:v>Receipt</x:v>
      </x:c>
      <x:c r="J340" s="17" t="n">
        <x:v>0</x:v>
      </x:c>
      <x:c r="K340" s="17" t="n">
        <x:v>8700</x:v>
      </x:c>
      <x:c r="L340" s="17" t="n">
        <x:v>8700</x:v>
      </x:c>
      <x:c r="M340" s="17" t="n">
        <x:v>120438.05</x:v>
      </x:c>
      <x:c r="N340" s="14" t="str">
        <x:v>Recurring Transaction</x:v>
      </x:c>
      <x:c r="O340" s="14" t="str">
        <x:v>Yes</x:v>
      </x:c>
      <x:c r="P340" s="14" t="str">
        <x:v>KUNDAN QUARRY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46142</x:v>
      </x:c>
    </x:row>
    <x:row r="341">
      <x:c r="A341" s="14" t="n">
        <x:v>388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46142</x:v>
      </x:c>
      <x:c r="F341" s="15" t="n">
        <x:v>46142</x:v>
      </x:c>
      <x:c r="G341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1" s="14" t="str"/>
      <x:c r="I341" s="14" t="str">
        <x:v>Receipt</x:v>
      </x:c>
      <x:c r="J341" s="17" t="n">
        <x:v>0</x:v>
      </x:c>
      <x:c r="K341" s="17" t="n">
        <x:v>90440</x:v>
      </x:c>
      <x:c r="L341" s="17" t="n">
        <x:v>90440</x:v>
      </x:c>
      <x:c r="M341" s="17" t="n">
        <x:v>210878.05</x:v>
      </x:c>
      <x:c r="N341" s="14" t="str">
        <x:v>Recurring Transaction</x:v>
      </x:c>
      <x:c r="O341" s="14" t="str">
        <x:v>Yes</x:v>
      </x:c>
      <x:c r="P341" s="14" t="str">
        <x:v>PELL TECH HEALTH CARE PRIVAT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46142</x:v>
      </x:c>
    </x:row>
    <x:row r="342">
      <x:c r="A342" s="14" t="n">
        <x:v>389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46142</x:v>
      </x:c>
      <x:c r="F342" s="15" t="n">
        <x:v>46142</x:v>
      </x:c>
      <x:c r="G342" s="16" t="str">
        <x:v>DIGITA-MUMBAI/ NEFT-HDFCH00963252757-QUEST ENTERPRISES PVT LTD</x:v>
      </x:c>
      <x:c r="H342" s="14" t="str"/>
      <x:c r="I342" s="14" t="str">
        <x:v>Receipt</x:v>
      </x:c>
      <x:c r="J342" s="17" t="n">
        <x:v>0</x:v>
      </x:c>
      <x:c r="K342" s="17" t="n">
        <x:v>5000</x:v>
      </x:c>
      <x:c r="L342" s="17" t="n">
        <x:v>5000</x:v>
      </x:c>
      <x:c r="M342" s="17" t="n">
        <x:v>215878.05</x:v>
      </x:c>
      <x:c r="N342" s="14" t="str">
        <x:v>Recurring Transaction</x:v>
      </x:c>
      <x:c r="O342" s="14" t="str">
        <x:v>Yes</x:v>
      </x:c>
      <x:c r="P342" s="14" t="str">
        <x:v>QUEST ENTERPRISES PVT LTD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46142</x:v>
      </x:c>
    </x:row>
    <x:row r="343">
      <x:c r="A343" s="14" t="n">
        <x:v>390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46142</x:v>
      </x:c>
      <x:c r="F343" s="15" t="n">
        <x:v>46142</x:v>
      </x:c>
      <x:c r="G343" s="16" t="str">
        <x:v>DIGITA-MUMBAI/ NEFT-HDFCH00963611742-Adekar enterprises pvt ltd</x:v>
      </x:c>
      <x:c r="H343" s="14" t="str"/>
      <x:c r="I343" s="14" t="str">
        <x:v>Receipt</x:v>
      </x:c>
      <x:c r="J343" s="17" t="n">
        <x:v>0</x:v>
      </x:c>
      <x:c r="K343" s="17" t="n">
        <x:v>109621</x:v>
      </x:c>
      <x:c r="L343" s="17" t="n">
        <x:v>109621</x:v>
      </x:c>
      <x:c r="M343" s="17" t="n">
        <x:v>325499.05</x:v>
      </x:c>
      <x:c r="N343" s="14" t="str">
        <x:v>High Transaction; Recurring Transaction</x:v>
      </x:c>
      <x:c r="O343" s="14" t="str">
        <x:v>Yes</x:v>
      </x:c>
      <x:c r="P343" s="14" t="str">
        <x:v>ADEKAR ENTERPRISES PVT LTD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46142</x:v>
      </x:c>
    </x:row>
    <x:row r="344">
      <x:c r="A344" s="14" t="n">
        <x:v>391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46142</x:v>
      </x:c>
      <x:c r="F344" s="15" t="n">
        <x:v>46142</x:v>
      </x:c>
      <x:c r="G344" s="16" t="str">
        <x:v>DIGITA-MUMBAI/ NEFT-NKGSH26120214998-GEBI PRODUCTS PRIVATE LIMITE</x:v>
      </x:c>
      <x:c r="H344" s="14" t="str"/>
      <x:c r="I344" s="14" t="str">
        <x:v>Receipt</x:v>
      </x:c>
      <x:c r="J344" s="17" t="n">
        <x:v>0</x:v>
      </x:c>
      <x:c r="K344" s="17" t="n">
        <x:v>2441</x:v>
      </x:c>
      <x:c r="L344" s="17" t="n">
        <x:v>2441</x:v>
      </x:c>
      <x:c r="M344" s="17" t="n">
        <x:v>327940.05</x:v>
      </x:c>
      <x:c r="N344" s="14" t="str">
        <x:v>Recurring Transaction</x:v>
      </x:c>
      <x:c r="O344" s="14" t="str">
        <x:v>Yes</x:v>
      </x:c>
      <x:c r="P344" s="14" t="str">
        <x:v>GEBI PRODUCTS PRIVATE LIMITE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46142</x:v>
      </x:c>
    </x:row>
    <x:row r="345">
      <x:c r="A345" s="14" t="n">
        <x:v>392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46142</x:v>
      </x:c>
      <x:c r="F345" s="15" t="n">
        <x:v>46142</x:v>
      </x:c>
      <x:c r="G345" s="16" t="str">
        <x:v>EBANK:WIB/1506 EBANK:WIB/1506237357/Edfs</x:v>
      </x:c>
      <x:c r="H345" s="14" t="str"/>
      <x:c r="I345" s="14" t="str">
        <x:v>Payment</x:v>
      </x:c>
      <x:c r="J345" s="17" t="n">
        <x:v>307440.05</x:v>
      </x:c>
      <x:c r="K345" s="17" t="n">
        <x:v>0</x:v>
      </x:c>
      <x:c r="L345" s="17" t="n">
        <x:v>307440.05</x:v>
      </x:c>
      <x:c r="M345" s="17" t="n">
        <x:v>20500</x:v>
      </x:c>
      <x:c r="N345" s="14" t="str">
        <x:v>High Transaction; Recurring Transaction</x:v>
      </x:c>
      <x:c r="O345" s="14" t="str">
        <x:v>Yes</x:v>
      </x:c>
      <x:c r="P345" s="14" t="str">
        <x:v>EBANKWIB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46142</x:v>
      </x:c>
    </x:row>
    <x:row r="346">
      <x:c r="A346" s="14" t="n">
        <x:v>393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46142</x:v>
      </x:c>
      <x:c r="F346" s="15" t="n">
        <x:v>46142</x:v>
      </x:c>
      <x:c r="G346" s="16" t="str">
        <x:v>DIGITA-MUMBAI/ NEFT-IN42612056111225-JERAI FITNESS LIMITED</x:v>
      </x:c>
      <x:c r="H346" s="14" t="str"/>
      <x:c r="I346" s="14" t="str">
        <x:v>Receipt</x:v>
      </x:c>
      <x:c r="J346" s="17" t="n">
        <x:v>0</x:v>
      </x:c>
      <x:c r="K346" s="17" t="n">
        <x:v>147635</x:v>
      </x:c>
      <x:c r="L346" s="17" t="n">
        <x:v>147635</x:v>
      </x:c>
      <x:c r="M346" s="17" t="n">
        <x:v>168135</x:v>
      </x:c>
      <x:c r="N346" s="14" t="str">
        <x:v>High Transaction; Recurring Transaction</x:v>
      </x:c>
      <x:c r="O346" s="14" t="str">
        <x:v>Yes</x:v>
      </x:c>
      <x:c r="P346" s="14" t="str">
        <x:v>JERAI FITNESS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46142</x:v>
      </x:c>
    </x:row>
    <x:row r="347">
      <x:c r="A347" s="14" t="n">
        <x:v>394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46142</x:v>
      </x:c>
      <x:c r="F347" s="15" t="n">
        <x:v>46142</x:v>
      </x:c>
      <x:c r="G347" s="16" t="str">
        <x:v>IMPS/P2A/61201 IMPS/P2A/612019376760/XXXXXXXXXXR111/load</x:v>
      </x:c>
      <x:c r="H347" s="14" t="str"/>
      <x:c r="I347" s="14" t="str">
        <x:v>Payment</x:v>
      </x:c>
      <x:c r="J347" s="17" t="n">
        <x:v>12000</x:v>
      </x:c>
      <x:c r="K347" s="17" t="n">
        <x:v>0</x:v>
      </x:c>
      <x:c r="L347" s="17" t="n">
        <x:v>12000</x:v>
      </x:c>
      <x:c r="M347" s="17" t="n">
        <x:v>156135</x:v>
      </x:c>
      <x:c r="N347" s="14" t="str">
        <x:v>Recurring Transaction</x:v>
      </x:c>
      <x:c r="O347" s="14" t="str">
        <x:v>Yes</x:v>
      </x:c>
      <x:c r="P347" s="14" t="str">
        <x:v>XXXXXXXXXXR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46142</x:v>
      </x:c>
    </x:row>
    <x:row r="348">
      <x:c r="A348" s="14" t="n">
        <x:v>395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46142</x:v>
      </x:c>
      <x:c r="F348" s="15" t="n">
        <x:v>46142</x:v>
      </x:c>
      <x:c r="G348" s="16" t="str">
        <x:v>CHARGES FOR CHARGES FOR :IMPS/P2A/612019376760/XXXXXXXX</x:v>
      </x:c>
      <x:c r="H348" s="14" t="str"/>
      <x:c r="I348" s="14" t="str">
        <x:v>Payment</x:v>
      </x:c>
      <x:c r="J348" s="17" t="n">
        <x:v>5.9</x:v>
      </x:c>
      <x:c r="K348" s="17" t="n">
        <x:v>0</x:v>
      </x:c>
      <x:c r="L348" s="17" t="n">
        <x:v>5.9</x:v>
      </x:c>
      <x:c r="M348" s="17" t="n">
        <x:v>156129.1</x:v>
      </x:c>
      <x:c r="N348" s="14" t="str">
        <x:v>Recurring Transaction</x:v>
      </x:c>
      <x:c r="O348" s="14" t="str">
        <x:v>Yes</x:v>
      </x:c>
      <x:c r="P348" s="14" t="str">
        <x:v>CHARGES FOR CHARGES FOR IMPS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46142</x:v>
      </x:c>
    </x:row>
    <x:row r="349">
      <x:c r="A349" s="14" t="n">
        <x:v>397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46142</x:v>
      </x:c>
      <x:c r="F349" s="15" t="n">
        <x:v>46142</x:v>
      </x:c>
      <x:c r="G349" s="16" t="str">
        <x:v>CHARGES FOR CHARGES FOR :IMPS/P2A/612022880582/XXXXXXXX</x:v>
      </x:c>
      <x:c r="H349" s="14" t="str"/>
      <x:c r="I349" s="14" t="str">
        <x:v>Payment</x:v>
      </x:c>
      <x:c r="J349" s="17" t="n">
        <x:v>5.9</x:v>
      </x:c>
      <x:c r="K349" s="17" t="n">
        <x:v>0</x:v>
      </x:c>
      <x:c r="L349" s="17" t="n">
        <x:v>5.9</x:v>
      </x:c>
      <x:c r="M349" s="17" t="n">
        <x:v>131123.2</x:v>
      </x:c>
      <x:c r="N349" s="14" t="str">
        <x:v>Recurring Transaction</x:v>
      </x:c>
      <x:c r="O349" s="14" t="str">
        <x:v>Yes</x:v>
      </x:c>
      <x:c r="P349" s="14" t="str">
        <x:v>CHARGES FOR CHARGES FOR IMPS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46142</x:v>
      </x:c>
    </x:row>
    <x:row r="350">
      <x:c r="A350" s="14" t="n">
        <x:v>398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46142</x:v>
      </x:c>
      <x:c r="F350" s="15" t="n">
        <x:v>46142</x:v>
      </x:c>
      <x:c r="G350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50" s="14" t="str"/>
      <x:c r="I350" s="14" t="str">
        <x:v>Payment</x:v>
      </x:c>
      <x:c r="J350" s="17" t="n">
        <x:v>128623.2</x:v>
      </x:c>
      <x:c r="K350" s="17" t="n">
        <x:v>0</x:v>
      </x:c>
      <x:c r="L350" s="17" t="n">
        <x:v>128623.2</x:v>
      </x:c>
      <x:c r="M350" s="17" t="n">
        <x:v>2500</x:v>
      </x:c>
      <x:c r="N350" s="14" t="str">
        <x:v>High Transaction; Recurring Transaction</x:v>
      </x:c>
      <x:c r="O350" s="14" t="str">
        <x:v>Yes</x:v>
      </x:c>
      <x:c r="P350" s="14" t="str">
        <x:v>EBANKWIB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1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d5c53e7f1554e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2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7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NEFT-FBPT260916108327-PREMIER CONVEYORS PRIVATE LI</x:v>
      </x:c>
      <x:c r="H5" s="14" t="str"/>
      <x:c r="I5" s="14" t="str">
        <x:v>Receipt</x:v>
      </x:c>
      <x:c r="J5" s="17" t="n">
        <x:v>0</x:v>
      </x:c>
      <x:c r="K5" s="17" t="n">
        <x:v>18409</x:v>
      </x:c>
      <x:c r="L5" s="17" t="n">
        <x:v>18409</x:v>
      </x:c>
      <x:c r="M5" s="17" t="n">
        <x:v>20909</x:v>
      </x:c>
      <x:c r="N5" s="14" t="str">
        <x:v>EMI; Recurring Transaction</x:v>
      </x:c>
      <x:c r="O5" s="14" t="str">
        <x:v>Yes</x:v>
      </x:c>
      <x:c r="P5" s="14" t="str">
        <x:v>PREMIER CONVEYORS PRIVATE LI</x:v>
      </x:c>
      <x:c r="Q5" s="14" t="n">
        <x:v>0</x:v>
      </x:c>
      <x:c r="R5" s="14" t="n">
        <x:v>1</x:v>
      </x:c>
      <x:c r="S5" s="14" t="n">
        <x:v>1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226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46130</x:v>
      </x:c>
      <x:c r="F6" s="15" t="n">
        <x:v>46130</x:v>
      </x:c>
      <x:c r="G6" s="16" t="str">
        <x:v>DIGITA-MUMBAI/ NEFT-FBPT261087153653-PREMIER CONVEYORS PRIVATE LI</x:v>
      </x:c>
      <x:c r="H6" s="14" t="str"/>
      <x:c r="I6" s="14" t="str">
        <x:v>Receipt</x:v>
      </x:c>
      <x:c r="J6" s="17" t="n">
        <x:v>0</x:v>
      </x:c>
      <x:c r="K6" s="17" t="n">
        <x:v>37132</x:v>
      </x:c>
      <x:c r="L6" s="17" t="n">
        <x:v>37132</x:v>
      </x:c>
      <x:c r="M6" s="17" t="n">
        <x:v>483167.28</x:v>
      </x:c>
      <x:c r="N6" s="14" t="str">
        <x:v>EMI; Recurring Transaction</x:v>
      </x:c>
      <x:c r="O6" s="14" t="str">
        <x:v>Yes</x:v>
      </x:c>
      <x:c r="P6" s="14" t="str">
        <x:v>PREMIER CONVEYORS PRIVATE LI</x:v>
      </x:c>
      <x:c r="Q6" s="14" t="n">
        <x:v>0</x:v>
      </x:c>
      <x:c r="R6" s="14" t="n">
        <x:v>1</x:v>
      </x:c>
      <x:c r="S6" s="14" t="n">
        <x:v>1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46130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daa719f4ab24a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112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8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NEFT-CNRBH00121803213-QUALITY PLAST INDUSTRIES LIM</x:v>
      </x:c>
      <x:c r="H7" s="14" t="str"/>
      <x:c r="I7" s="14" t="str">
        <x:v>Receipt</x:v>
      </x:c>
      <x:c r="J7" s="17" t="n">
        <x:v>0</x:v>
      </x:c>
      <x:c r="K7" s="17" t="n">
        <x:v>121431</x:v>
      </x:c>
      <x:c r="L7" s="17" t="n">
        <x:v>121431</x:v>
      </x:c>
      <x:c r="M7" s="17" t="n">
        <x:v>142340</x:v>
      </x:c>
      <x:c r="N7" s="14" t="str">
        <x:v>High Transaction; Recurring Transaction</x:v>
      </x:c>
      <x:c r="O7" s="14" t="str">
        <x:v>Yes</x:v>
      </x:c>
      <x:c r="P7" s="14" t="str">
        <x:v>QUALITY PLAST INDUSTRIES LIM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10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IMPS/P2A/609116466512/AFZALSIRAJUDDIN/IMPSUOB9191</x:v>
      </x:c>
      <x:c r="H8" s="14" t="str"/>
      <x:c r="I8" s="14" t="str">
        <x:v>Receipt</x:v>
      </x:c>
      <x:c r="J8" s="17" t="n">
        <x:v>0</x:v>
      </x:c>
      <x:c r="K8" s="17" t="n">
        <x:v>100000</x:v>
      </x:c>
      <x:c r="L8" s="17" t="n">
        <x:v>100000</x:v>
      </x:c>
      <x:c r="M8" s="17" t="n">
        <x:v>240840</x:v>
      </x:c>
      <x:c r="N8" s="14" t="str">
        <x:v>High Transaction; Recurring Transaction</x:v>
      </x:c>
      <x:c r="O8" s="14" t="str">
        <x:v>Yes</x:v>
      </x:c>
      <x:c r="P8" s="14" t="str">
        <x:v>AFZALSIRAJUDDIN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12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9" s="14" t="str"/>
      <x:c r="I9" s="14" t="str">
        <x:v>Payment</x:v>
      </x:c>
      <x:c r="J9" s="17" t="n">
        <x:v>248340</x:v>
      </x:c>
      <x:c r="K9" s="17" t="n">
        <x:v>0</x:v>
      </x:c>
      <x:c r="L9" s="17" t="n">
        <x:v>248340</x:v>
      </x:c>
      <x:c r="M9" s="17" t="n">
        <x:v>2500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13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NEFT-YESAP60924833309-PhonePe Limited</x:v>
      </x:c>
      <x:c r="H10" s="14" t="str"/>
      <x:c r="I10" s="14" t="str">
        <x:v>Receipt</x:v>
      </x:c>
      <x:c r="J10" s="17" t="n">
        <x:v>0</x:v>
      </x:c>
      <x:c r="K10" s="17" t="n">
        <x:v>188588.4</x:v>
      </x:c>
      <x:c r="L10" s="17" t="n">
        <x:v>188588.4</x:v>
      </x:c>
      <x:c r="M10" s="17" t="n">
        <x:v>191088.4</x:v>
      </x:c>
      <x:c r="N10" s="14" t="str">
        <x:v>High Transaction; Recurring Transaction</x:v>
      </x:c>
      <x:c r="O10" s="14" t="str">
        <x:v>Yes</x:v>
      </x:c>
      <x:c r="P10" s="14" t="str">
        <x:v>PHONEPE LIMITED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18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NEFT-AXISCN1299028324-PINE LABS PRIVATE LIMITED-NO</x:v>
      </x:c>
      <x:c r="H11" s="14" t="str"/>
      <x:c r="I11" s="14" t="str">
        <x:v>Receipt</x:v>
      </x:c>
      <x:c r="J11" s="17" t="n">
        <x:v>0</x:v>
      </x:c>
      <x:c r="K11" s="17" t="n">
        <x:v>166884</x:v>
      </x:c>
      <x:c r="L11" s="17" t="n">
        <x:v>166884</x:v>
      </x:c>
      <x:c r="M11" s="17" t="n">
        <x:v>513521.5</x:v>
      </x:c>
      <x:c r="N11" s="14" t="str">
        <x:v>High Transaction; Recurring Transaction</x:v>
      </x:c>
      <x:c r="O11" s="14" t="str">
        <x:v>Yes</x:v>
      </x:c>
      <x:c r="P11" s="14" t="str">
        <x:v>PINE LABS PRIVATE LIMITED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25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NEFT-HDFCH00905140576-Adekar enterprises pvt ltd</x:v>
      </x:c>
      <x:c r="H12" s="14" t="str"/>
      <x:c r="I12" s="14" t="str">
        <x:v>Receipt</x:v>
      </x:c>
      <x:c r="J12" s="17" t="n">
        <x:v>0</x:v>
      </x:c>
      <x:c r="K12" s="17" t="n">
        <x:v>138674</x:v>
      </x:c>
      <x:c r="L12" s="17" t="n">
        <x:v>138674</x:v>
      </x:c>
      <x:c r="M12" s="17" t="n">
        <x:v>743982.5</x:v>
      </x:c>
      <x:c r="N12" s="14" t="str">
        <x:v>High Transaction; Recurring Transaction</x:v>
      </x:c>
      <x:c r="O12" s="14" t="str">
        <x:v>Yes</x:v>
      </x:c>
      <x:c r="P12" s="14" t="str">
        <x:v>ADEKAR ENTERPRISES PVT LTD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27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EBANK:WIB/1502234210/Edfs</x:v>
      </x:c>
      <x:c r="H13" s="14" t="str"/>
      <x:c r="I13" s="14" t="str">
        <x:v>Payment</x:v>
      </x:c>
      <x:c r="J13" s="17" t="n">
        <x:v>791482.5</x:v>
      </x:c>
      <x:c r="K13" s="17" t="n">
        <x:v>0</x:v>
      </x:c>
      <x:c r="L13" s="17" t="n">
        <x:v>791482.5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30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46115</x:v>
      </x:c>
      <x:c r="F14" s="15" t="n">
        <x:v>46115</x:v>
      </x:c>
      <x:c r="G14" s="16" t="str">
        <x:v>DIGITA-MUMBAI/ NEFT-YESAP60934071902-PhonePe Limited</x:v>
      </x:c>
      <x:c r="H14" s="14" t="str"/>
      <x:c r="I14" s="14" t="str">
        <x:v>Receipt</x:v>
      </x:c>
      <x:c r="J14" s="17" t="n">
        <x:v>0</x:v>
      </x:c>
      <x:c r="K14" s="17" t="n">
        <x:v>173393.9</x:v>
      </x:c>
      <x:c r="L14" s="17" t="n">
        <x:v>173393.9</x:v>
      </x:c>
      <x:c r="M14" s="17" t="n">
        <x:v>216422.9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46115</x:v>
      </x:c>
    </x:row>
    <x:row r="15">
      <x:c r="A15" s="14" t="n">
        <x:v>34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46115</x:v>
      </x:c>
      <x:c r="F15" s="15" t="n">
        <x:v>46115</x:v>
      </x:c>
      <x:c r="G15" s="16" t="str">
        <x:v>DIGITA-MUMBAI/ NEFT-AXISCN1300388689-PINE LABS PRIVATE LIMITED-NO</x:v>
      </x:c>
      <x:c r="H15" s="14" t="str"/>
      <x:c r="I15" s="14" t="str">
        <x:v>Receipt</x:v>
      </x:c>
      <x:c r="J15" s="17" t="n">
        <x:v>0</x:v>
      </x:c>
      <x:c r="K15" s="17" t="n">
        <x:v>112894</x:v>
      </x:c>
      <x:c r="L15" s="17" t="n">
        <x:v>112894</x:v>
      </x:c>
      <x:c r="M15" s="17" t="n">
        <x:v>410724.58</x:v>
      </x:c>
      <x:c r="N15" s="14" t="str">
        <x:v>High Transaction; Recurring Transaction</x:v>
      </x:c>
      <x:c r="O15" s="14" t="str">
        <x:v>Yes</x:v>
      </x:c>
      <x:c r="P15" s="14" t="str">
        <x:v>PINE LABS PRIVATE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46115</x:v>
      </x:c>
    </x:row>
    <x:row r="16">
      <x:c r="A16" s="14" t="n">
        <x:v>35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46115</x:v>
      </x:c>
      <x:c r="F16" s="15" t="n">
        <x:v>46115</x:v>
      </x:c>
      <x:c r="G16" s="16" t="str">
        <x:v>DIGITA-MUMBAI/ IMPS/P2A/609312855509/AFZALSIRAJUDDIN/IMPSUOB9191</x:v>
      </x:c>
      <x:c r="H16" s="14" t="str"/>
      <x:c r="I16" s="14" t="str">
        <x:v>Receipt</x:v>
      </x:c>
      <x:c r="J16" s="17" t="n">
        <x:v>0</x:v>
      </x:c>
      <x:c r="K16" s="17" t="n">
        <x:v>200000</x:v>
      </x:c>
      <x:c r="L16" s="17" t="n">
        <x:v>200000</x:v>
      </x:c>
      <x:c r="M16" s="17" t="n">
        <x:v>610724.58</x:v>
      </x:c>
      <x:c r="N16" s="14" t="str">
        <x:v>High Transaction; Recurring Transaction</x:v>
      </x:c>
      <x:c r="O16" s="14" t="str">
        <x:v>Yes</x:v>
      </x:c>
      <x:c r="P16" s="14" t="str">
        <x:v>AFZALSIRAJUDDIN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46115</x:v>
      </x:c>
    </x:row>
    <x:row r="17">
      <x:c r="A17" s="14" t="n">
        <x:v>36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46115</x:v>
      </x:c>
      <x:c r="F17" s="15" t="n">
        <x:v>46115</x:v>
      </x:c>
      <x:c r="G17" s="16" t="str">
        <x:v>DIGITA-MUMBAI/ NEFT-002663976089-GANGAMAI INDUSTRIES AND CONSTR</x:v>
      </x:c>
      <x:c r="H17" s="14" t="str"/>
      <x:c r="I17" s="14" t="str">
        <x:v>Receipt</x:v>
      </x:c>
      <x:c r="J17" s="17" t="n">
        <x:v>0</x:v>
      </x:c>
      <x:c r="K17" s="17" t="n">
        <x:v>180880</x:v>
      </x:c>
      <x:c r="L17" s="17" t="n">
        <x:v>180880</x:v>
      </x:c>
      <x:c r="M17" s="17" t="n">
        <x:v>791604.58</x:v>
      </x:c>
      <x:c r="N17" s="14" t="str">
        <x:v>High Transaction</x:v>
      </x:c>
      <x:c r="O17" s="14" t="str">
        <x:v>No</x:v>
      </x:c>
      <x:c r="P17" s="14" t="str">
        <x:v>GANGAMAI INDUSTRIES AND CONSTR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46115</x:v>
      </x:c>
    </x:row>
    <x:row r="18">
      <x:c r="A18" s="14" t="n">
        <x:v>37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46115</x:v>
      </x:c>
      <x:c r="F18" s="15" t="n">
        <x:v>46115</x:v>
      </x:c>
      <x:c r="G18" s="16" t="str">
        <x:v>EBANK:WIB/1502 EBANK:WIB/1502413595/Edfs</x:v>
      </x:c>
      <x:c r="H18" s="14" t="str"/>
      <x:c r="I18" s="14" t="str">
        <x:v>Payment</x:v>
      </x:c>
      <x:c r="J18" s="17" t="n">
        <x:v>790104.58</x:v>
      </x:c>
      <x:c r="K18" s="17" t="n">
        <x:v>0</x:v>
      </x:c>
      <x:c r="L18" s="17" t="n">
        <x:v>790104.58</x:v>
      </x:c>
      <x:c r="M18" s="17" t="n">
        <x:v>1500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46115</x:v>
      </x:c>
    </x:row>
    <x:row r="19">
      <x:c r="A19" s="14" t="n">
        <x:v>38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46116</x:v>
      </x:c>
      <x:c r="F19" s="15" t="n">
        <x:v>46116</x:v>
      </x:c>
      <x:c r="G19" s="16" t="str">
        <x:v>DIGITA-MUMBAI/ NEFT-YESAP60944128518-PhonePe Limited</x:v>
      </x:c>
      <x:c r="H19" s="14" t="str"/>
      <x:c r="I19" s="14" t="str">
        <x:v>Receipt</x:v>
      </x:c>
      <x:c r="J19" s="17" t="n">
        <x:v>0</x:v>
      </x:c>
      <x:c r="K19" s="17" t="n">
        <x:v>171014</x:v>
      </x:c>
      <x:c r="L19" s="17" t="n">
        <x:v>171014</x:v>
      </x:c>
      <x:c r="M19" s="17" t="n">
        <x:v>172514</x:v>
      </x:c>
      <x:c r="N19" s="14" t="str">
        <x:v>High Transaction; Recurring Transaction</x:v>
      </x:c>
      <x:c r="O19" s="14" t="str">
        <x:v>Yes</x:v>
      </x:c>
      <x:c r="P19" s="14" t="str">
        <x:v>PHONEPE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46116</x:v>
      </x:c>
    </x:row>
    <x:row r="20">
      <x:c r="A20" s="14" t="n">
        <x:v>41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46116</x:v>
      </x:c>
      <x:c r="F20" s="15" t="n">
        <x:v>46116</x:v>
      </x:c>
      <x:c r="G20" s="16" t="str">
        <x:v>EBANK:WIB/1502 EBANK:WIB/1502423934/Edfs</x:v>
      </x:c>
      <x:c r="H20" s="14" t="str"/>
      <x:c r="I20" s="14" t="str">
        <x:v>Payment</x:v>
      </x:c>
      <x:c r="J20" s="17" t="n">
        <x:v>240091</x:v>
      </x:c>
      <x:c r="K20" s="17" t="n">
        <x:v>0</x:v>
      </x:c>
      <x:c r="L20" s="17" t="n">
        <x:v>240091</x:v>
      </x:c>
      <x:c r="M20" s="17" t="n">
        <x:v>4500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46116</x:v>
      </x:c>
    </x:row>
    <x:row r="21">
      <x:c r="A21" s="14" t="n">
        <x:v>47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46116</x:v>
      </x:c>
      <x:c r="F21" s="15" t="n">
        <x:v>46116</x:v>
      </x:c>
      <x:c r="G21" s="16" t="str">
        <x:v>EBANK:WIB/1502 EBANK:WIB/1502545632/Edfs</x:v>
      </x:c>
      <x:c r="H21" s="14" t="str"/>
      <x:c r="I21" s="14" t="str">
        <x:v>Payment</x:v>
      </x:c>
      <x:c r="J21" s="17" t="n">
        <x:v>120330.37</x:v>
      </x:c>
      <x:c r="K21" s="17" t="n">
        <x:v>0</x:v>
      </x:c>
      <x:c r="L21" s="17" t="n">
        <x:v>120330.37</x:v>
      </x:c>
      <x:c r="M21" s="17" t="n">
        <x:v>1500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46116</x:v>
      </x:c>
    </x:row>
    <x:row r="22">
      <x:c r="A22" s="14" t="n">
        <x:v>49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46117</x:v>
      </x:c>
      <x:c r="F22" s="15" t="n">
        <x:v>46117</x:v>
      </x:c>
      <x:c r="G22" s="16" t="str">
        <x:v>DIGITA-MUMBAI/ NEFT-YESAP60953903247-PhonePe Limited</x:v>
      </x:c>
      <x:c r="H22" s="14" t="str"/>
      <x:c r="I22" s="14" t="str">
        <x:v>Receipt</x:v>
      </x:c>
      <x:c r="J22" s="17" t="n">
        <x:v>0</x:v>
      </x:c>
      <x:c r="K22" s="17" t="n">
        <x:v>167015</x:v>
      </x:c>
      <x:c r="L22" s="17" t="n">
        <x:v>167015</x:v>
      </x:c>
      <x:c r="M22" s="17" t="n">
        <x:v>249911</x:v>
      </x:c>
      <x:c r="N22" s="14" t="str">
        <x:v>High Transaction; Recurring Transaction</x:v>
      </x:c>
      <x:c r="O22" s="14" t="str">
        <x:v>Yes</x:v>
      </x:c>
      <x:c r="P22" s="14" t="str">
        <x:v>PHONEPE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46117</x:v>
      </x:c>
    </x:row>
    <x:row r="23">
      <x:c r="A23" s="14" t="n">
        <x:v>52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46117</x:v>
      </x:c>
      <x:c r="F23" s="15" t="n">
        <x:v>46117</x:v>
      </x:c>
      <x:c r="G23" s="16" t="str">
        <x:v>EBANK:WIB/1502 EBANK:WIB/1502577386/Edfs</x:v>
      </x:c>
      <x:c r="H23" s="14" t="str"/>
      <x:c r="I23" s="14" t="str">
        <x:v>Payment</x:v>
      </x:c>
      <x:c r="J23" s="17" t="n">
        <x:v>300403.36</x:v>
      </x:c>
      <x:c r="K23" s="17" t="n">
        <x:v>0</x:v>
      </x:c>
      <x:c r="L23" s="17" t="n">
        <x:v>300403.36</x:v>
      </x:c>
      <x:c r="M23" s="17" t="n">
        <x:v>45500</x:v>
      </x:c>
      <x:c r="N23" s="14" t="str">
        <x:v>High Transaction; Recurring Transaction</x:v>
      </x:c>
      <x:c r="O23" s="14" t="str">
        <x:v>Yes</x:v>
      </x:c>
      <x:c r="P23" s="14" t="str">
        <x:v>EBANKWIB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46117</x:v>
      </x:c>
    </x:row>
    <x:row r="24">
      <x:c r="A24" s="14" t="n">
        <x:v>55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46118</x:v>
      </x:c>
      <x:c r="F24" s="15" t="n">
        <x:v>46118</x:v>
      </x:c>
      <x:c r="G24" s="16" t="str">
        <x:v>DIGITA-MUMBAI/ NEFT-YESAP60964000643-PhonePe Limited</x:v>
      </x:c>
      <x:c r="H24" s="14" t="str"/>
      <x:c r="I24" s="14" t="str">
        <x:v>Receipt</x:v>
      </x:c>
      <x:c r="J24" s="17" t="n">
        <x:v>0</x:v>
      </x:c>
      <x:c r="K24" s="17" t="n">
        <x:v>169456</x:v>
      </x:c>
      <x:c r="L24" s="17" t="n">
        <x:v>169456</x:v>
      </x:c>
      <x:c r="M24" s="17" t="n">
        <x:v>336599.21</x:v>
      </x:c>
      <x:c r="N24" s="14" t="str">
        <x:v>High Transaction; Recurring Transaction</x:v>
      </x:c>
      <x:c r="O24" s="14" t="str">
        <x:v>Yes</x:v>
      </x:c>
      <x:c r="P24" s="14" t="str">
        <x:v>PHONEPE LIMITED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46118</x:v>
      </x:c>
    </x:row>
    <x:row r="25">
      <x:c r="A25" s="14" t="n">
        <x:v>57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46118</x:v>
      </x:c>
      <x:c r="F25" s="15" t="n">
        <x:v>46118</x:v>
      </x:c>
      <x:c r="G25" s="16" t="str">
        <x:v>EBANK:WIB/1502 EBANK:WIB/1502642025/Edfs</x:v>
      </x:c>
      <x:c r="H25" s="14" t="str"/>
      <x:c r="I25" s="14" t="str">
        <x:v>Payment</x:v>
      </x:c>
      <x:c r="J25" s="17" t="n">
        <x:v>365780.21</x:v>
      </x:c>
      <x:c r="K25" s="17" t="n">
        <x:v>0</x:v>
      </x:c>
      <x:c r="L25" s="17" t="n">
        <x:v>365780.21</x:v>
      </x:c>
      <x:c r="M25" s="17" t="n">
        <x:v>2500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46118</x:v>
      </x:c>
    </x:row>
    <x:row r="26">
      <x:c r="A26" s="14" t="n">
        <x:v>59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46118</x:v>
      </x:c>
      <x:c r="F26" s="15" t="n">
        <x:v>46118</x:v>
      </x:c>
      <x:c r="G26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26" s="14" t="str"/>
      <x:c r="I26" s="14" t="str">
        <x:v>Receipt</x:v>
      </x:c>
      <x:c r="J26" s="17" t="n">
        <x:v>0</x:v>
      </x:c>
      <x:c r="K26" s="17" t="n">
        <x:v>100000</x:v>
      </x:c>
      <x:c r="L26" s="17" t="n">
        <x:v>100000</x:v>
      </x:c>
      <x:c r="M26" s="17" t="n">
        <x:v>132016</x:v>
      </x:c>
      <x:c r="N26" s="14" t="str">
        <x:v>High Transaction; Recurring Transaction</x:v>
      </x:c>
      <x:c r="O26" s="14" t="str">
        <x:v>Yes</x:v>
      </x:c>
      <x:c r="P26" s="14" t="str">
        <x:v>PAGE TOTAL   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46118</x:v>
      </x:c>
    </x:row>
    <x:row r="27">
      <x:c r="A27" s="14" t="n">
        <x:v>64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46118</x:v>
      </x:c>
      <x:c r="F27" s="15" t="n">
        <x:v>46118</x:v>
      </x:c>
      <x:c r="G27" s="16" t="str">
        <x:v>EBANK:WIB/1502 EBANK:WIB/1502790855/Edfs</x:v>
      </x:c>
      <x:c r="H27" s="14" t="str"/>
      <x:c r="I27" s="14" t="str">
        <x:v>Payment</x:v>
      </x:c>
      <x:c r="J27" s="17" t="n">
        <x:v>198114</x:v>
      </x:c>
      <x:c r="K27" s="17" t="n">
        <x:v>0</x:v>
      </x:c>
      <x:c r="L27" s="17" t="n">
        <x:v>198114</x:v>
      </x:c>
      <x:c r="M27" s="17" t="n">
        <x:v>2500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46118</x:v>
      </x:c>
    </x:row>
    <x:row r="28">
      <x:c r="A28" s="14" t="n">
        <x:v>66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46119</x:v>
      </x:c>
      <x:c r="F28" s="15" t="n">
        <x:v>46119</x:v>
      </x:c>
      <x:c r="G28" s="16" t="str">
        <x:v>DIGITA-MUMBAI/ NEFT-YESAP60974165954-PhonePe Limited</x:v>
      </x:c>
      <x:c r="H28" s="14" t="str"/>
      <x:c r="I28" s="14" t="str">
        <x:v>Receipt</x:v>
      </x:c>
      <x:c r="J28" s="17" t="n">
        <x:v>0</x:v>
      </x:c>
      <x:c r="K28" s="17" t="n">
        <x:v>260044.42</x:v>
      </x:c>
      <x:c r="L28" s="17" t="n">
        <x:v>260044.42</x:v>
      </x:c>
      <x:c r="M28" s="17" t="n">
        <x:v>280992.42</x:v>
      </x:c>
      <x:c r="N28" s="14" t="str">
        <x:v>High Transaction; 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46119</x:v>
      </x:c>
    </x:row>
    <x:row r="29">
      <x:c r="A29" s="14" t="n">
        <x:v>68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46119</x:v>
      </x:c>
      <x:c r="F29" s="15" t="n">
        <x:v>46119</x:v>
      </x:c>
      <x:c r="G29" s="16" t="str">
        <x:v>EBANK:WIB/1502 EBANK:WIB/1502821939/Edfs</x:v>
      </x:c>
      <x:c r="H29" s="14" t="str"/>
      <x:c r="I29" s="14" t="str">
        <x:v>Payment</x:v>
      </x:c>
      <x:c r="J29" s="17" t="n">
        <x:v>330493.07</x:v>
      </x:c>
      <x:c r="K29" s="17" t="n">
        <x:v>0</x:v>
      </x:c>
      <x:c r="L29" s="17" t="n">
        <x:v>330493.07</x:v>
      </x:c>
      <x:c r="M29" s="17" t="n">
        <x:v>5500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46119</x:v>
      </x:c>
    </x:row>
    <x:row r="30">
      <x:c r="A30" s="14" t="n">
        <x:v>75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46119</x:v>
      </x:c>
      <x:c r="F30" s="15" t="n">
        <x:v>46119</x:v>
      </x:c>
      <x:c r="G30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30" s="14" t="str"/>
      <x:c r="I30" s="14" t="str">
        <x:v>Receipt</x:v>
      </x:c>
      <x:c r="J30" s="17" t="n">
        <x:v>0</x:v>
      </x:c>
      <x:c r="K30" s="17" t="n">
        <x:v>114500</x:v>
      </x:c>
      <x:c r="L30" s="17" t="n">
        <x:v>114500</x:v>
      </x:c>
      <x:c r="M30" s="17" t="n">
        <x:v>176796.35</x:v>
      </x:c>
      <x:c r="N30" s="14" t="str">
        <x:v>Cash; High Transaction; Recurring Transaction</x:v>
      </x:c>
      <x:c r="O30" s="14" t="str">
        <x:v>Yes</x:v>
      </x:c>
      <x:c r="P30" s="14" t="str">
        <x:v>PAGE TOTAL   CR</x:v>
      </x:c>
      <x:c r="Q30" s="14" t="n">
        <x:v>1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46119</x:v>
      </x:c>
    </x:row>
    <x:row r="31">
      <x:c r="A31" s="14" t="n">
        <x:v>81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46119</x:v>
      </x:c>
      <x:c r="F31" s="15" t="n">
        <x:v>46119</x:v>
      </x:c>
      <x:c r="G31" s="16" t="str">
        <x:v>EBANK:WIB/1502 EBANK:WIB/1502986421/Edfs</x:v>
      </x:c>
      <x:c r="H31" s="14" t="str"/>
      <x:c r="I31" s="14" t="str">
        <x:v>Payment</x:v>
      </x:c>
      <x:c r="J31" s="17" t="n">
        <x:v>137582.35</x:v>
      </x:c>
      <x:c r="K31" s="17" t="n">
        <x:v>0</x:v>
      </x:c>
      <x:c r="L31" s="17" t="n">
        <x:v>137582.35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46119</x:v>
      </x:c>
    </x:row>
    <x:row r="32">
      <x:c r="A32" s="14" t="n">
        <x:v>83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46120</x:v>
      </x:c>
      <x:c r="F32" s="15" t="n">
        <x:v>46120</x:v>
      </x:c>
      <x:c r="G32" s="16" t="str">
        <x:v>DIGITA-MUMBAI/ NEFT-YESAP60983679319-PhonePe Limited</x:v>
      </x:c>
      <x:c r="H32" s="14" t="str"/>
      <x:c r="I32" s="14" t="str">
        <x:v>Receipt</x:v>
      </x:c>
      <x:c r="J32" s="17" t="n">
        <x:v>0</x:v>
      </x:c>
      <x:c r="K32" s="17" t="n">
        <x:v>243684</x:v>
      </x:c>
      <x:c r="L32" s="17" t="n">
        <x:v>243684</x:v>
      </x:c>
      <x:c r="M32" s="17" t="n">
        <x:v>283597</x:v>
      </x:c>
      <x:c r="N32" s="14" t="str">
        <x:v>High Transaction; 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46120</x:v>
      </x:c>
    </x:row>
    <x:row r="33">
      <x:c r="A33" s="14" t="n">
        <x:v>89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46120</x:v>
      </x:c>
      <x:c r="F33" s="15" t="n">
        <x:v>46120</x:v>
      </x:c>
      <x:c r="G33" s="16" t="str">
        <x:v>EBANK:WIB/1503 EBANK:WIB/1503050809/Edfs</x:v>
      </x:c>
      <x:c r="H33" s="14" t="str"/>
      <x:c r="I33" s="14" t="str">
        <x:v>Payment</x:v>
      </x:c>
      <x:c r="J33" s="17" t="n">
        <x:v>381113</x:v>
      </x:c>
      <x:c r="K33" s="17" t="n">
        <x:v>0</x:v>
      </x:c>
      <x:c r="L33" s="17" t="n">
        <x:v>381113</x:v>
      </x:c>
      <x:c r="M33" s="17" t="n">
        <x:v>2500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46120</x:v>
      </x:c>
    </x:row>
    <x:row r="34">
      <x:c r="A34" s="14" t="n">
        <x:v>94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46120</x:v>
      </x:c>
      <x:c r="F34" s="15" t="n">
        <x:v>46120</x:v>
      </x:c>
      <x:c r="G34" s="16" t="str">
        <x:v>EBANK:WIB/1503 EBANK:WIB/1503170712/Edfs</x:v>
      </x:c>
      <x:c r="H34" s="14" t="str"/>
      <x:c r="I34" s="14" t="str">
        <x:v>Payment</x:v>
      </x:c>
      <x:c r="J34" s="17" t="n">
        <x:v>108620</x:v>
      </x:c>
      <x:c r="K34" s="17" t="n">
        <x:v>0</x:v>
      </x:c>
      <x:c r="L34" s="17" t="n">
        <x:v>108620</x:v>
      </x:c>
      <x:c r="M34" s="17" t="n">
        <x:v>2500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46120</x:v>
      </x:c>
    </x:row>
    <x:row r="35">
      <x:c r="A35" s="14" t="n">
        <x:v>95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46121</x:v>
      </x:c>
      <x:c r="F35" s="15" t="n">
        <x:v>46121</x:v>
      </x:c>
      <x:c r="G35" s="16" t="str">
        <x:v>DIGITA-MUMBAI/ NEFT-YESAP60993677587-PhonePe Limited</x:v>
      </x:c>
      <x:c r="H35" s="14" t="str"/>
      <x:c r="I35" s="14" t="str">
        <x:v>Receipt</x:v>
      </x:c>
      <x:c r="J35" s="17" t="n">
        <x:v>0</x:v>
      </x:c>
      <x:c r="K35" s="17" t="n">
        <x:v>170522</x:v>
      </x:c>
      <x:c r="L35" s="17" t="n">
        <x:v>170522</x:v>
      </x:c>
      <x:c r="M35" s="17" t="n">
        <x:v>173022</x:v>
      </x:c>
      <x:c r="N35" s="14" t="str">
        <x:v>High Transaction; 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46121</x:v>
      </x:c>
    </x:row>
    <x:row r="36">
      <x:c r="A36" s="14" t="n">
        <x:v>102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46121</x:v>
      </x:c>
      <x:c r="F36" s="15" t="n">
        <x:v>46121</x:v>
      </x:c>
      <x:c r="G36" s="16" t="str">
        <x:v>EBANK:WIB/1503 EBANK:WIB/1503311707/Edfs</x:v>
      </x:c>
      <x:c r="H36" s="14" t="str"/>
      <x:c r="I36" s="14" t="str">
        <x:v>Payment</x:v>
      </x:c>
      <x:c r="J36" s="17" t="n">
        <x:v>380118</x:v>
      </x:c>
      <x:c r="K36" s="17" t="n">
        <x:v>0</x:v>
      </x:c>
      <x:c r="L36" s="17" t="n">
        <x:v>380118</x:v>
      </x:c>
      <x:c r="M36" s="17" t="n">
        <x:v>2500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46121</x:v>
      </x:c>
    </x:row>
    <x:row r="37">
      <x:c r="A37" s="14" t="n">
        <x:v>104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DIGITA-MUMBAI/ NEFT-YESAP61002547485-PhonePe Limited</x:v>
      </x:c>
      <x:c r="H37" s="14" t="str"/>
      <x:c r="I37" s="14" t="str">
        <x:v>Receipt</x:v>
      </x:c>
      <x:c r="J37" s="17" t="n">
        <x:v>0</x:v>
      </x:c>
      <x:c r="K37" s="17" t="n">
        <x:v>310276</x:v>
      </x:c>
      <x:c r="L37" s="17" t="n">
        <x:v>310276</x:v>
      </x:c>
      <x:c r="M37" s="17" t="n">
        <x:v>376084</x:v>
      </x:c>
      <x:c r="N37" s="14" t="str">
        <x:v>High Transaction; Recurring Transaction</x:v>
      </x:c>
      <x:c r="O37" s="14" t="str">
        <x:v>Yes</x:v>
      </x:c>
      <x:c r="P37" s="14" t="str">
        <x:v>PHONEPE LIMITED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106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38" s="14" t="str"/>
      <x:c r="I38" s="14" t="str">
        <x:v>Payment</x:v>
      </x:c>
      <x:c r="J38" s="17" t="n">
        <x:v>432999</x:v>
      </x:c>
      <x:c r="K38" s="17" t="n">
        <x:v>0</x:v>
      </x:c>
      <x:c r="L38" s="17" t="n">
        <x:v>432999</x:v>
      </x:c>
      <x:c r="M38" s="17" t="n">
        <x:v>2500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114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DIGITA-MUMBAI/ NEFT-YESAP61011187841-PhonePe Limited</x:v>
      </x:c>
      <x:c r="H39" s="14" t="str"/>
      <x:c r="I39" s="14" t="str">
        <x:v>Receipt</x:v>
      </x:c>
      <x:c r="J39" s="17" t="n">
        <x:v>0</x:v>
      </x:c>
      <x:c r="K39" s="17" t="n">
        <x:v>217794</x:v>
      </x:c>
      <x:c r="L39" s="17" t="n">
        <x:v>217794</x:v>
      </x:c>
      <x:c r="M39" s="17" t="n">
        <x:v>233709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140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EBANK:WIB/1503 EBANK:WIB/1503559058/Edfs</x:v>
      </x:c>
      <x:c r="H40" s="14" t="str"/>
      <x:c r="I40" s="14" t="str">
        <x:v>Payment</x:v>
      </x:c>
      <x:c r="J40" s="17" t="n">
        <x:v>353767.15</x:v>
      </x:c>
      <x:c r="K40" s="17" t="n">
        <x:v>0</x:v>
      </x:c>
      <x:c r="L40" s="17" t="n">
        <x:v>353767.15</x:v>
      </x:c>
      <x:c r="M40" s="17" t="n">
        <x:v>20500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143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46124</x:v>
      </x:c>
      <x:c r="F41" s="15" t="n">
        <x:v>46124</x:v>
      </x:c>
      <x:c r="G41" s="16" t="str">
        <x:v>DIGITA-MUMBAI/ NEFT-YESAP61023739033-PhonePe Limited</x:v>
      </x:c>
      <x:c r="H41" s="14" t="str"/>
      <x:c r="I41" s="14" t="str">
        <x:v>Receipt</x:v>
      </x:c>
      <x:c r="J41" s="17" t="n">
        <x:v>0</x:v>
      </x:c>
      <x:c r="K41" s="17" t="n">
        <x:v>316091.5</x:v>
      </x:c>
      <x:c r="L41" s="17" t="n">
        <x:v>316091.5</x:v>
      </x:c>
      <x:c r="M41" s="17" t="n">
        <x:v>347443.5</x:v>
      </x:c>
      <x:c r="N41" s="14" t="str">
        <x:v>High Transaction; Recurring Transaction</x:v>
      </x:c>
      <x:c r="O41" s="14" t="str">
        <x:v>Yes</x:v>
      </x:c>
      <x:c r="P41" s="14" t="str">
        <x:v>PHONEPE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46124</x:v>
      </x:c>
    </x:row>
    <x:row r="42">
      <x:c r="A42" s="14" t="n">
        <x:v>150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46124</x:v>
      </x:c>
      <x:c r="F42" s="15" t="n">
        <x:v>46124</x:v>
      </x:c>
      <x:c r="G42" s="16" t="str">
        <x:v>EBANK:WIB/1503 EBANK:WIB/1503691094/Edfs</x:v>
      </x:c>
      <x:c r="H42" s="14" t="str"/>
      <x:c r="I42" s="14" t="str">
        <x:v>Payment</x:v>
      </x:c>
      <x:c r="J42" s="17" t="n">
        <x:v>521281.39</x:v>
      </x:c>
      <x:c r="K42" s="17" t="n">
        <x:v>0</x:v>
      </x:c>
      <x:c r="L42" s="17" t="n">
        <x:v>521281.39</x:v>
      </x:c>
      <x:c r="M42" s="17" t="n">
        <x:v>2500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46124</x:v>
      </x:c>
    </x:row>
    <x:row r="43">
      <x:c r="A43" s="14" t="n">
        <x:v>151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NEFT-YESAP61032531277-PhonePe Limited</x:v>
      </x:c>
      <x:c r="H43" s="14" t="str"/>
      <x:c r="I43" s="14" t="str">
        <x:v>Receipt</x:v>
      </x:c>
      <x:c r="J43" s="17" t="n">
        <x:v>0</x:v>
      </x:c>
      <x:c r="K43" s="17" t="n">
        <x:v>250095</x:v>
      </x:c>
      <x:c r="L43" s="17" t="n">
        <x:v>250095</x:v>
      </x:c>
      <x:c r="M43" s="17" t="n">
        <x:v>252595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158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NEFT-AXODH10395993542-GRISHMA METAL TECHNOLOGY</x:v>
      </x:c>
      <x:c r="H44" s="14" t="str"/>
      <x:c r="I44" s="14" t="str">
        <x:v>Receipt</x:v>
      </x:c>
      <x:c r="J44" s="17" t="n">
        <x:v>0</x:v>
      </x:c>
      <x:c r="K44" s="17" t="n">
        <x:v>124000</x:v>
      </x:c>
      <x:c r="L44" s="17" t="n">
        <x:v>124000</x:v>
      </x:c>
      <x:c r="M44" s="17" t="n">
        <x:v>507461.93</x:v>
      </x:c>
      <x:c r="N44" s="14" t="str">
        <x:v>High Transaction; Recurring Transaction</x:v>
      </x:c>
      <x:c r="O44" s="14" t="str">
        <x:v>Yes</x:v>
      </x:c>
      <x:c r="P44" s="14" t="str">
        <x:v>GRISHMA METAL TECHNOLOGY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161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NEFT-AXISCN1310059428-PINE LABS PRIVATE LIMITED-NO</x:v>
      </x:c>
      <x:c r="H45" s="14" t="str"/>
      <x:c r="I45" s="14" t="str">
        <x:v>Receipt</x:v>
      </x:c>
      <x:c r="J45" s="17" t="n">
        <x:v>0</x:v>
      </x:c>
      <x:c r="K45" s="17" t="n">
        <x:v>102789</x:v>
      </x:c>
      <x:c r="L45" s="17" t="n">
        <x:v>102789</x:v>
      </x:c>
      <x:c r="M45" s="17" t="n">
        <x:v>609211.93</x:v>
      </x:c>
      <x:c r="N45" s="14" t="str">
        <x:v>High Transaction; Recurring Transaction</x:v>
      </x:c>
      <x:c r="O45" s="14" t="str">
        <x:v>Yes</x:v>
      </x:c>
      <x:c r="P45" s="14" t="str">
        <x:v>PINE LABS PRIVATE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165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EBANK:WIB/1503777187/Edfs</x:v>
      </x:c>
      <x:c r="H46" s="14" t="str"/>
      <x:c r="I46" s="14" t="str">
        <x:v>Payment</x:v>
      </x:c>
      <x:c r="J46" s="17" t="n">
        <x:v>610444.28</x:v>
      </x:c>
      <x:c r="K46" s="17" t="n">
        <x:v>0</x:v>
      </x:c>
      <x:c r="L46" s="17" t="n">
        <x:v>610444.28</x:v>
      </x:c>
      <x:c r="M46" s="17" t="n">
        <x:v>2500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166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DIGITA-MUMBAI/ https://cbdrpt101.bankofbaroda.co.in:22000/finbranch/arjspmorph/INFENG/tran_rpt.jsp?... 04-05-2026 NEFT-HDFCH00930605811-Adekar enterprises pvt ltd</x:v>
      </x:c>
      <x:c r="H47" s="14" t="str"/>
      <x:c r="I47" s="14" t="str">
        <x:v>Receipt</x:v>
      </x:c>
      <x:c r="J47" s="17" t="n">
        <x:v>0</x:v>
      </x:c>
      <x:c r="K47" s="17" t="n">
        <x:v>128900</x:v>
      </x:c>
      <x:c r="L47" s="17" t="n">
        <x:v>128900</x:v>
      </x:c>
      <x:c r="M47" s="17" t="n">
        <x:v>131400</x:v>
      </x:c>
      <x:c r="N47" s="14" t="str">
        <x:v>High Transaction; Recurring Transaction</x:v>
      </x:c>
      <x:c r="O47" s="14" t="str">
        <x:v>Yes</x:v>
      </x:c>
      <x:c r="P47" s="14" t="str">
        <x:v>CBDRPTBANKOFBARODACOIN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169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48" s="14" t="str"/>
      <x:c r="I48" s="14" t="str">
        <x:v>Payment</x:v>
      </x:c>
      <x:c r="J48" s="17" t="n">
        <x:v>107993.78</x:v>
      </x:c>
      <x:c r="K48" s="17" t="n">
        <x:v>0</x:v>
      </x:c>
      <x:c r="L48" s="17" t="n">
        <x:v>107993.78</x:v>
      </x:c>
      <x:c r="M48" s="17" t="n">
        <x:v>40500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172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DIGITA-MUMBAI/ NEFT-HDFCH00932431931-KAVITA ENTERPRISES</x:v>
      </x:c>
      <x:c r="H49" s="14" t="str"/>
      <x:c r="I49" s="14" t="str">
        <x:v>Receipt</x:v>
      </x:c>
      <x:c r="J49" s="17" t="n">
        <x:v>0</x:v>
      </x:c>
      <x:c r="K49" s="17" t="n">
        <x:v>110336</x:v>
      </x:c>
      <x:c r="L49" s="17" t="n">
        <x:v>110336</x:v>
      </x:c>
      <x:c r="M49" s="17" t="n">
        <x:v>147179</x:v>
      </x:c>
      <x:c r="N49" s="14" t="str">
        <x:v>High Transaction; 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173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DIGITA-MUMBAI/ NEFT-YESAP61042581238-PhonePe Limited</x:v>
      </x:c>
      <x:c r="H50" s="14" t="str"/>
      <x:c r="I50" s="14" t="str">
        <x:v>Receipt</x:v>
      </x:c>
      <x:c r="J50" s="17" t="n">
        <x:v>0</x:v>
      </x:c>
      <x:c r="K50" s="17" t="n">
        <x:v>227801</x:v>
      </x:c>
      <x:c r="L50" s="17" t="n">
        <x:v>227801</x:v>
      </x:c>
      <x:c r="M50" s="17" t="n">
        <x:v>374980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176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EBANK:WIB/1503 EBANK:WIB/1503879023/Edfs</x:v>
      </x:c>
      <x:c r="H51" s="14" t="str"/>
      <x:c r="I51" s="14" t="str">
        <x:v>Payment</x:v>
      </x:c>
      <x:c r="J51" s="17" t="n">
        <x:v>421121.65</x:v>
      </x:c>
      <x:c r="K51" s="17" t="n">
        <x:v>0</x:v>
      </x:c>
      <x:c r="L51" s="17" t="n">
        <x:v>421121.65</x:v>
      </x:c>
      <x:c r="M51" s="17" t="n">
        <x:v>50500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</x:row>
    <x:row r="52">
      <x:c r="A52" s="14" t="n">
        <x:v>178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DIGITA-MUMBAI/ NEFT-AXISCN1310872121-PINE LABS PRIVATE LIMITED-NO</x:v>
      </x:c>
      <x:c r="H52" s="14" t="str"/>
      <x:c r="I52" s="14" t="str">
        <x:v>Receipt</x:v>
      </x:c>
      <x:c r="J52" s="17" t="n">
        <x:v>0</x:v>
      </x:c>
      <x:c r="K52" s="17" t="n">
        <x:v>181645</x:v>
      </x:c>
      <x:c r="L52" s="17" t="n">
        <x:v>181645</x:v>
      </x:c>
      <x:c r="M52" s="17" t="n">
        <x:v>230195</x:v>
      </x:c>
      <x:c r="N52" s="14" t="str">
        <x:v>High Transaction; 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181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EBANK:WIB/1504 EBANK:WIB/1504010401/Edfs</x:v>
      </x:c>
      <x:c r="H53" s="14" t="str"/>
      <x:c r="I53" s="14" t="str">
        <x:v>Payment</x:v>
      </x:c>
      <x:c r="J53" s="17" t="n">
        <x:v>240000</x:v>
      </x:c>
      <x:c r="K53" s="17" t="n">
        <x:v>0</x:v>
      </x:c>
      <x:c r="L53" s="17" t="n">
        <x:v>240000</x:v>
      </x:c>
      <x:c r="M53" s="17" t="n">
        <x:v>2325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182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DIGITA-MUMBAI/ NEFT-YESAP61053875611-PhonePe Limited</x:v>
      </x:c>
      <x:c r="H54" s="14" t="str"/>
      <x:c r="I54" s="14" t="str">
        <x:v>Receipt</x:v>
      </x:c>
      <x:c r="J54" s="17" t="n">
        <x:v>0</x:v>
      </x:c>
      <x:c r="K54" s="17" t="n">
        <x:v>289276.57</x:v>
      </x:c>
      <x:c r="L54" s="17" t="n">
        <x:v>289276.57</x:v>
      </x:c>
      <x:c r="M54" s="17" t="n">
        <x:v>291601.57</x:v>
      </x:c>
      <x:c r="N54" s="14" t="str">
        <x:v>High Transaction; 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183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DIGITA-MUMBAI/ NEFT-AXNPN10512169091-PHONEPE LIMITED-PAYMENT AGGR</x:v>
      </x:c>
      <x:c r="H55" s="14" t="str"/>
      <x:c r="I55" s="14" t="str">
        <x:v>Receipt</x:v>
      </x:c>
      <x:c r="J55" s="17" t="n">
        <x:v>0</x:v>
      </x:c>
      <x:c r="K55" s="17" t="n">
        <x:v>106410</x:v>
      </x:c>
      <x:c r="L55" s="17" t="n">
        <x:v>106410</x:v>
      </x:c>
      <x:c r="M55" s="17" t="n">
        <x:v>398011.57</x:v>
      </x:c>
      <x:c r="N55" s="14" t="str">
        <x:v>High Transaction; 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185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6" s="14" t="str"/>
      <x:c r="I56" s="14" t="str">
        <x:v>Payment</x:v>
      </x:c>
      <x:c r="J56" s="17" t="n">
        <x:v>401141.57</x:v>
      </x:c>
      <x:c r="K56" s="17" t="n">
        <x:v>0</x:v>
      </x:c>
      <x:c r="L56" s="17" t="n">
        <x:v>401141.57</x:v>
      </x:c>
      <x:c r="M56" s="17" t="n">
        <x:v>10500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191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EBANK:WIB/1504096201/Edfs</x:v>
      </x:c>
      <x:c r="H57" s="14" t="str"/>
      <x:c r="I57" s="14" t="str">
        <x:v>Payment</x:v>
      </x:c>
      <x:c r="J57" s="17" t="n">
        <x:v>125424</x:v>
      </x:c>
      <x:c r="K57" s="17" t="n">
        <x:v>0</x:v>
      </x:c>
      <x:c r="L57" s="17" t="n">
        <x:v>125424</x:v>
      </x:c>
      <x:c r="M57" s="17" t="n">
        <x:v>2500.8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200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46128</x:v>
      </x:c>
      <x:c r="F58" s="15" t="n">
        <x:v>46128</x:v>
      </x:c>
      <x:c r="G58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58" s="14" t="str"/>
      <x:c r="I58" s="14" t="str">
        <x:v>Receipt</x:v>
      </x:c>
      <x:c r="J58" s="17" t="n">
        <x:v>0</x:v>
      </x:c>
      <x:c r="K58" s="17" t="n">
        <x:v>239756</x:v>
      </x:c>
      <x:c r="L58" s="17" t="n">
        <x:v>239756</x:v>
      </x:c>
      <x:c r="M58" s="17" t="n">
        <x:v>242256</x:v>
      </x:c>
      <x:c r="N58" s="14" t="str">
        <x:v>High Transaction; 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46128</x:v>
      </x:c>
    </x:row>
    <x:row r="59">
      <x:c r="A59" s="14" t="n">
        <x:v>203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46128</x:v>
      </x:c>
      <x:c r="F59" s="15" t="n">
        <x:v>46128</x:v>
      </x:c>
      <x:c r="G59" s="16" t="str">
        <x:v>DIGITA-MUMBAI/ NEFT-AXISCN1312996692-PINE LABS PRIVATE LIMITED-NO</x:v>
      </x:c>
      <x:c r="H59" s="14" t="str"/>
      <x:c r="I59" s="14" t="str">
        <x:v>Receipt</x:v>
      </x:c>
      <x:c r="J59" s="17" t="n">
        <x:v>0</x:v>
      </x:c>
      <x:c r="K59" s="17" t="n">
        <x:v>250421</x:v>
      </x:c>
      <x:c r="L59" s="17" t="n">
        <x:v>250421</x:v>
      </x:c>
      <x:c r="M59" s="17" t="n">
        <x:v>568937.78</x:v>
      </x:c>
      <x:c r="N59" s="14" t="str">
        <x:v>High Transaction; 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46128</x:v>
      </x:c>
    </x:row>
    <x:row r="60">
      <x:c r="A60" s="14" t="n">
        <x:v>205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RTGS-UBINR2202 RTGS-UBINR22026041601283543-SAPNA BUILDING MATERIA</x:v>
      </x:c>
      <x:c r="H60" s="14" t="str"/>
      <x:c r="I60" s="14" t="str">
        <x:v>Receipt</x:v>
      </x:c>
      <x:c r="J60" s="17" t="n">
        <x:v>0</x:v>
      </x:c>
      <x:c r="K60" s="17" t="n">
        <x:v>200000</x:v>
      </x:c>
      <x:c r="L60" s="17" t="n">
        <x:v>200000</x:v>
      </x:c>
      <x:c r="M60" s="17" t="n">
        <x:v>834958.78</x:v>
      </x:c>
      <x:c r="N60" s="14" t="str">
        <x:v>High Transaction</x:v>
      </x:c>
      <x:c r="O60" s="14" t="str">
        <x:v>No</x:v>
      </x:c>
      <x:c r="P60" s="14" t="str">
        <x:v>UBINR RTGS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</x:row>
    <x:row r="61">
      <x:c r="A61" s="14" t="n">
        <x:v>208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EBANK:WIB/1504 EBANK:WIB/1504268202/Edfs</x:v>
      </x:c>
      <x:c r="H61" s="14" t="str"/>
      <x:c r="I61" s="14" t="str">
        <x:v>Payment</x:v>
      </x:c>
      <x:c r="J61" s="17" t="n">
        <x:v>898173.78</x:v>
      </x:c>
      <x:c r="K61" s="17" t="n">
        <x:v>0</x:v>
      </x:c>
      <x:c r="L61" s="17" t="n">
        <x:v>898173.78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</x:row>
    <x:row r="62">
      <x:c r="A62" s="14" t="n">
        <x:v>210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46129</x:v>
      </x:c>
      <x:c r="F62" s="15" t="n">
        <x:v>46129</x:v>
      </x:c>
      <x:c r="G62" s="16" t="str">
        <x:v>DIGITA-MUMBAI/ NEFT-YESAP61072570192-PhonePe Limited</x:v>
      </x:c>
      <x:c r="H62" s="14" t="str"/>
      <x:c r="I62" s="14" t="str">
        <x:v>Receipt</x:v>
      </x:c>
      <x:c r="J62" s="17" t="n">
        <x:v>0</x:v>
      </x:c>
      <x:c r="K62" s="17" t="n">
        <x:v>249326.76</x:v>
      </x:c>
      <x:c r="L62" s="17" t="n">
        <x:v>249326.76</x:v>
      </x:c>
      <x:c r="M62" s="17" t="n">
        <x:v>258076.76</x:v>
      </x:c>
      <x:c r="N62" s="14" t="str">
        <x:v>High Transaction; Recurring Transaction</x:v>
      </x:c>
      <x:c r="O62" s="14" t="str">
        <x:v>Yes</x:v>
      </x:c>
      <x:c r="P62" s="14" t="str">
        <x:v>PHONEPE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46129</x:v>
      </x:c>
    </x:row>
    <x:row r="63">
      <x:c r="A63" s="14" t="n">
        <x:v>212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Payment</x:v>
      </x:c>
      <x:c r="J63" s="17" t="n">
        <x:v>328514.76</x:v>
      </x:c>
      <x:c r="K63" s="17" t="n">
        <x:v>0</x:v>
      </x:c>
      <x:c r="L63" s="17" t="n">
        <x:v>328514.76</x:v>
      </x:c>
      <x:c r="M63" s="17" t="n">
        <x:v>2500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</x:row>
    <x:row r="64">
      <x:c r="A64" s="14" t="n">
        <x:v>217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EBANK:WIB/1504 EBANK:WIB/1504424773/Edfs</x:v>
      </x:c>
      <x:c r="H64" s="14" t="str"/>
      <x:c r="I64" s="14" t="str">
        <x:v>Payment</x:v>
      </x:c>
      <x:c r="J64" s="17" t="n">
        <x:v>150000</x:v>
      </x:c>
      <x:c r="K64" s="17" t="n">
        <x:v>0</x:v>
      </x:c>
      <x:c r="L64" s="17" t="n">
        <x:v>150000</x:v>
      </x:c>
      <x:c r="M64" s="17" t="n">
        <x:v>5268</x:v>
      </x:c>
      <x:c r="N64" s="14" t="str">
        <x:v>High Transaction; 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</x:row>
    <x:row r="65">
      <x:c r="A65" s="14" t="n">
        <x:v>220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46130</x:v>
      </x:c>
      <x:c r="F65" s="15" t="n">
        <x:v>46130</x:v>
      </x:c>
      <x:c r="G65" s="16" t="str">
        <x:v>DIGITA-MUMBAI/ NEFT-YESAP61082703898-PhonePe Limited</x:v>
      </x:c>
      <x:c r="H65" s="14" t="str"/>
      <x:c r="I65" s="14" t="str">
        <x:v>Receipt</x:v>
      </x:c>
      <x:c r="J65" s="17" t="n">
        <x:v>0</x:v>
      </x:c>
      <x:c r="K65" s="17" t="n">
        <x:v>219193</x:v>
      </x:c>
      <x:c r="L65" s="17" t="n">
        <x:v>219193</x:v>
      </x:c>
      <x:c r="M65" s="17" t="n">
        <x:v>283765</x:v>
      </x:c>
      <x:c r="N65" s="14" t="str">
        <x:v>High Transaction; Recurring Transaction</x:v>
      </x:c>
      <x:c r="O65" s="14" t="str">
        <x:v>Yes</x:v>
      </x:c>
      <x:c r="P65" s="14" t="str">
        <x:v>PHONEPE LIMITED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46130</x:v>
      </x:c>
    </x:row>
    <x:row r="66">
      <x:c r="A66" s="14" t="n">
        <x:v>227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EBANK:WIB/1504 EBANK:WIB/1504650433/Edfs</x:v>
      </x:c>
      <x:c r="H66" s="14" t="str"/>
      <x:c r="I66" s="14" t="str">
        <x:v>Payment</x:v>
      </x:c>
      <x:c r="J66" s="17" t="n">
        <x:v>480667.28</x:v>
      </x:c>
      <x:c r="K66" s="17" t="n">
        <x:v>0</x:v>
      </x:c>
      <x:c r="L66" s="17" t="n">
        <x:v>480667.28</x:v>
      </x:c>
      <x:c r="M66" s="17" t="n">
        <x:v>2500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</x:row>
    <x:row r="67">
      <x:c r="A67" s="14" t="n">
        <x:v>229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46131</x:v>
      </x:c>
      <x:c r="F67" s="15" t="n">
        <x:v>46131</x:v>
      </x:c>
      <x:c r="G67" s="16" t="str">
        <x:v>DIGITA-MUMBAI/ NEFT-YESAP61090338379-PhonePe Limited https://cbdrpt101.bankofbaroda.co.in:22000/finbranch/arjspmorph/INFENG/tran_rpt.jsp?... 04-05-2026</x:v>
      </x:c>
      <x:c r="H67" s="14" t="str"/>
      <x:c r="I67" s="14" t="str">
        <x:v>Receipt</x:v>
      </x:c>
      <x:c r="J67" s="17" t="n">
        <x:v>0</x:v>
      </x:c>
      <x:c r="K67" s="17" t="n">
        <x:v>218422</x:v>
      </x:c>
      <x:c r="L67" s="17" t="n">
        <x:v>218422</x:v>
      </x:c>
      <x:c r="M67" s="17" t="n">
        <x:v>287433</x:v>
      </x:c>
      <x:c r="N67" s="14" t="str">
        <x:v>High Transaction</x:v>
      </x:c>
      <x:c r="O67" s="14" t="str">
        <x:v>No</x:v>
      </x:c>
      <x:c r="P67" s="14" t="str">
        <x:v>PHONEPE LIMITED HTTPS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46131</x:v>
      </x:c>
    </x:row>
    <x:row r="68">
      <x:c r="A68" s="14" t="n">
        <x:v>231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46131</x:v>
      </x:c>
      <x:c r="F68" s="15" t="n">
        <x:v>46131</x:v>
      </x:c>
      <x:c r="G68" s="16" t="str">
        <x:v>EBANK:WIB/1504 EBANK:WIB/1504657570/Edfs</x:v>
      </x:c>
      <x:c r="H68" s="14" t="str"/>
      <x:c r="I68" s="14" t="str">
        <x:v>Payment</x:v>
      </x:c>
      <x:c r="J68" s="17" t="n">
        <x:v>259433</x:v>
      </x:c>
      <x:c r="K68" s="17" t="n">
        <x:v>0</x:v>
      </x:c>
      <x:c r="L68" s="17" t="n">
        <x:v>259433</x:v>
      </x:c>
      <x:c r="M68" s="17" t="n">
        <x:v>30500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46131</x:v>
      </x:c>
    </x:row>
    <x:row r="69">
      <x:c r="A69" s="14" t="n">
        <x:v>238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EBANK:WIB/1504707135/Edfs</x:v>
      </x:c>
      <x:c r="H69" s="14" t="str"/>
      <x:c r="I69" s="14" t="str">
        <x:v>Payment</x:v>
      </x:c>
      <x:c r="J69" s="17" t="n">
        <x:v>211310.53</x:v>
      </x:c>
      <x:c r="K69" s="17" t="n">
        <x:v>0</x:v>
      </x:c>
      <x:c r="L69" s="17" t="n">
        <x:v>211310.53</x:v>
      </x:c>
      <x:c r="M69" s="17" t="n">
        <x:v>2500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</x:row>
    <x:row r="70">
      <x:c r="A70" s="14" t="n">
        <x:v>239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46132</x:v>
      </x:c>
      <x:c r="F70" s="15" t="n">
        <x:v>46132</x:v>
      </x:c>
      <x:c r="G70" s="16" t="str">
        <x:v>DIGITA-MUMBAI/ NEFT-YESAP61103651332-PhonePe Limited</x:v>
      </x:c>
      <x:c r="H70" s="14" t="str"/>
      <x:c r="I70" s="14" t="str">
        <x:v>Receipt</x:v>
      </x:c>
      <x:c r="J70" s="17" t="n">
        <x:v>0</x:v>
      </x:c>
      <x:c r="K70" s="17" t="n">
        <x:v>174695.6</x:v>
      </x:c>
      <x:c r="L70" s="17" t="n">
        <x:v>174695.6</x:v>
      </x:c>
      <x:c r="M70" s="17" t="n">
        <x:v>177195.6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46132</x:v>
      </x:c>
    </x:row>
    <x:row r="71">
      <x:c r="A71" s="14" t="n">
        <x:v>241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46132</x:v>
      </x:c>
      <x:c r="F71" s="15" t="n">
        <x:v>46132</x:v>
      </x:c>
      <x:c r="G71" s="16" t="str">
        <x:v>EBANK:WIB/1504 EBANK:WIB/1504717278/Edfs</x:v>
      </x:c>
      <x:c r="H71" s="14" t="str"/>
      <x:c r="I71" s="14" t="str">
        <x:v>Payment</x:v>
      </x:c>
      <x:c r="J71" s="17" t="n">
        <x:v>260572.52</x:v>
      </x:c>
      <x:c r="K71" s="17" t="n">
        <x:v>0</x:v>
      </x:c>
      <x:c r="L71" s="17" t="n">
        <x:v>260572.52</x:v>
      </x:c>
      <x:c r="M71" s="17" t="n">
        <x:v>3500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46132</x:v>
      </x:c>
    </x:row>
    <x:row r="72">
      <x:c r="A72" s="14" t="n">
        <x:v>250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DIGITA-MUMBAI/ NEFT-IN42611050112752-JERAI FITNESS LIMITED</x:v>
      </x:c>
      <x:c r="H72" s="14" t="str"/>
      <x:c r="I72" s="14" t="str">
        <x:v>Receipt</x:v>
      </x:c>
      <x:c r="J72" s="17" t="n">
        <x:v>0</x:v>
      </x:c>
      <x:c r="K72" s="17" t="n">
        <x:v>163337</x:v>
      </x:c>
      <x:c r="L72" s="17" t="n">
        <x:v>163337</x:v>
      </x:c>
      <x:c r="M72" s="17" t="n">
        <x:v>289584.78</x:v>
      </x:c>
      <x:c r="N72" s="14" t="str">
        <x:v>High Transaction; Recurring Transaction</x:v>
      </x:c>
      <x:c r="O72" s="14" t="str">
        <x:v>Yes</x:v>
      </x:c>
      <x:c r="P72" s="14" t="str">
        <x:v>JERAI FITNESS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</x:row>
    <x:row r="73">
      <x:c r="A73" s="14" t="n">
        <x:v>251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EBANK:WIB/1504 EBANK:WIB/1504868004/Edfs</x:v>
      </x:c>
      <x:c r="H73" s="14" t="str"/>
      <x:c r="I73" s="14" t="str">
        <x:v>Payment</x:v>
      </x:c>
      <x:c r="J73" s="17" t="n">
        <x:v>287084.78</x:v>
      </x:c>
      <x:c r="K73" s="17" t="n">
        <x:v>0</x:v>
      </x:c>
      <x:c r="L73" s="17" t="n">
        <x:v>287084.78</x:v>
      </x:c>
      <x:c r="M73" s="17" t="n">
        <x:v>2500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</x:row>
    <x:row r="74">
      <x:c r="A74" s="14" t="n">
        <x:v>253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46133</x:v>
      </x:c>
      <x:c r="F74" s="15" t="n">
        <x:v>46133</x:v>
      </x:c>
      <x:c r="G74" s="16" t="str">
        <x:v>DIGITA-MUMBAI/ NEFT-YESAP61112557088-PhonePe Limited</x:v>
      </x:c>
      <x:c r="H74" s="14" t="str"/>
      <x:c r="I74" s="14" t="str">
        <x:v>Receipt</x:v>
      </x:c>
      <x:c r="J74" s="17" t="n">
        <x:v>0</x:v>
      </x:c>
      <x:c r="K74" s="17" t="n">
        <x:v>252575.92</x:v>
      </x:c>
      <x:c r="L74" s="17" t="n">
        <x:v>252575.92</x:v>
      </x:c>
      <x:c r="M74" s="17" t="n">
        <x:v>265075.92</x:v>
      </x:c>
      <x:c r="N74" s="14" t="str">
        <x:v>High Transaction; 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46133</x:v>
      </x:c>
    </x:row>
    <x:row r="75">
      <x:c r="A75" s="14" t="n">
        <x:v>255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46133</x:v>
      </x:c>
      <x:c r="F75" s="15" t="n">
        <x:v>46133</x:v>
      </x:c>
      <x:c r="G75" s="16" t="str">
        <x:v>EBANK:WIB/1504 EBANK:WIB/1504892301/Edfs</x:v>
      </x:c>
      <x:c r="H75" s="14" t="str"/>
      <x:c r="I75" s="14" t="str">
        <x:v>Payment</x:v>
      </x:c>
      <x:c r="J75" s="17" t="n">
        <x:v>333445.92</x:v>
      </x:c>
      <x:c r="K75" s="17" t="n">
        <x:v>0</x:v>
      </x:c>
      <x:c r="L75" s="17" t="n">
        <x:v>333445.92</x:v>
      </x:c>
      <x:c r="M75" s="17" t="n">
        <x:v>2500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46133</x:v>
      </x:c>
    </x:row>
    <x:row r="76">
      <x:c r="A76" s="14" t="n">
        <x:v>263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76" s="14" t="str"/>
      <x:c r="I76" s="14" t="str">
        <x:v>Payment</x:v>
      </x:c>
      <x:c r="J76" s="17" t="n">
        <x:v>108963.7</x:v>
      </x:c>
      <x:c r="K76" s="17" t="n">
        <x:v>0</x:v>
      </x:c>
      <x:c r="L76" s="17" t="n">
        <x:v>108963.7</x:v>
      </x:c>
      <x:c r="M76" s="17" t="n">
        <x:v>2500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</x:row>
    <x:row r="77">
      <x:c r="A77" s="14" t="n">
        <x:v>265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46134</x:v>
      </x:c>
      <x:c r="F77" s="15" t="n">
        <x:v>46134</x:v>
      </x:c>
      <x:c r="G77" s="16" t="str">
        <x:v>DIGITA-MUMBAI/ NEFT-YESAP61123591632-PhonePe Limited</x:v>
      </x:c>
      <x:c r="H77" s="14" t="str"/>
      <x:c r="I77" s="14" t="str">
        <x:v>Receipt</x:v>
      </x:c>
      <x:c r="J77" s="17" t="n">
        <x:v>0</x:v>
      </x:c>
      <x:c r="K77" s="17" t="n">
        <x:v>195840</x:v>
      </x:c>
      <x:c r="L77" s="17" t="n">
        <x:v>195840</x:v>
      </x:c>
      <x:c r="M77" s="17" t="n">
        <x:v>203340</x:v>
      </x:c>
      <x:c r="N77" s="14" t="str">
        <x:v>High Transaction; Recurring Transaction</x:v>
      </x:c>
      <x:c r="O77" s="14" t="str">
        <x:v>Yes</x:v>
      </x:c>
      <x:c r="P77" s="14" t="str">
        <x:v>PHONEPE LIMITED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46134</x:v>
      </x:c>
    </x:row>
    <x:row r="78">
      <x:c r="A78" s="14" t="n">
        <x:v>268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46134</x:v>
      </x:c>
      <x:c r="F78" s="15" t="n">
        <x:v>46134</x:v>
      </x:c>
      <x:c r="G78" s="16" t="str">
        <x:v>EBANK:WIB/1505 EBANK:WIB/1505048812/Edfs</x:v>
      </x:c>
      <x:c r="H78" s="14" t="str"/>
      <x:c r="I78" s="14" t="str">
        <x:v>Payment</x:v>
      </x:c>
      <x:c r="J78" s="17" t="n">
        <x:v>259307.24</x:v>
      </x:c>
      <x:c r="K78" s="17" t="n">
        <x:v>0</x:v>
      </x:c>
      <x:c r="L78" s="17" t="n">
        <x:v>259307.24</x:v>
      </x:c>
      <x:c r="M78" s="17" t="n">
        <x:v>20500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46134</x:v>
      </x:c>
    </x:row>
    <x:row r="79">
      <x:c r="A79" s="14" t="n">
        <x:v>272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46134</x:v>
      </x:c>
      <x:c r="F79" s="15" t="n">
        <x:v>46134</x:v>
      </x:c>
      <x:c r="G79" s="16" t="str">
        <x:v>DIGITA-MUMBAI/ NEFT-CNRBH00126857051-M S COLLEGE OF PHARMACY</x:v>
      </x:c>
      <x:c r="H79" s="14" t="str"/>
      <x:c r="I79" s="14" t="str">
        <x:v>Receipt</x:v>
      </x:c>
      <x:c r="J79" s="17" t="n">
        <x:v>0</x:v>
      </x:c>
      <x:c r="K79" s="17" t="n">
        <x:v>100000</x:v>
      </x:c>
      <x:c r="L79" s="17" t="n">
        <x:v>100000</x:v>
      </x:c>
      <x:c r="M79" s="17" t="n">
        <x:v>216698</x:v>
      </x:c>
      <x:c r="N79" s="14" t="str">
        <x:v>High Transaction</x:v>
      </x:c>
      <x:c r="O79" s="14" t="str">
        <x:v>No</x:v>
      </x:c>
      <x:c r="P79" s="14" t="str">
        <x:v>M S COLLEGE OF PHARMACY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46134</x:v>
      </x:c>
    </x:row>
    <x:row r="80">
      <x:c r="A80" s="14" t="n">
        <x:v>277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EBANK:WIB/1505 EBANK:WIB/1505171210/Edfs</x:v>
      </x:c>
      <x:c r="H80" s="14" t="str"/>
      <x:c r="I80" s="14" t="str">
        <x:v>Payment</x:v>
      </x:c>
      <x:c r="J80" s="17" t="n">
        <x:v>356256.8</x:v>
      </x:c>
      <x:c r="K80" s="17" t="n">
        <x:v>0</x:v>
      </x:c>
      <x:c r="L80" s="17" t="n">
        <x:v>356256.8</x:v>
      </x:c>
      <x:c r="M80" s="17" t="n">
        <x:v>2500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</x:row>
    <x:row r="81">
      <x:c r="A81" s="14" t="n">
        <x:v>280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46135</x:v>
      </x:c>
      <x:c r="F81" s="15" t="n">
        <x:v>46135</x:v>
      </x:c>
      <x:c r="G81" s="16" t="str">
        <x:v>DIGITA-MUMBAI/ NEFT-YESAP61133866852-PhonePe Limited</x:v>
      </x:c>
      <x:c r="H81" s="14" t="str"/>
      <x:c r="I81" s="14" t="str">
        <x:v>Receipt</x:v>
      </x:c>
      <x:c r="J81" s="17" t="n">
        <x:v>0</x:v>
      </x:c>
      <x:c r="K81" s="17" t="n">
        <x:v>224683</x:v>
      </x:c>
      <x:c r="L81" s="17" t="n">
        <x:v>224683</x:v>
      </x:c>
      <x:c r="M81" s="17" t="n">
        <x:v>227183</x:v>
      </x:c>
      <x:c r="N81" s="14" t="str">
        <x:v>High Transaction; Recurring Transaction</x:v>
      </x:c>
      <x:c r="O81" s="14" t="str">
        <x:v>Yes</x:v>
      </x:c>
      <x:c r="P81" s="14" t="str">
        <x:v>PHONEPE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46135</x:v>
      </x:c>
    </x:row>
    <x:row r="82">
      <x:c r="A82" s="14" t="n">
        <x:v>281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46135</x:v>
      </x:c>
      <x:c r="F82" s="15" t="n">
        <x:v>46135</x:v>
      </x:c>
      <x:c r="G82" s="16" t="str">
        <x:v>EBANK:WIB/1505 EBANK:WIB/1505193929/Edfs</x:v>
      </x:c>
      <x:c r="H82" s="14" t="str"/>
      <x:c r="I82" s="14" t="str">
        <x:v>Payment</x:v>
      </x:c>
      <x:c r="J82" s="17" t="n">
        <x:v>224683</x:v>
      </x:c>
      <x:c r="K82" s="17" t="n">
        <x:v>0</x:v>
      </x:c>
      <x:c r="L82" s="17" t="n">
        <x:v>224683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46135</x:v>
      </x:c>
    </x:row>
    <x:row r="83">
      <x:c r="A83" s="14" t="n">
        <x:v>285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46135</x:v>
      </x:c>
      <x:c r="F83" s="15" t="n">
        <x:v>46135</x:v>
      </x:c>
      <x:c r="G83" s="16" t="str">
        <x:v>DIGITA-MUMBAI/ NEFT-AXISCN1322079433-PINE LABS PRIVATE LIMITED-NO</x:v>
      </x:c>
      <x:c r="H83" s="14" t="str"/>
      <x:c r="I83" s="14" t="str">
        <x:v>Receipt</x:v>
      </x:c>
      <x:c r="J83" s="17" t="n">
        <x:v>0</x:v>
      </x:c>
      <x:c r="K83" s="17" t="n">
        <x:v>214974</x:v>
      </x:c>
      <x:c r="L83" s="17" t="n">
        <x:v>214974</x:v>
      </x:c>
      <x:c r="M83" s="17" t="n">
        <x:v>226804</x:v>
      </x:c>
      <x:c r="N83" s="14" t="str">
        <x:v>High Transaction; Recurring Transaction</x:v>
      </x:c>
      <x:c r="O83" s="14" t="str">
        <x:v>Yes</x:v>
      </x:c>
      <x:c r="P83" s="14" t="str">
        <x:v>PINE LABS PRIVATE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46135</x:v>
      </x:c>
    </x:row>
    <x:row r="84">
      <x:c r="A84" s="14" t="n">
        <x:v>287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46135</x:v>
      </x:c>
      <x:c r="F84" s="15" t="n">
        <x:v>46135</x:v>
      </x:c>
      <x:c r="G84" s="16" t="str">
        <x:v>EBANK:WIB/1505 EBANK:WIB/1505205959/Edfs</x:v>
      </x:c>
      <x:c r="H84" s="14" t="str"/>
      <x:c r="I84" s="14" t="str">
        <x:v>Payment</x:v>
      </x:c>
      <x:c r="J84" s="17" t="n">
        <x:v>269000</x:v>
      </x:c>
      <x:c r="K84" s="17" t="n">
        <x:v>0</x:v>
      </x:c>
      <x:c r="L84" s="17" t="n">
        <x:v>269000</x:v>
      </x:c>
      <x:c r="M84" s="17" t="n">
        <x:v>3024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46135</x:v>
      </x:c>
    </x:row>
    <x:row r="85">
      <x:c r="A85" s="14" t="n">
        <x:v>290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46135</x:v>
      </x:c>
      <x:c r="F85" s="15" t="n">
        <x:v>46135</x:v>
      </x:c>
      <x:c r="G85" s="16" t="str">
        <x:v>DIGITA-MUMBAI/ NEFT-AXODH11383366299-GRISHMA METAL TECHNOLOGY</x:v>
      </x:c>
      <x:c r="H85" s="14" t="str"/>
      <x:c r="I85" s="14" t="str">
        <x:v>Receipt</x:v>
      </x:c>
      <x:c r="J85" s="17" t="n">
        <x:v>0</x:v>
      </x:c>
      <x:c r="K85" s="17" t="n">
        <x:v>124000</x:v>
      </x:c>
      <x:c r="L85" s="17" t="n">
        <x:v>124000</x:v>
      </x:c>
      <x:c r="M85" s="17" t="n">
        <x:v>126021.35</x:v>
      </x:c>
      <x:c r="N85" s="14" t="str">
        <x:v>High Transaction; Recurring Transaction</x:v>
      </x:c>
      <x:c r="O85" s="14" t="str">
        <x:v>Yes</x:v>
      </x:c>
      <x:c r="P85" s="14" t="str">
        <x:v>GRISHMA METAL TECHNOLOGY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46135</x:v>
      </x:c>
    </x:row>
    <x:row r="86">
      <x:c r="A86" s="14" t="n">
        <x:v>296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46135</x:v>
      </x:c>
      <x:c r="F86" s="15" t="n">
        <x:v>46135</x:v>
      </x:c>
      <x:c r="G86" s="16" t="str">
        <x:v>EBANK:WIB/1505 EBANK:WIB/1505315722/Edfs</x:v>
      </x:c>
      <x:c r="H86" s="14" t="str"/>
      <x:c r="I86" s="14" t="str">
        <x:v>Payment</x:v>
      </x:c>
      <x:c r="J86" s="17" t="n">
        <x:v>222635.35</x:v>
      </x:c>
      <x:c r="K86" s="17" t="n">
        <x:v>0</x:v>
      </x:c>
      <x:c r="L86" s="17" t="n">
        <x:v>222635.35</x:v>
      </x:c>
      <x:c r="M86" s="17" t="n">
        <x:v>2500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46135</x:v>
      </x:c>
    </x:row>
    <x:row r="87">
      <x:c r="A87" s="14" t="n">
        <x:v>297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46136</x:v>
      </x:c>
      <x:c r="F87" s="15" t="n">
        <x:v>46136</x:v>
      </x:c>
      <x:c r="G87" s="16" t="str">
        <x:v>DIGITA-MUMBAI/ NEFT-YESAP61143829163-PhonePe Limited</x:v>
      </x:c>
      <x:c r="H87" s="14" t="str"/>
      <x:c r="I87" s="14" t="str">
        <x:v>Receipt</x:v>
      </x:c>
      <x:c r="J87" s="17" t="n">
        <x:v>0</x:v>
      </x:c>
      <x:c r="K87" s="17" t="n">
        <x:v>234281</x:v>
      </x:c>
      <x:c r="L87" s="17" t="n">
        <x:v>234281</x:v>
      </x:c>
      <x:c r="M87" s="17" t="n">
        <x:v>236781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46136</x:v>
      </x:c>
    </x:row>
    <x:row r="88">
      <x:c r="A88" s="14" t="n">
        <x:v>301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46136</x:v>
      </x:c>
      <x:c r="F88" s="15" t="n">
        <x:v>46136</x:v>
      </x:c>
      <x:c r="G88" s="16" t="str">
        <x:v>EBANK:WIB/1505 EBANK:WIB/1505337172/Edfs</x:v>
      </x:c>
      <x:c r="H88" s="14" t="str"/>
      <x:c r="I88" s="14" t="str">
        <x:v>Payment</x:v>
      </x:c>
      <x:c r="J88" s="17" t="n">
        <x:v>400403</x:v>
      </x:c>
      <x:c r="K88" s="17" t="n">
        <x:v>0</x:v>
      </x:c>
      <x:c r="L88" s="17" t="n">
        <x:v>400403</x:v>
      </x:c>
      <x:c r="M88" s="17" t="n">
        <x:v>11500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46136</x:v>
      </x:c>
    </x:row>
    <x:row r="89">
      <x:c r="A89" s="14" t="n">
        <x:v>308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46136</x:v>
      </x:c>
      <x:c r="F89" s="15" t="n">
        <x:v>46136</x:v>
      </x:c>
      <x:c r="G89" s="16" t="str">
        <x:v>EBANK:WIB/1505 EBANK:WIB/1505452714/Edfs</x:v>
      </x:c>
      <x:c r="H89" s="14" t="str"/>
      <x:c r="I89" s="14" t="str">
        <x:v>Payment</x:v>
      </x:c>
      <x:c r="J89" s="17" t="n">
        <x:v>115069</x:v>
      </x:c>
      <x:c r="K89" s="17" t="n">
        <x:v>0</x:v>
      </x:c>
      <x:c r="L89" s="17" t="n">
        <x:v>115069</x:v>
      </x:c>
      <x:c r="M89" s="17" t="n">
        <x:v>2500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46136</x:v>
      </x:c>
    </x:row>
    <x:row r="90">
      <x:c r="A90" s="14" t="n">
        <x:v>309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46137</x:v>
      </x:c>
      <x:c r="F90" s="15" t="n">
        <x:v>46137</x:v>
      </x:c>
      <x:c r="G90" s="16" t="str">
        <x:v>DIGITA-MUMBAI/ NEFT-YESAP61152331743-PhonePe Limited</x:v>
      </x:c>
      <x:c r="H90" s="14" t="str"/>
      <x:c r="I90" s="14" t="str">
        <x:v>Receipt</x:v>
      </x:c>
      <x:c r="J90" s="17" t="n">
        <x:v>0</x:v>
      </x:c>
      <x:c r="K90" s="17" t="n">
        <x:v>273418</x:v>
      </x:c>
      <x:c r="L90" s="17" t="n">
        <x:v>273418</x:v>
      </x:c>
      <x:c r="M90" s="17" t="n">
        <x:v>275918</x:v>
      </x:c>
      <x:c r="N90" s="14" t="str">
        <x:v>High Transaction; Recurring Transaction</x:v>
      </x:c>
      <x:c r="O90" s="14" t="str">
        <x:v>Yes</x:v>
      </x:c>
      <x:c r="P90" s="14" t="str">
        <x:v>PHONEPE LIMITED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46137</x:v>
      </x:c>
    </x:row>
    <x:row r="91">
      <x:c r="A91" s="14" t="n">
        <x:v>310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46137</x:v>
      </x:c>
      <x:c r="F91" s="15" t="n">
        <x:v>46137</x:v>
      </x:c>
      <x:c r="G9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1" s="14" t="str"/>
      <x:c r="I91" s="14" t="str">
        <x:v>Payment</x:v>
      </x:c>
      <x:c r="J91" s="17" t="n">
        <x:v>273418</x:v>
      </x:c>
      <x:c r="K91" s="17" t="n">
        <x:v>0</x:v>
      </x:c>
      <x:c r="L91" s="17" t="n">
        <x:v>273418</x:v>
      </x:c>
      <x:c r="M91" s="17" t="n">
        <x:v>2500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46137</x:v>
      </x:c>
    </x:row>
    <x:row r="92">
      <x:c r="A92" s="14" t="n">
        <x:v>318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46137</x:v>
      </x:c>
      <x:c r="F92" s="15" t="n">
        <x:v>46137</x:v>
      </x:c>
      <x:c r="G92" s="16" t="str">
        <x:v>DIGITA-MUMBAI/ IMPS/P2A/611513033420/VILLAGE STONE L/Diesel paym</x:v>
      </x:c>
      <x:c r="H92" s="14" t="str"/>
      <x:c r="I92" s="14" t="str">
        <x:v>Receipt</x:v>
      </x:c>
      <x:c r="J92" s="17" t="n">
        <x:v>0</x:v>
      </x:c>
      <x:c r="K92" s="17" t="n">
        <x:v>100000</x:v>
      </x:c>
      <x:c r="L92" s="17" t="n">
        <x:v>100000</x:v>
      </x:c>
      <x:c r="M92" s="17" t="n">
        <x:v>138944.05</x:v>
      </x:c>
      <x:c r="N92" s="14" t="str">
        <x:v>High Transaction; Recurring Transaction</x:v>
      </x:c>
      <x:c r="O92" s="14" t="str">
        <x:v>Yes</x:v>
      </x:c>
      <x:c r="P92" s="14" t="str">
        <x:v>VILLAGE STONE 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46137</x:v>
      </x:c>
    </x:row>
    <x:row r="93">
      <x:c r="A93" s="14" t="n">
        <x:v>322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46137</x:v>
      </x:c>
      <x:c r="F93" s="15" t="n">
        <x:v>46137</x:v>
      </x:c>
      <x:c r="G93" s="16" t="str">
        <x:v>EBANK:WIB/1505 EBANK:WIB/1505585919/Edfs</x:v>
      </x:c>
      <x:c r="H93" s="14" t="str"/>
      <x:c r="I93" s="14" t="str">
        <x:v>Payment</x:v>
      </x:c>
      <x:c r="J93" s="17" t="n">
        <x:v>172247.15</x:v>
      </x:c>
      <x:c r="K93" s="17" t="n">
        <x:v>0</x:v>
      </x:c>
      <x:c r="L93" s="17" t="n">
        <x:v>172247.15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46137</x:v>
      </x:c>
    </x:row>
    <x:row r="94">
      <x:c r="A94" s="14" t="n">
        <x:v>323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46138</x:v>
      </x:c>
      <x:c r="F94" s="15" t="n">
        <x:v>46138</x:v>
      </x:c>
      <x:c r="G94" s="16" t="str">
        <x:v>DIGITA-MUMBAI/ NEFT-YESAP61163896825-PhonePe Limited</x:v>
      </x:c>
      <x:c r="H94" s="14" t="str"/>
      <x:c r="I94" s="14" t="str">
        <x:v>Receipt</x:v>
      </x:c>
      <x:c r="J94" s="17" t="n">
        <x:v>0</x:v>
      </x:c>
      <x:c r="K94" s="17" t="n">
        <x:v>244934</x:v>
      </x:c>
      <x:c r="L94" s="17" t="n">
        <x:v>244934</x:v>
      </x:c>
      <x:c r="M94" s="17" t="n">
        <x:v>247434</x:v>
      </x:c>
      <x:c r="N94" s="14" t="str">
        <x:v>High Transaction; Recurring Transaction</x:v>
      </x:c>
      <x:c r="O94" s="14" t="str">
        <x:v>Yes</x:v>
      </x:c>
      <x:c r="P94" s="14" t="str">
        <x:v>PHONEPE LIMITED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46138</x:v>
      </x:c>
    </x:row>
    <x:row r="95">
      <x:c r="A95" s="14" t="n">
        <x:v>324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46138</x:v>
      </x:c>
      <x:c r="F95" s="15" t="n">
        <x:v>46138</x:v>
      </x:c>
      <x:c r="G95" s="16" t="str">
        <x:v>DIGITA-MUMBAI/ NEFT-AXNPN11607066053-PHONEPE LIMITED-PAYMENT AGGR</x:v>
      </x:c>
      <x:c r="H95" s="14" t="str"/>
      <x:c r="I95" s="14" t="str">
        <x:v>Receipt</x:v>
      </x:c>
      <x:c r="J95" s="17" t="n">
        <x:v>0</x:v>
      </x:c>
      <x:c r="K95" s="17" t="n">
        <x:v>100291.79</x:v>
      </x:c>
      <x:c r="L95" s="17" t="n">
        <x:v>100291.79</x:v>
      </x:c>
      <x:c r="M95" s="17" t="n">
        <x:v>347725.79</x:v>
      </x:c>
      <x:c r="N95" s="14" t="str">
        <x:v>High Transaction; Recurring Transaction</x:v>
      </x:c>
      <x:c r="O95" s="14" t="str">
        <x:v>Yes</x:v>
      </x:c>
      <x:c r="P95" s="14" t="str">
        <x:v>PHONEPE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46138</x:v>
      </x:c>
    </x:row>
    <x:row r="96">
      <x:c r="A96" s="14" t="n">
        <x:v>326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46138</x:v>
      </x:c>
      <x:c r="F96" s="15" t="n">
        <x:v>46138</x:v>
      </x:c>
      <x:c r="G9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6" s="14" t="str"/>
      <x:c r="I96" s="14" t="str">
        <x:v>Payment</x:v>
      </x:c>
      <x:c r="J96" s="17" t="n">
        <x:v>300990.79</x:v>
      </x:c>
      <x:c r="K96" s="17" t="n">
        <x:v>0</x:v>
      </x:c>
      <x:c r="L96" s="17" t="n">
        <x:v>300990.79</x:v>
      </x:c>
      <x:c r="M96" s="17" t="n">
        <x:v>50500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46138</x:v>
      </x:c>
    </x:row>
    <x:row r="97">
      <x:c r="A97" s="14" t="n">
        <x:v>329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46138</x:v>
      </x:c>
      <x:c r="F97" s="15" t="n">
        <x:v>46138</x:v>
      </x:c>
      <x:c r="G97" s="16" t="str">
        <x:v>EBANK:WIB/1505 EBANK:WIB/1505633295/Edfs</x:v>
      </x:c>
      <x:c r="H97" s="14" t="str"/>
      <x:c r="I97" s="14" t="str">
        <x:v>Payment</x:v>
      </x:c>
      <x:c r="J97" s="17" t="n">
        <x:v>114728</x:v>
      </x:c>
      <x:c r="K97" s="17" t="n">
        <x:v>0</x:v>
      </x:c>
      <x:c r="L97" s="17" t="n">
        <x:v>114728</x:v>
      </x:c>
      <x:c r="M97" s="17" t="n">
        <x:v>2500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46138</x:v>
      </x:c>
    </x:row>
    <x:row r="98">
      <x:c r="A98" s="14" t="n">
        <x:v>330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46139</x:v>
      </x:c>
      <x:c r="F98" s="15" t="n">
        <x:v>46139</x:v>
      </x:c>
      <x:c r="G98" s="16" t="str">
        <x:v>DIGITA-MUMBAI/ NEFT-YESAP61174218113-PhonePe Limited</x:v>
      </x:c>
      <x:c r="H98" s="14" t="str"/>
      <x:c r="I98" s="14" t="str">
        <x:v>Receipt</x:v>
      </x:c>
      <x:c r="J98" s="17" t="n">
        <x:v>0</x:v>
      </x:c>
      <x:c r="K98" s="17" t="n">
        <x:v>243320.8</x:v>
      </x:c>
      <x:c r="L98" s="17" t="n">
        <x:v>243320.8</x:v>
      </x:c>
      <x:c r="M98" s="17" t="n">
        <x:v>245820.8</x:v>
      </x:c>
      <x:c r="N98" s="14" t="str">
        <x:v>High Transaction; Recurring Transaction</x:v>
      </x:c>
      <x:c r="O98" s="14" t="str">
        <x:v>Yes</x:v>
      </x:c>
      <x:c r="P98" s="14" t="str">
        <x:v>PHONEPE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46139</x:v>
      </x:c>
    </x:row>
    <x:row r="99">
      <x:c r="A99" s="14" t="n">
        <x:v>331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46139</x:v>
      </x:c>
      <x:c r="F99" s="15" t="n">
        <x:v>46139</x:v>
      </x:c>
      <x:c r="G99" s="16" t="str">
        <x:v>DIGITA-MUMBAI/ NEFT-AXNPN11714754008-PHONEPE LIMITED-PAYMENT AGGR</x:v>
      </x:c>
      <x:c r="H99" s="14" t="str"/>
      <x:c r="I99" s="14" t="str">
        <x:v>Receipt</x:v>
      </x:c>
      <x:c r="J99" s="17" t="n">
        <x:v>0</x:v>
      </x:c>
      <x:c r="K99" s="17" t="n">
        <x:v>109488</x:v>
      </x:c>
      <x:c r="L99" s="17" t="n">
        <x:v>109488</x:v>
      </x:c>
      <x:c r="M99" s="17" t="n">
        <x:v>355308.8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46139</x:v>
      </x:c>
    </x:row>
    <x:row r="100">
      <x:c r="A100" s="14" t="n">
        <x:v>335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46139</x:v>
      </x:c>
      <x:c r="F100" s="15" t="n">
        <x:v>46139</x:v>
      </x:c>
      <x:c r="G100" s="16" t="str">
        <x:v>EBANK:WIB/1505 EBANK:WIB/1505672686/Edfs</x:v>
      </x:c>
      <x:c r="H100" s="14" t="str"/>
      <x:c r="I100" s="14" t="str">
        <x:v>Payment</x:v>
      </x:c>
      <x:c r="J100" s="17" t="n">
        <x:v>460000.8</x:v>
      </x:c>
      <x:c r="K100" s="17" t="n">
        <x:v>0</x:v>
      </x:c>
      <x:c r="L100" s="17" t="n">
        <x:v>460000.8</x:v>
      </x:c>
      <x:c r="M100" s="17" t="n">
        <x:v>2317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46139</x:v>
      </x:c>
    </x:row>
    <x:row r="101">
      <x:c r="A101" s="14" t="n">
        <x:v>340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46139</x:v>
      </x:c>
      <x:c r="F101" s="15" t="n">
        <x:v>46139</x:v>
      </x:c>
      <x:c r="G101" s="16" t="str">
        <x:v>DIGITA-MUMBAI/ NEFT-BACBH00004205594-GAONDEVI BUILDING MATERIAL S</x:v>
      </x:c>
      <x:c r="H101" s="14" t="str"/>
      <x:c r="I101" s="14" t="str">
        <x:v>Receipt</x:v>
      </x:c>
      <x:c r="J101" s="17" t="n">
        <x:v>0</x:v>
      </x:c>
      <x:c r="K101" s="17" t="n">
        <x:v>150000</x:v>
      </x:c>
      <x:c r="L101" s="17" t="n">
        <x:v>150000</x:v>
      </x:c>
      <x:c r="M101" s="17" t="n">
        <x:v>311816</x:v>
      </x:c>
      <x:c r="N101" s="14" t="str">
        <x:v>High Transaction</x:v>
      </x:c>
      <x:c r="O101" s="14" t="str">
        <x:v>No</x:v>
      </x:c>
      <x:c r="P101" s="14" t="str">
        <x:v>GAONDEVI BUILDING MATERIAL S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46139</x:v>
      </x:c>
    </x:row>
    <x:row r="102">
      <x:c r="A102" s="14" t="n">
        <x:v>343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46139</x:v>
      </x:c>
      <x:c r="F102" s="15" t="n">
        <x:v>46139</x:v>
      </x:c>
      <x:c r="G102" s="16" t="str">
        <x:v>EBANK:WIB/1505 EBANK:WIB/1505752441/Edfs</x:v>
      </x:c>
      <x:c r="H102" s="14" t="str"/>
      <x:c r="I102" s="14" t="str">
        <x:v>Payment</x:v>
      </x:c>
      <x:c r="J102" s="17" t="n">
        <x:v>365005</x:v>
      </x:c>
      <x:c r="K102" s="17" t="n">
        <x:v>0</x:v>
      </x:c>
      <x:c r="L102" s="17" t="n">
        <x:v>365005</x:v>
      </x:c>
      <x:c r="M102" s="17" t="n">
        <x:v>2000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46139</x:v>
      </x:c>
    </x:row>
    <x:row r="103">
      <x:c r="A103" s="14" t="n">
        <x:v>345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46140</x:v>
      </x:c>
      <x:c r="F103" s="15" t="n">
        <x:v>46140</x:v>
      </x:c>
      <x:c r="G103" s="16" t="str">
        <x:v>DIGITA-MUMBAI/ NEFT-YESAP61183745951-PhonePe Limited</x:v>
      </x:c>
      <x:c r="H103" s="14" t="str"/>
      <x:c r="I103" s="14" t="str">
        <x:v>Receipt</x:v>
      </x:c>
      <x:c r="J103" s="17" t="n">
        <x:v>0</x:v>
      </x:c>
      <x:c r="K103" s="17" t="n">
        <x:v>213696</x:v>
      </x:c>
      <x:c r="L103" s="17" t="n">
        <x:v>213696</x:v>
      </x:c>
      <x:c r="M103" s="17" t="n">
        <x:v>215996</x:v>
      </x:c>
      <x:c r="N103" s="14" t="str">
        <x:v>High Transaction; 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46140</x:v>
      </x:c>
    </x:row>
    <x:row r="104">
      <x:c r="A104" s="14" t="n">
        <x:v>355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46140</x:v>
      </x:c>
      <x:c r="F104" s="15" t="n">
        <x:v>46140</x:v>
      </x:c>
      <x:c r="G104" s="16" t="str">
        <x:v>EBANK:WIB/1505 EBANK:WIB/1505883831/Edfs</x:v>
      </x:c>
      <x:c r="H104" s="14" t="str"/>
      <x:c r="I104" s="14" t="str">
        <x:v>Payment</x:v>
      </x:c>
      <x:c r="J104" s="17" t="n">
        <x:v>402798.6</x:v>
      </x:c>
      <x:c r="K104" s="17" t="n">
        <x:v>0</x:v>
      </x:c>
      <x:c r="L104" s="17" t="n">
        <x:v>402798.6</x:v>
      </x:c>
      <x:c r="M104" s="17" t="n">
        <x:v>20500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46140</x:v>
      </x:c>
    </x:row>
    <x:row r="105">
      <x:c r="A105" s="14" t="n">
        <x:v>357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46140</x:v>
      </x:c>
      <x:c r="F105" s="15" t="n">
        <x:v>46140</x:v>
      </x:c>
      <x:c r="G105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05" s="14" t="str"/>
      <x:c r="I105" s="14" t="str">
        <x:v>Receipt</x:v>
      </x:c>
      <x:c r="J105" s="17" t="n">
        <x:v>0</x:v>
      </x:c>
      <x:c r="K105" s="17" t="n">
        <x:v>106203</x:v>
      </x:c>
      <x:c r="L105" s="17" t="n">
        <x:v>106203</x:v>
      </x:c>
      <x:c r="M105" s="17" t="n">
        <x:v>131444</x:v>
      </x:c>
      <x:c r="N105" s="14" t="str">
        <x:v>High Transaction; Recurring Transaction</x:v>
      </x:c>
      <x:c r="O105" s="14" t="str">
        <x:v>Yes</x:v>
      </x:c>
      <x:c r="P105" s="14" t="str">
        <x:v>PAGE TOTAL   CR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46140</x:v>
      </x:c>
    </x:row>
    <x:row r="106">
      <x:c r="A106" s="14" t="n">
        <x:v>360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46140</x:v>
      </x:c>
      <x:c r="F106" s="15" t="n">
        <x:v>46140</x:v>
      </x:c>
      <x:c r="G106" s="16" t="str">
        <x:v>EBANK:WIB/1505 EBANK:WIB/1505948506/Edfs</x:v>
      </x:c>
      <x:c r="H106" s="14" t="str"/>
      <x:c r="I106" s="14" t="str">
        <x:v>Payment</x:v>
      </x:c>
      <x:c r="J106" s="17" t="n">
        <x:v>192251.79</x:v>
      </x:c>
      <x:c r="K106" s="17" t="n">
        <x:v>0</x:v>
      </x:c>
      <x:c r="L106" s="17" t="n">
        <x:v>192251.79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46140</x:v>
      </x:c>
    </x:row>
    <x:row r="107">
      <x:c r="A107" s="14" t="n">
        <x:v>361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46141</x:v>
      </x:c>
      <x:c r="F107" s="15" t="n">
        <x:v>46141</x:v>
      </x:c>
      <x:c r="G107" s="16" t="str">
        <x:v>DIGITA-MUMBAI/ NEFT-YESAP61192379931-PhonePe Limited</x:v>
      </x:c>
      <x:c r="H107" s="14" t="str"/>
      <x:c r="I107" s="14" t="str">
        <x:v>Receipt</x:v>
      </x:c>
      <x:c r="J107" s="17" t="n">
        <x:v>0</x:v>
      </x:c>
      <x:c r="K107" s="17" t="n">
        <x:v>300724.33</x:v>
      </x:c>
      <x:c r="L107" s="17" t="n">
        <x:v>300724.33</x:v>
      </x:c>
      <x:c r="M107" s="17" t="n">
        <x:v>303224.33</x:v>
      </x:c>
      <x:c r="N107" s="14" t="str">
        <x:v>High Transaction; Recurring Transaction</x:v>
      </x:c>
      <x:c r="O107" s="14" t="str">
        <x:v>Yes</x:v>
      </x:c>
      <x:c r="P107" s="14" t="str">
        <x:v>PHONEPE LIMITED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46141</x:v>
      </x:c>
    </x:row>
    <x:row r="108">
      <x:c r="A108" s="14" t="n">
        <x:v>364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46141</x:v>
      </x:c>
      <x:c r="F108" s="15" t="n">
        <x:v>46141</x:v>
      </x:c>
      <x:c r="G108" s="16" t="str">
        <x:v>EBANK:WIB/1505 EBANK:WIB/1505959390/Edfs</x:v>
      </x:c>
      <x:c r="H108" s="14" t="str"/>
      <x:c r="I108" s="14" t="str">
        <x:v>Payment</x:v>
      </x:c>
      <x:c r="J108" s="17" t="n">
        <x:v>383365.33</x:v>
      </x:c>
      <x:c r="K108" s="17" t="n">
        <x:v>0</x:v>
      </x:c>
      <x:c r="L108" s="17" t="n">
        <x:v>383365.33</x:v>
      </x:c>
      <x:c r="M108" s="17" t="n">
        <x:v>2500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46141</x:v>
      </x:c>
    </x:row>
    <x:row r="109">
      <x:c r="A109" s="14" t="n">
        <x:v>365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46141</x:v>
      </x:c>
      <x:c r="F109" s="15" t="n">
        <x:v>46141</x:v>
      </x:c>
      <x:c r="G109" s="16" t="str">
        <x:v>DIGITA-MUMBAI/ NEFT-AXISCN1327725971-PINE LABS PRIVATE LIMITED-NO</x:v>
      </x:c>
      <x:c r="H109" s="14" t="str"/>
      <x:c r="I109" s="14" t="str">
        <x:v>Receipt</x:v>
      </x:c>
      <x:c r="J109" s="17" t="n">
        <x:v>0</x:v>
      </x:c>
      <x:c r="K109" s="17" t="n">
        <x:v>161953</x:v>
      </x:c>
      <x:c r="L109" s="17" t="n">
        <x:v>161953</x:v>
      </x:c>
      <x:c r="M109" s="17" t="n">
        <x:v>164453</x:v>
      </x:c>
      <x:c r="N109" s="14" t="str">
        <x:v>High Transaction; Recurring Transaction</x:v>
      </x:c>
      <x:c r="O109" s="14" t="str">
        <x:v>Yes</x:v>
      </x:c>
      <x:c r="P109" s="14" t="str">
        <x:v>PINE LABS PRIVATE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46141</x:v>
      </x:c>
    </x:row>
    <x:row r="110">
      <x:c r="A110" s="14" t="n">
        <x:v>366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46141</x:v>
      </x:c>
      <x:c r="F110" s="15" t="n">
        <x:v>46141</x:v>
      </x:c>
      <x:c r="G110" s="16" t="str">
        <x:v>EBANK:WIB/1505 EBANK:WIB/1505997293/Edfs</x:v>
      </x:c>
      <x:c r="H110" s="14" t="str"/>
      <x:c r="I110" s="14" t="str">
        <x:v>Payment</x:v>
      </x:c>
      <x:c r="J110" s="17" t="n">
        <x:v>161953</x:v>
      </x:c>
      <x:c r="K110" s="17" t="n">
        <x:v>0</x:v>
      </x:c>
      <x:c r="L110" s="17" t="n">
        <x:v>161953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46141</x:v>
      </x:c>
    </x:row>
    <x:row r="111">
      <x:c r="A111" s="14" t="n">
        <x:v>379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46142</x:v>
      </x:c>
      <x:c r="F111" s="15" t="n">
        <x:v>46142</x:v>
      </x:c>
      <x:c r="G111" s="16" t="str">
        <x:v>DIGITA-MUMBAI/ NEFT-YESAP61203718924-PhonePe Limited</x:v>
      </x:c>
      <x:c r="H111" s="14" t="str"/>
      <x:c r="I111" s="14" t="str">
        <x:v>Receipt</x:v>
      </x:c>
      <x:c r="J111" s="17" t="n">
        <x:v>0</x:v>
      </x:c>
      <x:c r="K111" s="17" t="n">
        <x:v>331429.91</x:v>
      </x:c>
      <x:c r="L111" s="17" t="n">
        <x:v>331429.91</x:v>
      </x:c>
      <x:c r="M111" s="17" t="n">
        <x:v>333929.91</x:v>
      </x:c>
      <x:c r="N111" s="14" t="str">
        <x:v>High Transaction; Recurring Transaction</x:v>
      </x:c>
      <x:c r="O111" s="14" t="str">
        <x:v>Yes</x:v>
      </x:c>
      <x:c r="P111" s="14" t="str">
        <x:v>PHONEPE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46142</x:v>
      </x:c>
    </x:row>
    <x:row r="112">
      <x:c r="A112" s="14" t="n">
        <x:v>382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46142</x:v>
      </x:c>
      <x:c r="F112" s="15" t="n">
        <x:v>46142</x:v>
      </x:c>
      <x:c r="G112" s="16" t="str">
        <x:v>EBANK:WIB/1506 EBANK:WIB/1506112904/Edfs</x:v>
      </x:c>
      <x:c r="H112" s="14" t="str"/>
      <x:c r="I112" s="14" t="str">
        <x:v>Payment</x:v>
      </x:c>
      <x:c r="J112" s="17" t="n">
        <x:v>429587.11</x:v>
      </x:c>
      <x:c r="K112" s="17" t="n">
        <x:v>0</x:v>
      </x:c>
      <x:c r="L112" s="17" t="n">
        <x:v>429587.11</x:v>
      </x:c>
      <x:c r="M112" s="17" t="n">
        <x:v>2500</x:v>
      </x:c>
      <x:c r="N112" s="14" t="str">
        <x:v>High Transaction; Recurring Transaction</x:v>
      </x:c>
      <x:c r="O112" s="14" t="str">
        <x:v>Yes</x:v>
      </x:c>
      <x:c r="P112" s="14" t="str">
        <x:v>EBANKWIB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46142</x:v>
      </x:c>
    </x:row>
    <x:row r="113">
      <x:c r="A113" s="14" t="n">
        <x:v>390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46142</x:v>
      </x:c>
      <x:c r="F113" s="15" t="n">
        <x:v>46142</x:v>
      </x:c>
      <x:c r="G113" s="16" t="str">
        <x:v>DIGITA-MUMBAI/ NEFT-HDFCH00963611742-Adekar enterprises pvt ltd</x:v>
      </x:c>
      <x:c r="H113" s="14" t="str"/>
      <x:c r="I113" s="14" t="str">
        <x:v>Receipt</x:v>
      </x:c>
      <x:c r="J113" s="17" t="n">
        <x:v>0</x:v>
      </x:c>
      <x:c r="K113" s="17" t="n">
        <x:v>109621</x:v>
      </x:c>
      <x:c r="L113" s="17" t="n">
        <x:v>109621</x:v>
      </x:c>
      <x:c r="M113" s="17" t="n">
        <x:v>325499.05</x:v>
      </x:c>
      <x:c r="N113" s="14" t="str">
        <x:v>High Transaction; Recurring Transaction</x:v>
      </x:c>
      <x:c r="O113" s="14" t="str">
        <x:v>Yes</x:v>
      </x:c>
      <x:c r="P113" s="14" t="str">
        <x:v>ADEKAR ENTERPRISES PVT LTD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46142</x:v>
      </x:c>
    </x:row>
    <x:row r="114">
      <x:c r="A114" s="14" t="n">
        <x:v>392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46142</x:v>
      </x:c>
      <x:c r="F114" s="15" t="n">
        <x:v>46142</x:v>
      </x:c>
      <x:c r="G114" s="16" t="str">
        <x:v>EBANK:WIB/1506 EBANK:WIB/1506237357/Edfs</x:v>
      </x:c>
      <x:c r="H114" s="14" t="str"/>
      <x:c r="I114" s="14" t="str">
        <x:v>Payment</x:v>
      </x:c>
      <x:c r="J114" s="17" t="n">
        <x:v>307440.05</x:v>
      </x:c>
      <x:c r="K114" s="17" t="n">
        <x:v>0</x:v>
      </x:c>
      <x:c r="L114" s="17" t="n">
        <x:v>307440.05</x:v>
      </x:c>
      <x:c r="M114" s="17" t="n">
        <x:v>20500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46142</x:v>
      </x:c>
    </x:row>
    <x:row r="115">
      <x:c r="A115" s="14" t="n">
        <x:v>393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46142</x:v>
      </x:c>
      <x:c r="F115" s="15" t="n">
        <x:v>46142</x:v>
      </x:c>
      <x:c r="G115" s="16" t="str">
        <x:v>DIGITA-MUMBAI/ NEFT-IN42612056111225-JERAI FITNESS LIMITED</x:v>
      </x:c>
      <x:c r="H115" s="14" t="str"/>
      <x:c r="I115" s="14" t="str">
        <x:v>Receipt</x:v>
      </x:c>
      <x:c r="J115" s="17" t="n">
        <x:v>0</x:v>
      </x:c>
      <x:c r="K115" s="17" t="n">
        <x:v>147635</x:v>
      </x:c>
      <x:c r="L115" s="17" t="n">
        <x:v>147635</x:v>
      </x:c>
      <x:c r="M115" s="17" t="n">
        <x:v>168135</x:v>
      </x:c>
      <x:c r="N115" s="14" t="str">
        <x:v>High Transaction; Recurring Transaction</x:v>
      </x:c>
      <x:c r="O115" s="14" t="str">
        <x:v>Yes</x:v>
      </x:c>
      <x:c r="P115" s="14" t="str">
        <x:v>JERAI FITNESS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46142</x:v>
      </x:c>
    </x:row>
    <x:row r="116">
      <x:c r="A116" s="14" t="n">
        <x:v>398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46142</x:v>
      </x:c>
      <x:c r="F116" s="15" t="n">
        <x:v>46142</x:v>
      </x:c>
      <x:c r="G116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116" s="14" t="str"/>
      <x:c r="I116" s="14" t="str">
        <x:v>Payment</x:v>
      </x:c>
      <x:c r="J116" s="17" t="n">
        <x:v>128623.2</x:v>
      </x:c>
      <x:c r="K116" s="17" t="n">
        <x:v>0</x:v>
      </x:c>
      <x:c r="L116" s="17" t="n">
        <x:v>128623.2</x:v>
      </x:c>
      <x:c r="M116" s="17" t="n">
        <x:v>2500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f3832d6b4c94b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398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a0d92084918b47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36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UPI/6091426275 42627513 UPI/609142627513/04:54:21/UPI/dineshjogle086-5@ok</x:v>
      </x:c>
      <x:c r="H5" s="14" t="str"/>
      <x:c r="I5" s="14" t="str">
        <x:v>Payment</x:v>
      </x:c>
      <x:c r="J5" s="17" t="n">
        <x:v>2356</x:v>
      </x:c>
      <x:c r="K5" s="17" t="n">
        <x:v>0</x:v>
      </x:c>
      <x:c r="L5" s="17" t="n">
        <x:v>2356</x:v>
      </x:c>
      <x:c r="M5" s="17" t="n">
        <x:v>579214</x:v>
      </x:c>
      <x:c r="N5" s="14" t="str">
        <x:v>UPI</x:v>
      </x:c>
      <x:c r="O5" s="14" t="str">
        <x:v>No</x:v>
      </x:c>
      <x:c r="P5" s="14" t="str">
        <x:v>DINESHJOGLE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9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UPI/6091779614 77961475 UPI/609177961475/16:34:33/UPI/q297956037@ybl/food</x:v>
      </x:c>
      <x:c r="H7" s="14" t="str"/>
      <x:c r="I7" s="14" t="str">
        <x:v>Payment</x:v>
      </x:c>
      <x:c r="J7" s="17" t="n">
        <x:v>1500</x:v>
      </x:c>
      <x:c r="K7" s="17" t="n">
        <x:v>0</x:v>
      </x:c>
      <x:c r="L7" s="17" t="n">
        <x:v>1500</x:v>
      </x:c>
      <x:c r="M7" s="17" t="n">
        <x:v>140840</x:v>
      </x:c>
      <x:c r="N7" s="14" t="str">
        <x:v>UPI</x:v>
      </x:c>
      <x:c r="O7" s="14" t="str">
        <x:v>No</x:v>
      </x:c>
      <x:c r="P7" s="14" t="str">
        <x:v>UPI/# # UPI/#/#:#:#/UPI/Q#@YBL/FOOD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19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UPI/6092378308 37830859 UPI/609237830859/11:20:36/UPI/9850754712-3@ybl/st</x:v>
      </x:c>
      <x:c r="H8" s="14" t="str"/>
      <x:c r="I8" s="14" t="str">
        <x:v>Payment</x:v>
      </x:c>
      <x:c r="J8" s="17" t="n">
        <x:v>4000</x:v>
      </x:c>
      <x:c r="K8" s="17" t="n">
        <x:v>0</x:v>
      </x:c>
      <x:c r="L8" s="17" t="n">
        <x:v>4000</x:v>
      </x:c>
      <x:c r="M8" s="17" t="n">
        <x:v>509521.5</x:v>
      </x:c>
      <x:c r="N8" s="14" t="str">
        <x:v>UPI</x:v>
      </x:c>
      <x:c r="O8" s="14" t="str">
        <x:v>No</x:v>
      </x:c>
      <x:c r="P8" s="14" t="str">
        <x:v>UPI/# # UPI/#/#:#:#/UPI/#-#@YBL/ST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22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UPI/6092013389 1338963 UPI/609201338963/12:38:06/UPI/gpay-11193876450@ok</x:v>
      </x:c>
      <x:c r="H9" s="14" t="str"/>
      <x:c r="I9" s="14" t="str">
        <x:v>Payment</x:v>
      </x:c>
      <x:c r="J9" s="17" t="n">
        <x:v>2800</x:v>
      </x:c>
      <x:c r="K9" s="17" t="n">
        <x:v>0</x:v>
      </x:c>
      <x:c r="L9" s="17" t="n">
        <x:v>2800</x:v>
      </x:c>
      <x:c r="M9" s="17" t="n">
        <x:v>588117.5</x:v>
      </x:c>
      <x:c r="N9" s="14" t="str">
        <x:v>UPI</x:v>
      </x:c>
      <x:c r="O9" s="14" t="str">
        <x:v>No</x:v>
      </x:c>
      <x:c r="P9" s="14" t="str">
        <x:v>UPI/# # UPI/#/#:#:#/UPI/GPAY-#@OK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44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UPI/6094661908 66190812 UPI/609466190812/12:12:08/UPI/starbazaarhyper@ybl</x:v>
      </x:c>
      <x:c r="H10" s="14" t="str"/>
      <x:c r="I10" s="14" t="str">
        <x:v>Payment</x:v>
      </x:c>
      <x:c r="J10" s="17" t="n">
        <x:v>150.63</x:v>
      </x:c>
      <x:c r="K10" s="17" t="n">
        <x:v>0</x:v>
      </x:c>
      <x:c r="L10" s="17" t="n">
        <x:v>150.63</x:v>
      </x:c>
      <x:c r="M10" s="17" t="n">
        <x:v>32549.37</x:v>
      </x:c>
      <x:c r="N10" s="14" t="str">
        <x:v>UPI</x:v>
      </x:c>
      <x:c r="O10" s="14" t="str">
        <x:v>No</x:v>
      </x:c>
      <x:c r="P10" s="14" t="str">
        <x:v>STARBAZAARHYPERYBL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</x:row>
    <x:row r="11">
      <x:c r="A11" s="14" t="n">
        <x:v>61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46118</x:v>
      </x:c>
      <x:c r="F11" s="15" t="n">
        <x:v>46118</x:v>
      </x:c>
      <x:c r="G11" s="16" t="str">
        <x:v>UPI/8321480914 48091426 UPI/832148091426/12:12:00/UPI/7507026281@axl/Paym</x:v>
      </x:c>
      <x:c r="H11" s="14" t="str"/>
      <x:c r="I11" s="14" t="str">
        <x:v>Receipt</x:v>
      </x:c>
      <x:c r="J11" s="17" t="n">
        <x:v>0</x:v>
      </x:c>
      <x:c r="K11" s="17" t="n">
        <x:v>1000</x:v>
      </x:c>
      <x:c r="L11" s="17" t="n">
        <x:v>1000</x:v>
      </x:c>
      <x:c r="M11" s="17" t="n">
        <x:v>147089</x:v>
      </x:c>
      <x:c r="N11" s="14" t="str">
        <x:v>UPI</x:v>
      </x:c>
      <x:c r="O11" s="14" t="str">
        <x:v>No</x:v>
      </x:c>
      <x:c r="P11" s="14" t="str">
        <x:v>UPI/# # UPI/#/#:#:#/UPI/#@AXL/PAYM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46118</x:v>
      </x:c>
    </x:row>
    <x:row r="12">
      <x:c r="A12" s="14" t="n">
        <x:v>69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46119</x:v>
      </x:c>
      <x:c r="F12" s="15" t="n">
        <x:v>46119</x:v>
      </x:c>
      <x:c r="G12" s="16" t="str">
        <x:v>UPI/8639137766 13776666 UPI/863913776666/06:48:44/UPI/surajdhanotra1@ibl/</x:v>
      </x:c>
      <x:c r="H12" s="14" t="str"/>
      <x:c r="I12" s="14" t="str">
        <x:v>Receipt</x:v>
      </x:c>
      <x:c r="J12" s="17" t="n">
        <x:v>0</x:v>
      </x:c>
      <x:c r="K12" s="17" t="n">
        <x:v>9000</x:v>
      </x:c>
      <x:c r="L12" s="17" t="n">
        <x:v>9000</x:v>
      </x:c>
      <x:c r="M12" s="17" t="n">
        <x:v>14500</x:v>
      </x:c>
      <x:c r="N12" s="14" t="str">
        <x:v>UPI; Recurring Transaction</x:v>
      </x:c>
      <x:c r="O12" s="14" t="str">
        <x:v>Yes</x:v>
      </x:c>
      <x:c r="P12" s="14" t="str">
        <x:v>SURAJDHANOTRAIBL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46119</x:v>
      </x:c>
    </x:row>
    <x:row r="13">
      <x:c r="A13" s="14" t="n">
        <x:v>77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46119</x:v>
      </x:c>
      <x:c r="F13" s="15" t="n">
        <x:v>46119</x:v>
      </x:c>
      <x:c r="G13" s="16" t="str">
        <x:v>UPI/6463233094 23309409 UPI/646323309409/14:08:53/UPI/gotarne.pratik@axl/</x:v>
      </x:c>
      <x:c r="H13" s="14" t="str"/>
      <x:c r="I13" s="14" t="str">
        <x:v>Payment</x:v>
      </x:c>
      <x:c r="J13" s="17" t="n">
        <x:v>500</x:v>
      </x:c>
      <x:c r="K13" s="17" t="n">
        <x:v>0</x:v>
      </x:c>
      <x:c r="L13" s="17" t="n">
        <x:v>500</x:v>
      </x:c>
      <x:c r="M13" s="17" t="n">
        <x:v>77259.35</x:v>
      </x:c>
      <x:c r="N13" s="14" t="str">
        <x:v>UPI</x:v>
      </x:c>
      <x:c r="O13" s="14" t="str">
        <x:v>No</x:v>
      </x:c>
      <x:c r="P13" s="14" t="str">
        <x:v>GOTARNEPRATIKAXL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46119</x:v>
      </x:c>
    </x:row>
    <x:row r="14">
      <x:c r="A14" s="14" t="n">
        <x:v>84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46120</x:v>
      </x:c>
      <x:c r="F14" s="15" t="n">
        <x:v>46120</x:v>
      </x:c>
      <x:c r="G14" s="16" t="str">
        <x:v>UPI/6464912624 91262434 UPI/646491262434/06:48:01/UPI/9822321566@centralb</x:v>
      </x:c>
      <x:c r="H14" s="14" t="str"/>
      <x:c r="I14" s="14" t="str">
        <x:v>Payment</x:v>
      </x:c>
      <x:c r="J14" s="17" t="n">
        <x:v>37085</x:v>
      </x:c>
      <x:c r="K14" s="17" t="n">
        <x:v>0</x:v>
      </x:c>
      <x:c r="L14" s="17" t="n">
        <x:v>37085</x:v>
      </x:c>
      <x:c r="M14" s="17" t="n">
        <x:v>246512</x:v>
      </x:c>
      <x:c r="N14" s="14" t="str">
        <x:v>UPI</x:v>
      </x:c>
      <x:c r="O14" s="14" t="str">
        <x:v>No</x:v>
      </x:c>
      <x:c r="P14" s="14" t="str">
        <x:v>CENTRALB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46120</x:v>
      </x:c>
    </x:row>
    <x:row r="15">
      <x:c r="A15" s="14" t="n">
        <x:v>108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46122</x:v>
      </x:c>
      <x:c r="F15" s="15" t="n">
        <x:v>46122</x:v>
      </x:c>
      <x:c r="G15" s="16" t="str">
        <x:v>UPI/7501693995 69399505 UPI/750169399505/08:58:54/UPI/surajdhanotra1@ibl/</x:v>
      </x:c>
      <x:c r="H15" s="14" t="str"/>
      <x:c r="I15" s="14" t="str">
        <x:v>Receipt</x:v>
      </x:c>
      <x:c r="J15" s="17" t="n">
        <x:v>0</x:v>
      </x:c>
      <x:c r="K15" s="17" t="n">
        <x:v>3165</x:v>
      </x:c>
      <x:c r="L15" s="17" t="n">
        <x:v>3165</x:v>
      </x:c>
      <x:c r="M15" s="17" t="n">
        <x:v>29065</x:v>
      </x:c>
      <x:c r="N15" s="14" t="str">
        <x:v>UPI; Recurring Transaction</x:v>
      </x:c>
      <x:c r="O15" s="14" t="str">
        <x:v>Yes</x:v>
      </x:c>
      <x:c r="P15" s="14" t="str">
        <x:v>SURAJDHANOTRAIBL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46122</x:v>
      </x:c>
    </x:row>
    <x:row r="16">
      <x:c r="A16" s="14" t="n">
        <x:v>113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46122</x:v>
      </x:c>
      <x:c r="F16" s="15" t="n">
        <x:v>46122</x:v>
      </x:c>
      <x:c r="G16" s="16" t="str">
        <x:v>UPI/6100342974 34297402 UPI/610034297402/20:16:31/UPI/917348832012@waaxis</x:v>
      </x:c>
      <x:c r="H16" s="14" t="str"/>
      <x:c r="I16" s="14" t="str">
        <x:v>Receipt</x:v>
      </x:c>
      <x:c r="J16" s="17" t="n">
        <x:v>0</x:v>
      </x:c>
      <x:c r="K16" s="17" t="n">
        <x:v>220</x:v>
      </x:c>
      <x:c r="L16" s="17" t="n">
        <x:v>220</x:v>
      </x:c>
      <x:c r="M16" s="17" t="n">
        <x:v>15915</x:v>
      </x:c>
      <x:c r="N16" s="14" t="str">
        <x:v>UPI</x:v>
      </x:c>
      <x:c r="O16" s="14" t="str">
        <x:v>No</x:v>
      </x:c>
      <x:c r="P16" s="14" t="str">
        <x:v>UPI/# # UPI/#/#:#:#/UPI/#@WAAXIS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46122</x:v>
      </x:c>
    </x:row>
    <x:row r="17">
      <x:c r="A17" s="14" t="n">
        <x:v>142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46123</x:v>
      </x:c>
      <x:c r="F17" s="15" t="n">
        <x:v>46123</x:v>
      </x:c>
      <x:c r="G17" s="16" t="str">
        <x:v>UPI/3316762170 76217092 UPI/331676217092/17:08:51/UPI/surajdhanotra1@ibl/ https://cbdrpt101.bankofbaroda.co.in:22000/finbranch/arjspmorph/INFENG/tran_rpt.jsp?... 04-05-2026</x:v>
      </x:c>
      <x:c r="H17" s="14" t="str"/>
      <x:c r="I17" s="14" t="str">
        <x:v>Receipt</x:v>
      </x:c>
      <x:c r="J17" s="17" t="n">
        <x:v>0</x:v>
      </x:c>
      <x:c r="K17" s="17" t="n">
        <x:v>1808</x:v>
      </x:c>
      <x:c r="L17" s="17" t="n">
        <x:v>1808</x:v>
      </x:c>
      <x:c r="M17" s="17" t="n">
        <x:v>31352</x:v>
      </x:c>
      <x:c r="N17" s="14" t="str">
        <x:v>UPI; Recurring Transaction</x:v>
      </x:c>
      <x:c r="O17" s="14" t="str">
        <x:v>Yes</x:v>
      </x:c>
      <x:c r="P17" s="14" t="str">
        <x:v>SURAJDHANOTRAIBL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46123</x:v>
      </x:c>
    </x:row>
    <x:row r="18">
      <x:c r="A18" s="14" t="n">
        <x:v>147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46124</x:v>
      </x:c>
      <x:c r="F18" s="15" t="n">
        <x:v>46124</x:v>
      </x:c>
      <x:c r="G18" s="16" t="str">
        <x:v>UPI/8741236018 23601815 UPI/874123601815/12:37:26/UPI/surajdhanotra1@ibl/</x:v>
      </x:c>
      <x:c r="H18" s="14" t="str"/>
      <x:c r="I18" s="14" t="str">
        <x:v>Receipt</x:v>
      </x:c>
      <x:c r="J18" s="17" t="n">
        <x:v>0</x:v>
      </x:c>
      <x:c r="K18" s="17" t="n">
        <x:v>1808</x:v>
      </x:c>
      <x:c r="L18" s="17" t="n">
        <x:v>1808</x:v>
      </x:c>
      <x:c r="M18" s="17" t="n">
        <x:v>504104.39</x:v>
      </x:c>
      <x:c r="N18" s="14" t="str">
        <x:v>UPI; Recurring Transaction</x:v>
      </x:c>
      <x:c r="O18" s="14" t="str">
        <x:v>Yes</x:v>
      </x:c>
      <x:c r="P18" s="14" t="str">
        <x:v>SURAJDHANOTRAIBL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46124</x:v>
      </x:c>
    </x:row>
    <x:row r="19">
      <x:c r="A19" s="14" t="n">
        <x:v>148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46124</x:v>
      </x:c>
      <x:c r="F19" s="15" t="n">
        <x:v>46124</x:v>
      </x:c>
      <x:c r="G19" s="16" t="str">
        <x:v>UPI/6468867277 86727709 UPI/646886727709/16:03:55/UPI/omkarpatil4254op@ok</x:v>
      </x:c>
      <x:c r="H19" s="14" t="str"/>
      <x:c r="I19" s="14" t="str">
        <x:v>Receipt</x:v>
      </x:c>
      <x:c r="J19" s="17" t="n">
        <x:v>0</x:v>
      </x:c>
      <x:c r="K19" s="17" t="n">
        <x:v>10000</x:v>
      </x:c>
      <x:c r="L19" s="17" t="n">
        <x:v>10000</x:v>
      </x:c>
      <x:c r="M19" s="17" t="n">
        <x:v>514104.39</x:v>
      </x:c>
      <x:c r="N19" s="14" t="str">
        <x:v>UPI</x:v>
      </x:c>
      <x:c r="O19" s="14" t="str">
        <x:v>No</x:v>
      </x:c>
      <x:c r="P19" s="14" t="str">
        <x:v>OMKARPATILOPOK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46124</x:v>
      </x:c>
    </x:row>
    <x:row r="20">
      <x:c r="A20" s="14" t="n">
        <x:v>156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46125</x:v>
      </x:c>
      <x:c r="F20" s="15" t="n">
        <x:v>46125</x:v>
      </x:c>
      <x:c r="G20" s="16" t="str">
        <x:v>UPI/6103246468 24646865 UPI/610324646865/09:30:08/UPI/autofleetpetrolpump</x:v>
      </x:c>
      <x:c r="H20" s="14" t="str"/>
      <x:c r="I20" s="14" t="str">
        <x:v>Payment</x:v>
      </x:c>
      <x:c r="J20" s="17" t="n">
        <x:v>2000</x:v>
      </x:c>
      <x:c r="K20" s="17" t="n">
        <x:v>0</x:v>
      </x:c>
      <x:c r="L20" s="17" t="n">
        <x:v>2000</x:v>
      </x:c>
      <x:c r="M20" s="17" t="n">
        <x:v>384461.93</x:v>
      </x:c>
      <x:c r="N20" s="14" t="str">
        <x:v>UPI; Recurring Transaction</x:v>
      </x:c>
      <x:c r="O20" s="14" t="str">
        <x:v>Yes</x:v>
      </x:c>
      <x:c r="P20" s="14" t="str">
        <x:v>AUTOFLEETPETROLPUMP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46125</x:v>
      </x:c>
    </x:row>
    <x:row r="21">
      <x:c r="A21" s="14" t="n">
        <x:v>157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46125</x:v>
      </x:c>
      <x:c r="F21" s="15" t="n">
        <x:v>46125</x:v>
      </x:c>
      <x:c r="G21" s="16" t="str">
        <x:v>UPI/6103049513 4951307 UPI/610304951307/09:30:56/UPI/autofleetpetrolpump</x:v>
      </x:c>
      <x:c r="H21" s="14" t="str"/>
      <x:c r="I21" s="14" t="str">
        <x:v>Payment</x:v>
      </x:c>
      <x:c r="J21" s="17" t="n">
        <x:v>1000</x:v>
      </x:c>
      <x:c r="K21" s="17" t="n">
        <x:v>0</x:v>
      </x:c>
      <x:c r="L21" s="17" t="n">
        <x:v>1000</x:v>
      </x:c>
      <x:c r="M21" s="17" t="n">
        <x:v>383461.93</x:v>
      </x:c>
      <x:c r="N21" s="14" t="str">
        <x:v>UPI; Recurring Transaction</x:v>
      </x:c>
      <x:c r="O21" s="14" t="str">
        <x:v>Yes</x:v>
      </x:c>
      <x:c r="P21" s="14" t="str">
        <x:v>AUTOFLEETPETROLPUMP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46125</x:v>
      </x:c>
    </x:row>
    <x:row r="22">
      <x:c r="A22" s="14" t="n">
        <x:v>159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46125</x:v>
      </x:c>
      <x:c r="F22" s="15" t="n">
        <x:v>46125</x:v>
      </x:c>
      <x:c r="G22" s="16" t="str">
        <x:v>UPI/1265365595 36559565 UPI/126536559565/11:02:55/UPI/surajdhanotra1@ibl/</x:v>
      </x:c>
      <x:c r="H22" s="14" t="str"/>
      <x:c r="I22" s="14" t="str">
        <x:v>Receipt</x:v>
      </x:c>
      <x:c r="J22" s="17" t="n">
        <x:v>0</x:v>
      </x:c>
      <x:c r="K22" s="17" t="n">
        <x:v>2261</x:v>
      </x:c>
      <x:c r="L22" s="17" t="n">
        <x:v>2261</x:v>
      </x:c>
      <x:c r="M22" s="17" t="n">
        <x:v>509722.93</x:v>
      </x:c>
      <x:c r="N22" s="14" t="str">
        <x:v>UPI; Recurring Transaction</x:v>
      </x:c>
      <x:c r="O22" s="14" t="str">
        <x:v>Yes</x:v>
      </x:c>
      <x:c r="P22" s="14" t="str">
        <x:v>SURAJDHANOTRAIBL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46125</x:v>
      </x:c>
    </x:row>
    <x:row r="23">
      <x:c r="A23" s="14" t="n">
        <x:v>160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46125</x:v>
      </x:c>
      <x:c r="F23" s="15" t="n">
        <x:v>46125</x:v>
      </x:c>
      <x:c r="G23" s="16" t="str">
        <x:v>UPI/6103603296 60329695 UPI/610360329695/11:04:28/UPI/paytmqr6ep7sx@ptys/</x:v>
      </x:c>
      <x:c r="H23" s="14" t="str"/>
      <x:c r="I23" s="14" t="str">
        <x:v>Payment</x:v>
      </x:c>
      <x:c r="J23" s="17" t="n">
        <x:v>3300</x:v>
      </x:c>
      <x:c r="K23" s="17" t="n">
        <x:v>0</x:v>
      </x:c>
      <x:c r="L23" s="17" t="n">
        <x:v>3300</x:v>
      </x:c>
      <x:c r="M23" s="17" t="n">
        <x:v>506422.93</x:v>
      </x:c>
      <x:c r="N23" s="14" t="str">
        <x:v>UPI</x:v>
      </x:c>
      <x:c r="O23" s="14" t="str">
        <x:v>No</x:v>
      </x:c>
      <x:c r="P23" s="14" t="str">
        <x:v>PAYTMQREPSXPTYS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46125</x:v>
      </x:c>
    </x:row>
    <x:row r="24">
      <x:c r="A24" s="14" t="n">
        <x:v>170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46125</x:v>
      </x:c>
      <x:c r="F24" s="15" t="n">
        <x:v>46125</x:v>
      </x:c>
      <x:c r="G24" s="16" t="str">
        <x:v>UPI/6103931725 93172546 UPI/610393172546/18:35:56/UPI/q17779140@ybl/color</x:v>
      </x:c>
      <x:c r="H24" s="14" t="str"/>
      <x:c r="I24" s="14" t="str">
        <x:v>Payment</x:v>
      </x:c>
      <x:c r="J24" s="17" t="n">
        <x:v>16000</x:v>
      </x:c>
      <x:c r="K24" s="17" t="n">
        <x:v>0</x:v>
      </x:c>
      <x:c r="L24" s="17" t="n">
        <x:v>16000</x:v>
      </x:c>
      <x:c r="M24" s="17" t="n">
        <x:v>24500</x:v>
      </x:c>
      <x:c r="N24" s="14" t="str">
        <x:v>UPI</x:v>
      </x:c>
      <x:c r="O24" s="14" t="str">
        <x:v>No</x:v>
      </x:c>
      <x:c r="P24" s="14" t="str">
        <x:v>UPI/# # UPI/#/#:#:#/UPI/Q#@YBL/COLOR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46125</x:v>
      </x:c>
    </x:row>
    <x:row r="25">
      <x:c r="A25" s="14" t="n">
        <x:v>193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46127</x:v>
      </x:c>
      <x:c r="F25" s="15" t="n">
        <x:v>46127</x:v>
      </x:c>
      <x:c r="G25" s="16" t="str">
        <x:v>UPI/5133890676 89067648 UPI/513389067648/17:04:34/UPI/surajdhanotra1@ibl/</x:v>
      </x:c>
      <x:c r="H25" s="14" t="str"/>
      <x:c r="I25" s="14" t="str">
        <x:v>Receipt</x:v>
      </x:c>
      <x:c r="J25" s="17" t="n">
        <x:v>0</x:v>
      </x:c>
      <x:c r="K25" s="17" t="n">
        <x:v>3617</x:v>
      </x:c>
      <x:c r="L25" s="17" t="n">
        <x:v>3617</x:v>
      </x:c>
      <x:c r="M25" s="17" t="n">
        <x:v>16236.8</x:v>
      </x:c>
      <x:c r="N25" s="14" t="str">
        <x:v>UPI; Recurring Transaction</x:v>
      </x:c>
      <x:c r="O25" s="14" t="str">
        <x:v>Yes</x:v>
      </x:c>
      <x:c r="P25" s="14" t="str">
        <x:v>SURAJDHANOTRAIBL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46127</x:v>
      </x:c>
    </x:row>
    <x:row r="26">
      <x:c r="A26" s="14" t="n">
        <x:v>224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46130</x:v>
      </x:c>
      <x:c r="F26" s="15" t="n">
        <x:v>46130</x:v>
      </x:c>
      <x:c r="G26" s="16" t="str">
        <x:v>UPI/1217782049 78204946 UPI/121778204946/11:06:59/UPI/sureshenterprises15</x:v>
      </x:c>
      <x:c r="H26" s="14" t="str"/>
      <x:c r="I26" s="14" t="str">
        <x:v>Receipt</x:v>
      </x:c>
      <x:c r="J26" s="17" t="n">
        <x:v>0</x:v>
      </x:c>
      <x:c r="K26" s="17" t="n">
        <x:v>15000</x:v>
      </x:c>
      <x:c r="L26" s="17" t="n">
        <x:v>15000</x:v>
      </x:c>
      <x:c r="M26" s="17" t="n">
        <x:v>428035.28</x:v>
      </x:c>
      <x:c r="N26" s="14" t="str">
        <x:v>UPI; Recurring Transaction</x:v>
      </x:c>
      <x:c r="O26" s="14" t="str">
        <x:v>Yes</x:v>
      </x:c>
      <x:c r="P26" s="14" t="str">
        <x:v>SURESHENTERPRISES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46130</x:v>
      </x:c>
    </x:row>
    <x:row r="27">
      <x:c r="A27" s="14" t="n">
        <x:v>235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46131</x:v>
      </x:c>
      <x:c r="F27" s="15" t="n">
        <x:v>46131</x:v>
      </x:c>
      <x:c r="G27" s="16" t="str">
        <x:v>UPI/4002793229 79322988 UPI/400279322988/11:44:31/UPI/surajdhanotra1@ibl/</x:v>
      </x:c>
      <x:c r="H27" s="14" t="str"/>
      <x:c r="I27" s="14" t="str">
        <x:v>Receipt</x:v>
      </x:c>
      <x:c r="J27" s="17" t="n">
        <x:v>0</x:v>
      </x:c>
      <x:c r="K27" s="17" t="n">
        <x:v>11305</x:v>
      </x:c>
      <x:c r="L27" s="17" t="n">
        <x:v>11305</x:v>
      </x:c>
      <x:c r="M27" s="17" t="n">
        <x:v>145810.53</x:v>
      </x:c>
      <x:c r="N27" s="14" t="str">
        <x:v>UPI; Recurring Transaction</x:v>
      </x:c>
      <x:c r="O27" s="14" t="str">
        <x:v>Yes</x:v>
      </x:c>
      <x:c r="P27" s="14" t="str">
        <x:v>SURAJDHANOTRAIBL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46131</x:v>
      </x:c>
    </x:row>
    <x:row r="28">
      <x:c r="A28" s="14" t="n">
        <x:v>236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46131</x:v>
      </x:c>
      <x:c r="F28" s="15" t="n">
        <x:v>46131</x:v>
      </x:c>
      <x:c r="G28" s="16" t="str">
        <x:v>UPI/6109476580 47658049 UPI/610947658049/18:07:36/UPI/akashshelar41-2@oki</x:v>
      </x:c>
      <x:c r="H28" s="14" t="str"/>
      <x:c r="I28" s="14" t="str">
        <x:v>Receipt</x:v>
      </x:c>
      <x:c r="J28" s="17" t="n">
        <x:v>0</x:v>
      </x:c>
      <x:c r="K28" s="17" t="n">
        <x:v>58000</x:v>
      </x:c>
      <x:c r="L28" s="17" t="n">
        <x:v>58000</x:v>
      </x:c>
      <x:c r="M28" s="17" t="n">
        <x:v>203810.53</x:v>
      </x:c>
      <x:c r="N28" s="14" t="str">
        <x:v>UPI; Recurring Transaction</x:v>
      </x:c>
      <x:c r="O28" s="14" t="str">
        <x:v>Yes</x:v>
      </x:c>
      <x:c r="P28" s="14" t="str">
        <x:v>AKASHSHELAR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46131</x:v>
      </x:c>
    </x:row>
    <x:row r="29">
      <x:c r="A29" s="14" t="n">
        <x:v>237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46131</x:v>
      </x:c>
      <x:c r="F29" s="15" t="n">
        <x:v>46131</x:v>
      </x:c>
      <x:c r="G29" s="16" t="str">
        <x:v>UPI/7858383104 38310405 UPI/785838310405/18:17:34/UPI/slaksmanaswamy@ybl/</x:v>
      </x:c>
      <x:c r="H29" s="14" t="str"/>
      <x:c r="I29" s="14" t="str">
        <x:v>Receipt</x:v>
      </x:c>
      <x:c r="J29" s="17" t="n">
        <x:v>0</x:v>
      </x:c>
      <x:c r="K29" s="17" t="n">
        <x:v>10000</x:v>
      </x:c>
      <x:c r="L29" s="17" t="n">
        <x:v>10000</x:v>
      </x:c>
      <x:c r="M29" s="17" t="n">
        <x:v>213810.53</x:v>
      </x:c>
      <x:c r="N29" s="14" t="str">
        <x:v>UPI</x:v>
      </x:c>
      <x:c r="O29" s="14" t="str">
        <x:v>No</x:v>
      </x:c>
      <x:c r="P29" s="14" t="str">
        <x:v>SLAKSMANASWAMYYBL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46131</x:v>
      </x:c>
    </x:row>
    <x:row r="30">
      <x:c r="A30" s="14" t="n">
        <x:v>246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46132</x:v>
      </x:c>
      <x:c r="F30" s="15" t="n">
        <x:v>46132</x:v>
      </x:c>
      <x:c r="G30" s="16" t="str">
        <x:v>UPI/6476820079 82007940 UPI/647682007940/13:39:58/UPI/patilsojwal855@okax</x:v>
      </x:c>
      <x:c r="H30" s="14" t="str"/>
      <x:c r="I30" s="14" t="str">
        <x:v>Receipt</x:v>
      </x:c>
      <x:c r="J30" s="17" t="n">
        <x:v>0</x:v>
      </x:c>
      <x:c r="K30" s="17" t="n">
        <x:v>1</x:v>
      </x:c>
      <x:c r="L30" s="17" t="n">
        <x:v>1</x:v>
      </x:c>
      <x:c r="M30" s="17" t="n">
        <x:v>100408.78</x:v>
      </x:c>
      <x:c r="N30" s="14" t="str">
        <x:v>UPI; Recurring Transaction</x:v>
      </x:c>
      <x:c r="O30" s="14" t="str">
        <x:v>Yes</x:v>
      </x:c>
      <x:c r="P30" s="14" t="str">
        <x:v>PATILSOJWALOKAX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46132</x:v>
      </x:c>
    </x:row>
    <x:row r="31">
      <x:c r="A31" s="14" t="n">
        <x:v>247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46132</x:v>
      </x:c>
      <x:c r="F31" s="15" t="n">
        <x:v>46132</x:v>
      </x:c>
      <x:c r="G3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31" s="14" t="str"/>
      <x:c r="I31" s="14" t="str">
        <x:v>Receipt</x:v>
      </x:c>
      <x:c r="J31" s="17" t="n">
        <x:v>0</x:v>
      </x:c>
      <x:c r="K31" s="17" t="n">
        <x:v>14699</x:v>
      </x:c>
      <x:c r="L31" s="17" t="n">
        <x:v>14699</x:v>
      </x:c>
      <x:c r="M31" s="17" t="n">
        <x:v>115107.78</x:v>
      </x:c>
      <x:c r="N31" s="14" t="str">
        <x:v>UPI; Recurring Transaction</x:v>
      </x:c>
      <x:c r="O31" s="14" t="str">
        <x:v>Yes</x:v>
      </x:c>
      <x:c r="P31" s="14" t="str">
        <x:v>PATILSOJWALOKAX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46132</x:v>
      </x:c>
    </x:row>
    <x:row r="32">
      <x:c r="A32" s="14" t="n">
        <x:v>252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46132</x:v>
      </x:c>
      <x:c r="F32" s="15" t="n">
        <x:v>46132</x:v>
      </x:c>
      <x:c r="G32" s="16" t="str">
        <x:v>UPI/6476077667 7766718 UPI/647607766718/23:35:11/UPI/sureshenterprises15</x:v>
      </x:c>
      <x:c r="H32" s="14" t="str"/>
      <x:c r="I32" s="14" t="str">
        <x:v>Receipt</x:v>
      </x:c>
      <x:c r="J32" s="17" t="n">
        <x:v>0</x:v>
      </x:c>
      <x:c r="K32" s="17" t="n">
        <x:v>10000</x:v>
      </x:c>
      <x:c r="L32" s="17" t="n">
        <x:v>10000</x:v>
      </x:c>
      <x:c r="M32" s="17" t="n">
        <x:v>12500</x:v>
      </x:c>
      <x:c r="N32" s="14" t="str">
        <x:v>UPI; Recurring Transaction</x:v>
      </x:c>
      <x:c r="O32" s="14" t="str">
        <x:v>Yes</x:v>
      </x:c>
      <x:c r="P32" s="14" t="str">
        <x:v>SURESHENTERPRISES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46132</x:v>
      </x:c>
    </x:row>
    <x:row r="33">
      <x:c r="A33" s="14" t="n">
        <x:v>261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46133</x:v>
      </x:c>
      <x:c r="F33" s="15" t="n">
        <x:v>46133</x:v>
      </x:c>
      <x:c r="G33" s="16" t="str">
        <x:v>UPI/1219449507 44950796 UPI/121944950796/16:42:07/UPI/paytmqr6fbyta@ptys/</x:v>
      </x:c>
      <x:c r="H33" s="14" t="str"/>
      <x:c r="I33" s="14" t="str">
        <x:v>Payment</x:v>
      </x:c>
      <x:c r="J33" s="17" t="n">
        <x:v>1125</x:v>
      </x:c>
      <x:c r="K33" s="17" t="n">
        <x:v>0</x:v>
      </x:c>
      <x:c r="L33" s="17" t="n">
        <x:v>1125</x:v>
      </x:c>
      <x:c r="M33" s="17" t="n">
        <x:v>52677.7</x:v>
      </x:c>
      <x:c r="N33" s="14" t="str">
        <x:v>UPI</x:v>
      </x:c>
      <x:c r="O33" s="14" t="str">
        <x:v>No</x:v>
      </x:c>
      <x:c r="P33" s="14" t="str">
        <x:v>PAYTMQRFBYTAPTYS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46133</x:v>
      </x:c>
    </x:row>
    <x:row r="34">
      <x:c r="A34" s="14" t="n">
        <x:v>278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46134</x:v>
      </x:c>
      <x:c r="F34" s="15" t="n">
        <x:v>46134</x:v>
      </x:c>
      <x:c r="G34" s="16" t="str">
        <x:v>UPI/6112990875 99087582 UPI/611299087582/21:53:49/UPI/patildivya1511-1@ok</x:v>
      </x:c>
      <x:c r="H34" s="14" t="str"/>
      <x:c r="I34" s="14" t="str">
        <x:v>Receipt</x:v>
      </x:c>
      <x:c r="J34" s="17" t="n">
        <x:v>0</x:v>
      </x:c>
      <x:c r="K34" s="17" t="n">
        <x:v>50000</x:v>
      </x:c>
      <x:c r="L34" s="17" t="n">
        <x:v>50000</x:v>
      </x:c>
      <x:c r="M34" s="17" t="n">
        <x:v>52500</x:v>
      </x:c>
      <x:c r="N34" s="14" t="str">
        <x:v>UPI</x:v>
      </x:c>
      <x:c r="O34" s="14" t="str">
        <x:v>No</x:v>
      </x:c>
      <x:c r="P34" s="14" t="str">
        <x:v>PATILDIVYA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46134</x:v>
      </x:c>
    </x:row>
    <x:row r="35">
      <x:c r="A35" s="14" t="n">
        <x:v>307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46136</x:v>
      </x:c>
      <x:c r="F35" s="15" t="n">
        <x:v>46136</x:v>
      </x:c>
      <x:c r="G35" s="16" t="str">
        <x:v>UPI/8429589140 58914051 UPI/842958914051/18:57:56/UPI/9423374100@ybl/Paym</x:v>
      </x:c>
      <x:c r="H35" s="14" t="str"/>
      <x:c r="I35" s="14" t="str">
        <x:v>Receipt</x:v>
      </x:c>
      <x:c r="J35" s="17" t="n">
        <x:v>0</x:v>
      </x:c>
      <x:c r="K35" s="17" t="n">
        <x:v>80000</x:v>
      </x:c>
      <x:c r="L35" s="17" t="n">
        <x:v>80000</x:v>
      </x:c>
      <x:c r="M35" s="17" t="n">
        <x:v>117569</x:v>
      </x:c>
      <x:c r="N35" s="14" t="str">
        <x:v>UPI</x:v>
      </x:c>
      <x:c r="O35" s="14" t="str">
        <x:v>No</x:v>
      </x:c>
      <x:c r="P35" s="14" t="str">
        <x:v>UPI/# # UPI/#/#:#:#/UPI/#@YBL/PAYM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46136</x:v>
      </x:c>
    </x:row>
    <x:row r="36">
      <x:c r="A36" s="14" t="n">
        <x:v>337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46139</x:v>
      </x:c>
      <x:c r="F36" s="15" t="n">
        <x:v>46139</x:v>
      </x:c>
      <x:c r="G36" s="16" t="str">
        <x:v>UPI/6117042006 4200667 UPI/611704200667/14:46:49/UPI/harad9480-3@okicici</x:v>
      </x:c>
      <x:c r="H36" s="14" t="str"/>
      <x:c r="I36" s="14" t="str">
        <x:v>Receipt</x:v>
      </x:c>
      <x:c r="J36" s="17" t="n">
        <x:v>0</x:v>
      </x:c>
      <x:c r="K36" s="17" t="n">
        <x:v>1</x:v>
      </x:c>
      <x:c r="L36" s="17" t="n">
        <x:v>1</x:v>
      </x:c>
      <x:c r="M36" s="17" t="n">
        <x:v>92758</x:v>
      </x:c>
      <x:c r="N36" s="14" t="str">
        <x:v>UPI</x:v>
      </x:c>
      <x:c r="O36" s="14" t="str">
        <x:v>No</x:v>
      </x:c>
      <x:c r="P36" s="14" t="str">
        <x:v>UPI/# # UPI/#/#:#:#/UPI/HARAD#-#@OKICICI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46139</x:v>
      </x:c>
    </x:row>
    <x:row r="37">
      <x:c r="A37" s="14" t="n">
        <x:v>338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46139</x:v>
      </x:c>
      <x:c r="F37" s="15" t="n">
        <x:v>46139</x:v>
      </x:c>
      <x:c r="G37" s="16" t="str">
        <x:v>UPI/6117458829 45882969 UPI/611745882969/14:47:57/UPI/harad9480-3@okaxis/</x:v>
      </x:c>
      <x:c r="H37" s="14" t="str"/>
      <x:c r="I37" s="14" t="str">
        <x:v>Receipt</x:v>
      </x:c>
      <x:c r="J37" s="17" t="n">
        <x:v>0</x:v>
      </x:c>
      <x:c r="K37" s="17" t="n">
        <x:v>45000</x:v>
      </x:c>
      <x:c r="L37" s="17" t="n">
        <x:v>45000</x:v>
      </x:c>
      <x:c r="M37" s="17" t="n">
        <x:v>137758</x:v>
      </x:c>
      <x:c r="N37" s="14" t="str">
        <x:v>UPI</x:v>
      </x:c>
      <x:c r="O37" s="14" t="str">
        <x:v>No</x:v>
      </x:c>
      <x:c r="P37" s="14" t="str">
        <x:v>UPI/# # UPI/#/#:#:#/UPI/HARAD#-#@OKAXIS/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46139</x:v>
      </x:c>
    </x:row>
    <x:row r="38">
      <x:c r="A38" s="14" t="n">
        <x:v>349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46140</x:v>
      </x:c>
      <x:c r="F38" s="15" t="n">
        <x:v>46140</x:v>
      </x:c>
      <x:c r="G38" s="16" t="str">
        <x:v>UPI/6118698401 69840157 UPI/611869840157/10:49:20/UPI/akashshelar41-2@oki</x:v>
      </x:c>
      <x:c r="H38" s="14" t="str"/>
      <x:c r="I38" s="14" t="str">
        <x:v>Receipt</x:v>
      </x:c>
      <x:c r="J38" s="17" t="n">
        <x:v>0</x:v>
      </x:c>
      <x:c r="K38" s="17" t="n">
        <x:v>4200</x:v>
      </x:c>
      <x:c r="L38" s="17" t="n">
        <x:v>4200</x:v>
      </x:c>
      <x:c r="M38" s="17" t="n">
        <x:v>347949.6</x:v>
      </x:c>
      <x:c r="N38" s="14" t="str">
        <x:v>UPI; Recurring Transaction</x:v>
      </x:c>
      <x:c r="O38" s="14" t="str">
        <x:v>Yes</x:v>
      </x:c>
      <x:c r="P38" s="14" t="str">
        <x:v>AKASHSHELAR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46140</x:v>
      </x:c>
    </x:row>
    <x:row r="39">
      <x:c r="A39" s="14" t="n">
        <x:v>367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46141</x:v>
      </x:c>
      <x:c r="F39" s="15" t="n">
        <x:v>46141</x:v>
      </x:c>
      <x:c r="G39" s="16" t="str">
        <x:v>UPI/6485981469 98146908 UPI/648598146908/13:51:58/UPI/akashshelar41-2@oki</x:v>
      </x:c>
      <x:c r="H39" s="14" t="str"/>
      <x:c r="I39" s="14" t="str">
        <x:v>Receipt</x:v>
      </x:c>
      <x:c r="J39" s="17" t="n">
        <x:v>0</x:v>
      </x:c>
      <x:c r="K39" s="17" t="n">
        <x:v>4000</x:v>
      </x:c>
      <x:c r="L39" s="17" t="n">
        <x:v>4000</x:v>
      </x:c>
      <x:c r="M39" s="17" t="n">
        <x:v>6500</x:v>
      </x:c>
      <x:c r="N39" s="14" t="str">
        <x:v>UPI; Recurring Transaction</x:v>
      </x:c>
      <x:c r="O39" s="14" t="str">
        <x:v>Yes</x:v>
      </x:c>
      <x:c r="P39" s="14" t="str">
        <x:v>AKASHSHELAR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46141</x:v>
      </x:c>
    </x:row>
    <x:row r="40">
      <x:c r="A40" s="14" t="n">
        <x:v>385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46142</x:v>
      </x:c>
      <x:c r="F40" s="15" t="n">
        <x:v>46142</x:v>
      </x:c>
      <x:c r="G40" s="16" t="str">
        <x:v>UPI/1223593229 59322927 UPI/122359322927/08:14:36/UPI/shivprasad750758984</x:v>
      </x:c>
      <x:c r="H40" s="14" t="str"/>
      <x:c r="I40" s="14" t="str">
        <x:v>Receipt</x:v>
      </x:c>
      <x:c r="J40" s="17" t="n">
        <x:v>0</x:v>
      </x:c>
      <x:c r="K40" s="17" t="n">
        <x:v>11000</x:v>
      </x:c>
      <x:c r="L40" s="17" t="n">
        <x:v>11000</x:v>
      </x:c>
      <x:c r="M40" s="17" t="n">
        <x:v>12997.05</x:v>
      </x:c>
      <x:c r="N40" s="14" t="str">
        <x:v>UPI</x:v>
      </x:c>
      <x:c r="O40" s="14" t="str">
        <x:v>No</x:v>
      </x:c>
      <x:c r="P40" s="14" t="str">
        <x:v>SHIVPRASAD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59817aebfb74a0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SUM(Transactions!$J$2:$J$399)</x:f>
        <x:v>18129258.18999999</x:v>
      </x:c>
      <x:c r="C2" s="17" t="n">
        <x:f>SUM('Monthly Summary'!$I$2:$I$2)</x:f>
        <x:v>18129258.18999999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SUM(Transactions!$K$2:$K$399)</x:f>
        <x:v>17768567.189999994</x:v>
      </x:c>
      <x:c r="C3" s="17" t="n">
        <x:f>SUM('Monthly Summary'!$J$2:$J$2)</x:f>
        <x:v>17768567.189999994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Summary'!$N$2:$N$2,"OK")</x:f>
        <x:v>1</x:v>
      </x:c>
      <x:c r="C4" s="29" t="n">
        <x:f>1</x:f>
        <x:v>1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Summary'!$O$2:$O$2,"OK")</x:f>
        <x:v>1</x:v>
      </x:c>
      <x:c r="C5" s="29" t="n">
        <x:f>1</x:f>
        <x:v>1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COUNTA(Transactions!$A$2:$A$399)</x:f>
        <x:v>398</x:v>
      </x:c>
      <x:c r="C6" s="29" t="n">
        <x:f>398</x:f>
        <x:v>398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7b059fb35164dc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502 input.pdf</x:v>
      </x:c>
      <x:c r="B2" s="15" t="n">
        <x:v>46113</x:v>
      </x:c>
      <x:c r="C2" s="15" t="n">
        <x:v>46142</x:v>
      </x:c>
      <x:c r="D2" s="14" t="n">
        <x:v>21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b12b438084994a56"/>
  </x:tableParts>
</x:worksheet>
</file>