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0.xml" ContentType="application/vnd.openxmlformats-officedocument.spreadsheetml.table+xml"/>
  <Override PartName="/xl/worksheets/sheet19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27cbeb356146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91399dbe1044977"/>
    <x:sheet xmlns:r="http://schemas.openxmlformats.org/officeDocument/2006/relationships" name="Category Summary" sheetId="2" r:id="Ra5bc7bcb5fb04d45"/>
    <x:sheet xmlns:r="http://schemas.openxmlformats.org/officeDocument/2006/relationships" name="Category Details" sheetId="3" r:id="R9019e9f7eaaa44b1"/>
    <x:sheet xmlns:r="http://schemas.openxmlformats.org/officeDocument/2006/relationships" name="Monthly Summary" sheetId="4" r:id="Ra58eea516462427b"/>
    <x:sheet xmlns:r="http://schemas.openxmlformats.org/officeDocument/2006/relationships" name="Transactions" sheetId="5" r:id="R07b47071cd434797"/>
    <x:sheet xmlns:r="http://schemas.openxmlformats.org/officeDocument/2006/relationships" name="Detail Total" sheetId="6" r:id="Rfdb152754d1148de"/>
    <x:sheet xmlns:r="http://schemas.openxmlformats.org/officeDocument/2006/relationships" name="Detail Cash" sheetId="7" r:id="R2edfabc3c55c4fcc"/>
    <x:sheet xmlns:r="http://schemas.openxmlformats.org/officeDocument/2006/relationships" name="Detail Recurring Transaction" sheetId="8" r:id="R06d0f999c1334249"/>
    <x:sheet xmlns:r="http://schemas.openxmlformats.org/officeDocument/2006/relationships" name="Detail EMI" sheetId="9" r:id="R0f984a76b2a2492d"/>
    <x:sheet xmlns:r="http://schemas.openxmlformats.org/officeDocument/2006/relationships" name="Detail Salary" sheetId="10" r:id="R100837902c454748"/>
    <x:sheet xmlns:r="http://schemas.openxmlformats.org/officeDocument/2006/relationships" name="Detail High Transaction" sheetId="11" r:id="Re2c08057ce7544c7"/>
    <x:sheet xmlns:r="http://schemas.openxmlformats.org/officeDocument/2006/relationships" name="Detail Total Receipts and Payme" sheetId="12" r:id="Ra0e48cca31314cf5"/>
    <x:sheet xmlns:r="http://schemas.openxmlformats.org/officeDocument/2006/relationships" name="Detail UPI" sheetId="13" r:id="R33928cb0000e4b92"/>
    <x:sheet xmlns:r="http://schemas.openxmlformats.org/officeDocument/2006/relationships" name="Detail LIC" sheetId="14" r:id="R40724b4ab6894564"/>
    <x:sheet xmlns:r="http://schemas.openxmlformats.org/officeDocument/2006/relationships" name="Detail FD interest" sheetId="15" r:id="R018c75d9a3094b5d"/>
    <x:sheet xmlns:r="http://schemas.openxmlformats.org/officeDocument/2006/relationships" name="Detail FD Deposit and withdrawa" sheetId="16" r:id="Re7317fd29dd94059"/>
    <x:sheet xmlns:r="http://schemas.openxmlformats.org/officeDocument/2006/relationships" name="Detail PPF PF interest and cont" sheetId="17" r:id="R8163e1aa638b4c59"/>
    <x:sheet xmlns:r="http://schemas.openxmlformats.org/officeDocument/2006/relationships" name="Checks" sheetId="18" r:id="R622528dfb0fb41c5"/>
    <x:sheet xmlns:r="http://schemas.openxmlformats.org/officeDocument/2006/relationships" name="Sources" sheetId="19" r:id="R2d6edfcc44a848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₹#,##0.00;[Red](₹#,##0.00);-"/>
    <x:numFmt numFmtId="202" formatCode="#,##0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0"/>
      <x:name val="Aptos"/>
    </x:font>
    <x:font>
      <x:b/>
      <x:sz val="16"/>
      <x:color rgb="FFFFFFFF"/>
      <x:name val="Aptos Display"/>
    </x:font>
  </x:fonts>
  <x:fills count="6">
    <x:fill>
      <x:patternFill patternType="none"/>
    </x:fill>
    <x:fill>
      <x:patternFill patternType="gray125"/>
    </x:fill>
    <x:fill>
      <x:patternFill patternType="solid">
        <x:fgColor rgb="FF315A7D"/>
      </x:patternFill>
    </x:fill>
    <x:fill>
      <x:patternFill patternType="solid">
        <x:fgColor rgb="FFFFFFFF"/>
      </x:patternFill>
    </x:fill>
    <x:fill>
      <x:patternFill patternType="solid">
        <x:fgColor rgb="FF17324D"/>
      </x:patternFill>
    </x:fill>
    <x:fill>
      <x:patternFill patternType="solid">
        <x:fgColor rgb="FFEAF2F8"/>
      </x:patternFill>
    </x:fill>
  </x:fills>
  <x:borders count="3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0" fillId="3" borderId="2" xfId="0" applyNumberFormat="1" applyFont="1" applyFill="1" applyBorder="1" applyAlignment="1">
      <x:alignment vertical="top"/>
    </x:xf>
    <x:xf numFmtId="200" fontId="0" fillId="3" borderId="2" xfId="0" applyNumberFormat="1" applyFont="1" applyFill="1" applyBorder="1" applyAlignment="1">
      <x:alignment vertical="top"/>
    </x:xf>
    <x:xf numFmtId="201" fontId="0" fillId="3" borderId="2" xfId="0" applyNumberFormat="1" applyFont="1" applyFill="1" applyBorder="1" applyAlignment="1">
      <x:alignment vertical="top"/>
    </x:xf>
    <x:xf numFmtId="0" fontId="0" fillId="3" borderId="2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vertical="top"/>
    </x:xf>
    <x:xf numFmtId="200" fontId="3" fillId="3" borderId="2" xfId="0" applyNumberFormat="1" applyFont="1" applyFill="1" applyBorder="1" applyAlignment="1">
      <x:alignment vertical="top"/>
    </x:xf>
    <x:xf numFmtId="0" fontId="3" fillId="3" borderId="2" xfId="0" applyNumberFormat="1" applyFont="1" applyFill="1" applyBorder="1" applyAlignment="1">
      <x:alignment vertical="top" wrapText="1"/>
    </x:xf>
    <x:xf numFmtId="201" fontId="3" fillId="3" borderId="2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2" fillId="4" borderId="0" xfId="0" applyNumberFormat="1" applyFont="1" applyFill="1" applyBorder="1" applyAlignment="1">
      <x:alignment horizontal="center" vertical="center"/>
    </x:xf>
    <x:xf numFmtId="0" fontId="6" fillId="5" borderId="1" xfId="0" applyNumberFormat="1" applyFont="1" applyFill="1" applyBorder="1"/>
    <x:xf numFmtId="0" fontId="3" fillId="0" borderId="0" xfId="0" applyNumberFormat="1" applyFont="1" applyFill="1" applyBorder="1"/>
    <x:xf numFmtId="202" fontId="0" fillId="3" borderId="2" xfId="0" applyNumberFormat="1" applyFont="1" applyFill="1" applyBorder="1" applyAlignment="1">
      <x:alignment vertical="top"/>
    </x:xf>
    <x:xf numFmtId="202" fontId="3" fillId="3" borderId="2" xfId="0" applyNumberFormat="1" applyFont="1" applyFill="1" applyBorder="1" applyAlignment="1">
      <x:alignment vertical="top"/>
    </x:xf>
    <x:xf numFmtId="0" fontId="0" fillId="5" borderId="2" xfId="0" applyNumberFormat="1" applyFont="1" applyFill="1" applyBorder="1" applyAlignment="1">
      <x:alignment vertical="top"/>
    </x:xf>
    <x:xf numFmtId="0" fontId="5" fillId="5" borderId="2" xfId="0" applyNumberFormat="1" applyFont="1" applyFill="1" applyBorder="1" applyAlignment="1">
      <x:alignment vertical="top"/>
    </x:xf>
    <x:xf numFmtId="0" fontId="5" fillId="5" borderId="1" xfId="0" applyNumberFormat="1" applyFont="1" applyFill="1" applyBorder="1" applyAlignment="1">
      <x:alignment vertical="top"/>
    </x:xf>
    <x:xf numFmtId="0" fontId="6" fillId="5" borderId="1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1db6caf9654b9a" /><Relationship Type="http://schemas.openxmlformats.org/officeDocument/2006/relationships/theme" Target="/xl/theme/theme1.xml" Id="R2992baca26814f7e" /><Relationship Type="http://schemas.openxmlformats.org/officeDocument/2006/relationships/sharedStrings" Target="/xl/sharedStrings.xml" Id="R1856e4280cae4ea0" /><Relationship Type="http://schemas.openxmlformats.org/officeDocument/2006/relationships/worksheet" Target="/xl/worksheets/sheet1.xml" Id="R491399dbe1044977" /><Relationship Type="http://schemas.openxmlformats.org/officeDocument/2006/relationships/worksheet" Target="/xl/worksheets/sheet2.xml" Id="Ra5bc7bcb5fb04d45" /><Relationship Type="http://schemas.openxmlformats.org/officeDocument/2006/relationships/worksheet" Target="/xl/worksheets/sheet3.xml" Id="R9019e9f7eaaa44b1" /><Relationship Type="http://schemas.openxmlformats.org/officeDocument/2006/relationships/worksheet" Target="/xl/worksheets/sheet4.xml" Id="Ra58eea516462427b" /><Relationship Type="http://schemas.openxmlformats.org/officeDocument/2006/relationships/worksheet" Target="/xl/worksheets/sheet5.xml" Id="R07b47071cd434797" /><Relationship Type="http://schemas.openxmlformats.org/officeDocument/2006/relationships/worksheet" Target="/xl/worksheets/sheet6.xml" Id="Rfdb152754d1148de" /><Relationship Type="http://schemas.openxmlformats.org/officeDocument/2006/relationships/worksheet" Target="/xl/worksheets/sheet7.xml" Id="R2edfabc3c55c4fcc" /><Relationship Type="http://schemas.openxmlformats.org/officeDocument/2006/relationships/worksheet" Target="/xl/worksheets/sheet8.xml" Id="R06d0f999c1334249" /><Relationship Type="http://schemas.openxmlformats.org/officeDocument/2006/relationships/worksheet" Target="/xl/worksheets/sheet9.xml" Id="R0f984a76b2a2492d" /><Relationship Type="http://schemas.openxmlformats.org/officeDocument/2006/relationships/worksheet" Target="/xl/worksheets/sheet10.xml" Id="R100837902c454748" /><Relationship Type="http://schemas.openxmlformats.org/officeDocument/2006/relationships/worksheet" Target="/xl/worksheets/sheet11.xml" Id="Re2c08057ce7544c7" /><Relationship Type="http://schemas.openxmlformats.org/officeDocument/2006/relationships/worksheet" Target="/xl/worksheets/sheet12.xml" Id="Ra0e48cca31314cf5" /><Relationship Type="http://schemas.openxmlformats.org/officeDocument/2006/relationships/worksheet" Target="/xl/worksheets/sheet13.xml" Id="R33928cb0000e4b92" /><Relationship Type="http://schemas.openxmlformats.org/officeDocument/2006/relationships/worksheet" Target="/xl/worksheets/sheet14.xml" Id="R40724b4ab6894564" /><Relationship Type="http://schemas.openxmlformats.org/officeDocument/2006/relationships/worksheet" Target="/xl/worksheets/sheet15.xml" Id="R018c75d9a3094b5d" /><Relationship Type="http://schemas.openxmlformats.org/officeDocument/2006/relationships/worksheet" Target="/xl/worksheets/sheet16.xml" Id="Re7317fd29dd94059" /><Relationship Type="http://schemas.openxmlformats.org/officeDocument/2006/relationships/worksheet" Target="/xl/worksheets/sheet17.xml" Id="R8163e1aa638b4c59" /><Relationship Type="http://schemas.openxmlformats.org/officeDocument/2006/relationships/worksheet" Target="/xl/worksheets/sheet18.xml" Id="R622528dfb0fb41c5" /><Relationship Type="http://schemas.openxmlformats.org/officeDocument/2006/relationships/worksheet" Target="/xl/worksheets/sheet19.xml" Id="R2d6edfcc44a8480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9d40dce5fc949a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Receipts and Payments by Month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Receipts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'Dashboard'!$H$4</c:f>
              <c:strCache>
                <c:ptCount val="0"/>
              </c:strCache>
            </c:strRef>
          </c:cat>
          <c:val>
            <c:numRef>
              <c:f>'Dashboard'!$I$4</c:f>
              <c:numCache>
                <c:formatCode>₹#,##0.00;[Red](₹#,##0.00);-</c:formatCode>
                <c:ptCount val="0"/>
              </c:numCache>
            </c:numRef>
          </c:val>
        </c:ser>
        <c:ser>
          <c:idx val="1"/>
          <c:order val="1"/>
          <c:tx>
            <c:v>Payments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'Dashboard'!$H$4</c:f>
              <c:strCache>
                <c:ptCount val="0"/>
              </c:strCache>
            </c:strRef>
          </c:cat>
          <c:val>
            <c:numRef>
              <c:f>'Dashboard'!$J$4</c:f>
              <c:numCache>
                <c:formatCode>₹#,##0.00;[Red](₹#,##0.00);-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15</xdr:row>
      <xdr:rowOff>0</xdr:rowOff>
    </xdr:from>
    <xdr:to>
      <xdr:col>13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d40dce5fc949a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8" name="CategorySummaryTable" displayName="CategorySummaryTable" ref="A1:H12" headerRowCount="1">
  <x:tableColumns count="8">
    <x:tableColumn id="1" name="Requested Category"/>
    <x:tableColumn id="2" name="Match Term"/>
    <x:tableColumn id="3" name="Receipt Count"/>
    <x:tableColumn id="4" name="Receipts"/>
    <x:tableColumn id="5" name="Payment Count"/>
    <x:tableColumn id="6" name="Payments"/>
    <x:tableColumn id="7" name="Net"/>
    <x:tableColumn id="8" name="Notes"/>
  </x:tableColumns>
  <x:tableStyleInfo name="TableStyleMedium2" showRowStripes="1"/>
</x:table>
</file>

<file path=xl/tables/table2.xml><?xml version="1.0" encoding="utf-8"?>
<x:table xmlns:x="http://schemas.openxmlformats.org/spreadsheetml/2006/main" id="9" name="CategoryDetailsTable" displayName="CategoryDetailsTable" ref="A3:H15" headerRowCount="1">
  <x:tableColumns count="8">
    <x:tableColumn id="1" name="Category"/>
    <x:tableColumn id="2" name="Detail Sheet"/>
    <x:tableColumn id="3" name="Rows"/>
    <x:tableColumn id="4" name="Receipt Count"/>
    <x:tableColumn id="5" name="Receipts"/>
    <x:tableColumn id="6" name="Payment Count"/>
    <x:tableColumn id="7" name="Payments"/>
    <x:tableColumn id="8" name="Net"/>
  </x:tableColumns>
  <x:tableStyleInfo name="TableStyleMedium2" showRowStripes="1"/>
</x:table>
</file>

<file path=xl/tables/table3.xml><?xml version="1.0" encoding="utf-8"?>
<x:table xmlns:x="http://schemas.openxmlformats.org/spreadsheetml/2006/main" id="7" name="MonthlySummaryTable" displayName="MonthlySummaryTable" ref="A1:O2" headerRowCount="1">
  <x:tableColumns count="15">
    <x:tableColumn id="1" name="Month Key"/>
    <x:tableColumn id="2" name="From"/>
    <x:tableColumn id="3" name="To"/>
    <x:tableColumn id="4" name="Period"/>
    <x:tableColumn id="5" name="Transactions"/>
    <x:tableColumn id="6" name="Opening Balance"/>
    <x:tableColumn id="7" name="Dr Count"/>
    <x:tableColumn id="8" name="Cr Count"/>
    <x:tableColumn id="9" name="Payments"/>
    <x:tableColumn id="10" name="Receipts"/>
    <x:tableColumn id="11" name="Closing Balance"/>
    <x:tableColumn id="12" name="Parsed Payments"/>
    <x:tableColumn id="13" name="Parsed Receipts"/>
    <x:tableColumn id="14" name="Payment Check"/>
    <x:tableColumn id="15" name="Receipt Check"/>
  </x:tableColumns>
  <x:tableStyleInfo name="TableStyleMedium2" showRowStripes="1"/>
</x:table>
</file>

<file path=xl/tables/table4.xml><?xml version="1.0" encoding="utf-8"?>
<x:table xmlns:x="http://schemas.openxmlformats.org/spreadsheetml/2006/main" id="1" name="TransactionsTable" displayName="TransactionsTable" ref="A1:AA141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5.xml><?xml version="1.0" encoding="utf-8"?>
<x:table xmlns:x="http://schemas.openxmlformats.org/spreadsheetml/2006/main" id="2" name="TotalDetailTable" displayName="TotalDetailTable" ref="A4:AA144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6.xml><?xml version="1.0" encoding="utf-8"?>
<x:table xmlns:x="http://schemas.openxmlformats.org/spreadsheetml/2006/main" id="3" name="CashDetailTable" displayName="CashDetailTable" ref="A4:AA26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7.xml><?xml version="1.0" encoding="utf-8"?>
<x:table xmlns:x="http://schemas.openxmlformats.org/spreadsheetml/2006/main" id="4" name="RecurringTransactionDetailTable" displayName="RecurringTransactionDetailTable" ref="A4:AA122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8.xml><?xml version="1.0" encoding="utf-8"?>
<x:table xmlns:x="http://schemas.openxmlformats.org/spreadsheetml/2006/main" id="5" name="HighTransactionDetailTable" displayName="HighTransactionDetailTable" ref="A4:AA96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9.xml><?xml version="1.0" encoding="utf-8"?>
<x:table xmlns:x="http://schemas.openxmlformats.org/spreadsheetml/2006/main" id="6" name="TotalReceiptsandPaymentsDetailTable" displayName="TotalReceiptsandPaymentsDetailTable" ref="A4:AA144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10.xml><?xml version="1.0" encoding="utf-8"?>
<x:table xmlns:x="http://schemas.openxmlformats.org/spreadsheetml/2006/main" id="10" name="ChecksTable" displayName="ChecksTable" ref="A1:F7" headerRowCount="1">
  <x:tableColumns count="6">
    <x:tableColumn id="1" name="Check"/>
    <x:tableColumn id="2" name="Actual"/>
    <x:tableColumn id="3" name="Expected"/>
    <x:tableColumn id="4" name="Difference"/>
    <x:tableColumn id="5" name="Tolerance"/>
    <x:tableColumn id="6" name="Status"/>
  </x:tableColumns>
  <x:tableStyleInfo name="TableStyleMedium2" showRowStripes="1"/>
</x:table>
</file>

<file path=xl/tables/table11.xml><?xml version="1.0" encoding="utf-8"?>
<x:table xmlns:x="http://schemas.openxmlformats.org/spreadsheetml/2006/main" id="11" name="SourcesTable" displayName="SourcesTable" ref="A1:E2" headerRowCount="1">
  <x:tableColumns count="5">
    <x:tableColumn id="1" name="Source File"/>
    <x:tableColumn id="2" name="Statement From"/>
    <x:tableColumn id="3" name="Statement To"/>
    <x:tableColumn id="4" name="Pages"/>
    <x:tableColumn id="5" name="Layout Revie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4d760a41dd746d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5b3a65dcbd41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fbc10065d244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57074fffd84c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5ddd0b07a541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0395699840e44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9cf4f5b1c84c9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7675cd863d14fa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02bceb39ca97456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392a5f49633d490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0.xml" Id="R5c02c88a44ac466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1.xml" Id="R3aa4a75d8fe240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5" hidden="0" customWidth="1"/>
    <x:col min="4" max="4" width="14" hidden="0" customWidth="1"/>
    <x:col min="5" max="5" width="15" hidden="0" customWidth="1"/>
    <x:col min="6" max="6" width="15" hidden="0" customWidth="1"/>
    <x:col min="7" max="7" width="3" hidden="0" customWidth="1"/>
    <x:col min="8" max="8" width="14" hidden="0" customWidth="1"/>
    <x:col min="9" max="9" width="15" hidden="0" customWidth="1"/>
    <x:col min="10" max="10" width="15" hidden="0" customWidth="1"/>
    <x:col min="11" max="11" width="15" hidden="0" customWidth="1"/>
    <x:col min="12" max="12" width="16" hidden="0" customWidth="1"/>
    <x:col min="13" max="13" width="12" hidden="0" customWidth="1"/>
  </x:cols>
  <x:sheetData>
    <x:row r="1" ht="30" customHeight="1">
      <x:c r="A1" s="34" t="str">
        <x:v>HDFC Bank Statement Analysis</x:v>
      </x:c>
      <x:c r="B1" s="34" t="str">
        <x:v>HDFC Bank Statement Analysis</x:v>
      </x:c>
      <x:c r="C1" s="34" t="str">
        <x:v>HDFC Bank Statement Analysis</x:v>
      </x:c>
      <x:c r="D1" s="34" t="str">
        <x:v>HDFC Bank Statement Analysis</x:v>
      </x:c>
      <x:c r="E1" s="34" t="str">
        <x:v>HDFC Bank Statement Analysis</x:v>
      </x:c>
      <x:c r="F1" s="34" t="str">
        <x:v>HDFC Bank Statement Analysis</x:v>
      </x:c>
      <x:c r="G1" s="34" t="str">
        <x:v>HDFC Bank Statement Analysis</x:v>
      </x:c>
      <x:c r="H1" s="34" t="str">
        <x:v>HDFC Bank Statement Analysis</x:v>
      </x:c>
      <x:c r="I1" s="27"/>
      <x:c r="J1" s="27"/>
      <x:c r="K1" s="27"/>
      <x:c r="L1" s="27"/>
      <x:c r="M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</x:row>
    <x:row r="3">
      <x:c r="A3" s="14" t="str">
        <x:v>Period Covered</x:v>
      </x:c>
      <x:c r="B3" s="14" t="str">
        <x:v>Apr 2026 to Apr 2026</x:v>
      </x:c>
      <x:c r="C3" s="27"/>
      <x:c r="D3" s="27"/>
      <x:c r="E3" s="27"/>
      <x:c r="F3" s="27"/>
      <x:c r="G3" s="27"/>
      <x:c r="H3" s="13" t="str">
        <x:v>Period</x:v>
      </x:c>
      <x:c r="I3" s="13" t="str">
        <x:v>Receipts</x:v>
      </x:c>
      <x:c r="J3" s="13" t="str">
        <x:v>Payments</x:v>
      </x:c>
      <x:c r="K3" s="13" t="str">
        <x:v>Net</x:v>
      </x:c>
      <x:c r="L3" s="13" t="str">
        <x:v>Closing Balance</x:v>
      </x:c>
      <x:c r="M3" s="13" t="str">
        <x:v>Checks</x:v>
      </x:c>
    </x:row>
    <x:row r="4">
      <x:c r="A4" s="14" t="str">
        <x:v>Statements Reviewed</x:v>
      </x:c>
      <x:c r="B4" s="14" t="n">
        <x:v>1</x:v>
      </x:c>
      <x:c r="C4" s="27"/>
      <x:c r="D4" s="27"/>
      <x:c r="E4" s="27"/>
      <x:c r="F4" s="27"/>
      <x:c r="G4" s="27"/>
      <x:c r="H4" s="14" t="str">
        <x:f>'Monthly Summary'!D2</x:f>
        <x:v>Apr 2026</x:v>
      </x:c>
      <x:c r="I4" s="17" t="n">
        <x:f>'Monthly Summary'!J2</x:f>
        <x:v>23457812.249999996</x:v>
      </x:c>
      <x:c r="J4" s="17" t="n">
        <x:f>'Monthly Summary'!I2</x:f>
        <x:v>23775996.040000007</x:v>
      </x:c>
      <x:c r="K4" s="17" t="n">
        <x:f>ROUND(I4-J4,2)</x:f>
        <x:v>-318183.79</x:v>
      </x:c>
      <x:c r="L4" s="17" t="n">
        <x:f>'Monthly Summary'!K2</x:f>
        <x:v>-8954039.39</x:v>
      </x:c>
      <x:c r="M4" s="14" t="str">
        <x:f>'Monthly Summary'!N2&amp;"/"&amp;'Monthly Summary'!O2</x:f>
        <x:v>OK/OK</x:v>
      </x:c>
    </x:row>
    <x:row r="5">
      <x:c r="A5" s="14" t="str">
        <x:v>Transactions Parsed</x:v>
      </x:c>
      <x:c r="B5" s="14" t="n">
        <x:v>140</x:v>
      </x:c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</x:row>
    <x:row r="6">
      <x:c r="A6" s="27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</x:row>
    <x:row r="7">
      <x:c r="A7" s="33" t="str">
        <x:v>Total Receipts</x:v>
      </x:c>
      <x:c r="B7" s="17" t="n">
        <x:f>'Category Summary'!D2</x:f>
        <x:v>23457812.249999996</x:v>
      </x:c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</x:row>
    <x:row r="8">
      <x:c r="A8" s="33" t="str">
        <x:v>Total Payments</x:v>
      </x:c>
      <x:c r="B8" s="17" t="n">
        <x:f>'Category Summary'!F2</x:f>
        <x:v>23775996.040000007</x:v>
      </x:c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</x:row>
    <x:row r="9">
      <x:c r="A9" s="33" t="str">
        <x:v>Net Movement</x:v>
      </x:c>
      <x:c r="B9" s="17" t="n">
        <x:f>ROUND('Category Summary'!G2,2)</x:f>
        <x:v>-318183.79</x:v>
      </x:c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</x:row>
    <x:row r="10">
      <x:c r="A10" s="33" t="str">
        <x:v>Cash Receipts</x:v>
      </x:c>
      <x:c r="B10" s="17" t="n">
        <x:f>'Category Summary'!D3</x:f>
        <x:v>6396000</x:v>
      </x:c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</x:row>
    <x:row r="11">
      <x:c r="A11" s="33" t="str">
        <x:v>High Transaction Value</x:v>
      </x:c>
      <x:c r="B11" s="17" t="n">
        <x:f>ROUND('Category Summary'!D7-'Category Summary'!F7,2)</x:f>
        <x:v>-762481.69</x:v>
      </x:c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</x:row>
    <x:row r="12">
      <x:c r="A12" s="33" t="str">
        <x:v>Recurring Transaction Value</x:v>
      </x:c>
      <x:c r="B12" s="17" t="n">
        <x:f>ROUND('Category Summary'!D4-'Category Summary'!F4,2)</x:f>
        <x:v>643730.99</x:v>
      </x:c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</x:row>
    <x:row r="13">
      <x:c r="A13" s="33" t="str">
        <x:v>UPI / LIC / EMI / Salary</x:v>
      </x:c>
      <x:c r="B13" s="17" t="n">
        <x:f>ROUND('Category Summary'!G8+'Category Summary'!G9+'Category Summary'!G5+'Category Summary'!G6,2)</x:f>
        <x:v>0</x:v>
      </x:c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</x:row>
    <x:row r="15">
      <x:c r="A15" s="13" t="str">
        <x:v>Category</x:v>
      </x:c>
      <x:c r="B15" s="13" t="str">
        <x:v>Receipt Count</x:v>
      </x:c>
      <x:c r="C15" s="13" t="str">
        <x:v>Receipts</x:v>
      </x:c>
      <x:c r="D15" s="13" t="str">
        <x:v>Payment Count</x:v>
      </x:c>
      <x:c r="E15" s="13" t="str">
        <x:v>Payments</x:v>
      </x:c>
      <x:c r="F15" s="13" t="str">
        <x:v>Net</x:v>
      </x:c>
      <x:c r="G15" s="27"/>
      <x:c r="H15" s="27"/>
      <x:c r="I15" s="27"/>
      <x:c r="J15" s="27"/>
      <x:c r="K15" s="27"/>
      <x:c r="L15" s="27"/>
      <x:c r="M15" s="27"/>
    </x:row>
    <x:row r="16">
      <x:c r="A16" s="14" t="str">
        <x:f>'Category Summary'!A2</x:f>
        <x:v>Total</x:v>
      </x:c>
      <x:c r="B16" s="14" t="n">
        <x:f>'Category Summary'!C2</x:f>
        <x:v>86</x:v>
      </x:c>
      <x:c r="C16" s="17" t="n">
        <x:f>'Category Summary'!D2</x:f>
        <x:v>23457812.249999996</x:v>
      </x:c>
      <x:c r="D16" s="17" t="n">
        <x:f>'Category Summary'!E2</x:f>
        <x:v>54</x:v>
      </x:c>
      <x:c r="E16" s="17" t="n">
        <x:f>'Category Summary'!F2</x:f>
        <x:v>23775996.040000007</x:v>
      </x:c>
      <x:c r="F16" s="17" t="n">
        <x:f>'Category Summary'!G2</x:f>
        <x:v>-318183.79</x:v>
      </x:c>
      <x:c r="G16" s="27"/>
      <x:c r="H16" s="27"/>
      <x:c r="I16" s="27"/>
      <x:c r="J16" s="27"/>
      <x:c r="K16" s="27"/>
      <x:c r="L16" s="27"/>
      <x:c r="M16" s="27"/>
    </x:row>
    <x:row r="17">
      <x:c r="A17" s="14" t="str">
        <x:f>'Category Summary'!A3</x:f>
        <x:v>Cash</x:v>
      </x:c>
      <x:c r="B17" s="14" t="n">
        <x:f>'Category Summary'!C3</x:f>
        <x:v>22</x:v>
      </x:c>
      <x:c r="C17" s="17" t="n">
        <x:f>'Category Summary'!D3</x:f>
        <x:v>6396000</x:v>
      </x:c>
      <x:c r="D17" s="17" t="n">
        <x:f>'Category Summary'!E3</x:f>
        <x:v>0</x:v>
      </x:c>
      <x:c r="E17" s="17" t="n">
        <x:f>'Category Summary'!F3</x:f>
        <x:v>0</x:v>
      </x:c>
      <x:c r="F17" s="17" t="n">
        <x:f>'Category Summary'!G3</x:f>
        <x:v>6396000</x:v>
      </x:c>
      <x:c r="G17" s="27"/>
      <x:c r="H17" s="27"/>
      <x:c r="I17" s="27"/>
      <x:c r="J17" s="27"/>
      <x:c r="K17" s="27"/>
      <x:c r="L17" s="27"/>
      <x:c r="M17" s="27"/>
    </x:row>
    <x:row r="18">
      <x:c r="A18" s="14" t="str">
        <x:f>'Category Summary'!A4</x:f>
        <x:v>Recurring Transaction</x:v>
      </x:c>
      <x:c r="B18" s="14" t="n">
        <x:f>'Category Summary'!C4</x:f>
        <x:v>85</x:v>
      </x:c>
      <x:c r="C18" s="17" t="n">
        <x:f>'Category Summary'!D4</x:f>
        <x:v>23018812.249999993</x:v>
      </x:c>
      <x:c r="D18" s="17" t="n">
        <x:f>'Category Summary'!E4</x:f>
        <x:v>33</x:v>
      </x:c>
      <x:c r="E18" s="17" t="n">
        <x:f>'Category Summary'!F4</x:f>
        <x:v>22375081.259999998</x:v>
      </x:c>
      <x:c r="F18" s="17" t="n">
        <x:f>'Category Summary'!G4</x:f>
        <x:v>643730.99</x:v>
      </x:c>
      <x:c r="G18" s="27"/>
      <x:c r="H18" s="27"/>
      <x:c r="I18" s="27"/>
      <x:c r="J18" s="27"/>
      <x:c r="K18" s="27"/>
      <x:c r="L18" s="27"/>
      <x:c r="M18" s="27"/>
    </x:row>
    <x:row r="19">
      <x:c r="A19" s="14" t="str">
        <x:f>'Category Summary'!A5</x:f>
        <x:v>EMI</x:v>
      </x:c>
      <x:c r="B19" s="14" t="n">
        <x:f>'Category Summary'!C5</x:f>
        <x:v>0</x:v>
      </x:c>
      <x:c r="C19" s="17" t="n">
        <x:f>'Category Summary'!D5</x:f>
        <x:v>0</x:v>
      </x:c>
      <x:c r="D19" s="17" t="n">
        <x:f>'Category Summary'!E5</x:f>
        <x:v>0</x:v>
      </x:c>
      <x:c r="E19" s="17" t="n">
        <x:f>'Category Summary'!F5</x:f>
        <x:v>0</x:v>
      </x:c>
      <x:c r="F19" s="17" t="n">
        <x:f>'Category Summary'!G5</x:f>
        <x:v>0</x:v>
      </x:c>
      <x:c r="G19" s="27"/>
      <x:c r="H19" s="27"/>
      <x:c r="I19" s="27"/>
      <x:c r="J19" s="27"/>
      <x:c r="K19" s="27"/>
      <x:c r="L19" s="27"/>
      <x:c r="M19" s="27"/>
    </x:row>
    <x:row r="20">
      <x:c r="A20" s="14" t="str">
        <x:f>'Category Summary'!A6</x:f>
        <x:v>Salary</x:v>
      </x:c>
      <x:c r="B20" s="14" t="n">
        <x:f>'Category Summary'!C6</x:f>
        <x:v>0</x:v>
      </x:c>
      <x:c r="C20" s="17" t="n">
        <x:f>'Category Summary'!D6</x:f>
        <x:v>0</x:v>
      </x:c>
      <x:c r="D20" s="17" t="n">
        <x:f>'Category Summary'!E6</x:f>
        <x:v>0</x:v>
      </x:c>
      <x:c r="E20" s="17" t="n">
        <x:f>'Category Summary'!F6</x:f>
        <x:v>0</x:v>
      </x:c>
      <x:c r="F20" s="17" t="n">
        <x:f>'Category Summary'!G6</x:f>
        <x:v>0</x:v>
      </x:c>
      <x:c r="G20" s="27"/>
      <x:c r="H20" s="27"/>
      <x:c r="I20" s="27"/>
      <x:c r="J20" s="27"/>
      <x:c r="K20" s="27"/>
      <x:c r="L20" s="27"/>
      <x:c r="M20" s="27"/>
    </x:row>
    <x:row r="21">
      <x:c r="A21" s="14" t="str">
        <x:f>'Category Summary'!A7</x:f>
        <x:v>High Transaction</x:v>
      </x:c>
      <x:c r="B21" s="14" t="n">
        <x:f>'Category Summary'!C7</x:f>
        <x:v>72</x:v>
      </x:c>
      <x:c r="C21" s="17" t="n">
        <x:f>'Category Summary'!D7</x:f>
        <x:v>22714674.73999999</x:v>
      </x:c>
      <x:c r="D21" s="17" t="n">
        <x:f>'Category Summary'!E7</x:f>
        <x:v>20</x:v>
      </x:c>
      <x:c r="E21" s="17" t="n">
        <x:f>'Category Summary'!F7</x:f>
        <x:v>23477156.43</x:v>
      </x:c>
      <x:c r="F21" s="17" t="n">
        <x:f>'Category Summary'!G7</x:f>
        <x:v>-762481.69</x:v>
      </x:c>
      <x:c r="G21" s="27"/>
      <x:c r="H21" s="27"/>
      <x:c r="I21" s="27"/>
      <x:c r="J21" s="27"/>
      <x:c r="K21" s="27"/>
      <x:c r="L21" s="27"/>
      <x:c r="M21" s="27"/>
    </x:row>
    <x:row r="22">
      <x:c r="A22" s="14" t="str">
        <x:f>'Category Summary'!A8</x:f>
        <x:v>UPI</x:v>
      </x:c>
      <x:c r="B22" s="14" t="n">
        <x:f>'Category Summary'!C8</x:f>
        <x:v>0</x:v>
      </x:c>
      <x:c r="C22" s="17" t="n">
        <x:f>'Category Summary'!D8</x:f>
        <x:v>0</x:v>
      </x:c>
      <x:c r="D22" s="17" t="n">
        <x:f>'Category Summary'!E8</x:f>
        <x:v>0</x:v>
      </x:c>
      <x:c r="E22" s="17" t="n">
        <x:f>'Category Summary'!F8</x:f>
        <x:v>0</x:v>
      </x:c>
      <x:c r="F22" s="17" t="n">
        <x:f>'Category Summary'!G8</x:f>
        <x:v>0</x:v>
      </x:c>
      <x:c r="G22" s="27"/>
      <x:c r="H22" s="27"/>
      <x:c r="I22" s="27"/>
      <x:c r="J22" s="27"/>
      <x:c r="K22" s="27"/>
      <x:c r="L22" s="27"/>
      <x:c r="M22" s="27"/>
    </x:row>
    <x:row r="23">
      <x:c r="A23" s="14" t="str">
        <x:f>'Category Summary'!A9</x:f>
        <x:v>LIC</x:v>
      </x:c>
      <x:c r="B23" s="14" t="n">
        <x:f>'Category Summary'!C9</x:f>
        <x:v>0</x:v>
      </x:c>
      <x:c r="C23" s="17" t="n">
        <x:f>'Category Summary'!D9</x:f>
        <x:v>0</x:v>
      </x:c>
      <x:c r="D23" s="17" t="n">
        <x:f>'Category Summary'!E9</x:f>
        <x:v>0</x:v>
      </x:c>
      <x:c r="E23" s="17" t="n">
        <x:f>'Category Summary'!F9</x:f>
        <x:v>0</x:v>
      </x:c>
      <x:c r="F23" s="17" t="n">
        <x:f>'Category Summary'!G9</x:f>
        <x:v>0</x:v>
      </x:c>
      <x:c r="G23" s="27"/>
      <x:c r="H23" s="27"/>
      <x:c r="I23" s="27"/>
      <x:c r="J23" s="27"/>
      <x:c r="K23" s="27"/>
      <x:c r="L23" s="27"/>
      <x:c r="M23" s="27"/>
    </x:row>
    <x:row r="24">
      <x:c r="A24" s="14" t="str">
        <x:f>'Category Summary'!A10</x:f>
        <x:v>FD interest</x:v>
      </x:c>
      <x:c r="B24" s="14" t="n">
        <x:f>'Category Summary'!C10</x:f>
        <x:v>0</x:v>
      </x:c>
      <x:c r="C24" s="17" t="n">
        <x:f>'Category Summary'!D10</x:f>
        <x:v>0</x:v>
      </x:c>
      <x:c r="D24" s="17" t="n">
        <x:f>'Category Summary'!E10</x:f>
        <x:v>0</x:v>
      </x:c>
      <x:c r="E24" s="17" t="n">
        <x:f>'Category Summary'!F10</x:f>
        <x:v>0</x:v>
      </x:c>
      <x:c r="F24" s="17" t="n">
        <x:f>'Category Summary'!G10</x:f>
        <x:v>0</x:v>
      </x:c>
      <x:c r="G24" s="27"/>
      <x:c r="H24" s="27"/>
      <x:c r="I24" s="27"/>
      <x:c r="J24" s="27"/>
      <x:c r="K24" s="27"/>
      <x:c r="L24" s="27"/>
      <x:c r="M24" s="27"/>
    </x:row>
    <x:row r="25">
      <x:c r="A25" s="14" t="str">
        <x:f>'Category Summary'!A11</x:f>
        <x:v>FD Deposit and withdrawals</x:v>
      </x:c>
      <x:c r="B25" s="14" t="n">
        <x:f>'Category Summary'!C11</x:f>
        <x:v>0</x:v>
      </x:c>
      <x:c r="C25" s="17" t="n">
        <x:f>'Category Summary'!D11</x:f>
        <x:v>0</x:v>
      </x:c>
      <x:c r="D25" s="17" t="n">
        <x:f>'Category Summary'!E11</x:f>
        <x:v>0</x:v>
      </x:c>
      <x:c r="E25" s="17" t="n">
        <x:f>'Category Summary'!F11</x:f>
        <x:v>0</x:v>
      </x:c>
      <x:c r="F25" s="17" t="n">
        <x:f>'Category Summary'!G11</x:f>
        <x:v>0</x:v>
      </x:c>
      <x:c r="G25" s="27"/>
      <x:c r="H25" s="27"/>
      <x:c r="I25" s="27"/>
      <x:c r="J25" s="27"/>
      <x:c r="K25" s="27"/>
      <x:c r="L25" s="27"/>
      <x:c r="M25" s="27"/>
    </x:row>
    <x:row r="26">
      <x:c r="A26" s="14" t="str">
        <x:f>'Category Summary'!A12</x:f>
        <x:v>PPF/PF interest and contribution</x:v>
      </x:c>
      <x:c r="B26" s="14" t="n">
        <x:f>'Category Summary'!C12</x:f>
        <x:v>0</x:v>
      </x:c>
      <x:c r="C26" s="17" t="n">
        <x:f>'Category Summary'!D12</x:f>
        <x:v>0</x:v>
      </x:c>
      <x:c r="D26" s="17" t="n">
        <x:f>'Category Summary'!E12</x:f>
        <x:v>0</x:v>
      </x:c>
      <x:c r="E26" s="17" t="n">
        <x:f>'Category Summary'!F12</x:f>
        <x:v>0</x:v>
      </x:c>
      <x:c r="F26" s="17" t="n">
        <x:f>'Category Summary'!G12</x:f>
        <x:v>0</x:v>
      </x:c>
      <x:c r="G26" s="27"/>
      <x:c r="H26" s="27"/>
      <x:c r="I26" s="27"/>
      <x:c r="J26" s="27"/>
      <x:c r="K26" s="27"/>
      <x:c r="L26" s="27"/>
      <x:c r="M26" s="27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54d760a41dd746d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6" hidden="0" customWidth="1"/>
    <x:col min="3" max="3" width="14" hidden="0" customWidth="1"/>
    <x:col min="4" max="4" width="15" hidden="0" customWidth="1"/>
    <x:col min="5" max="5" width="14" hidden="0" customWidth="1"/>
    <x:col min="6" max="6" width="15" hidden="0" customWidth="1"/>
    <x:col min="7" max="7" width="15" hidden="0" customWidth="1"/>
    <x:col min="8" max="8" width="44" hidden="0" customWidth="1"/>
  </x:cols>
  <x:sheetData>
    <x:row r="1">
      <x:c r="A1" s="13" t="str">
        <x:v>Requested Category</x:v>
      </x:c>
      <x:c r="B1" s="13" t="str">
        <x:v>Match Term</x:v>
      </x:c>
      <x:c r="C1" s="13" t="str">
        <x:v>Receipt Count</x:v>
      </x:c>
      <x:c r="D1" s="13" t="str">
        <x:v>Receipts</x:v>
      </x:c>
      <x:c r="E1" s="13" t="str">
        <x:v>Payment Count</x:v>
      </x:c>
      <x:c r="F1" s="13" t="str">
        <x:v>Payments</x:v>
      </x:c>
      <x:c r="G1" s="13" t="str">
        <x:v>Net</x:v>
      </x:c>
      <x:c r="H1" s="13" t="str">
        <x:v>Notes</x:v>
      </x:c>
    </x:row>
    <x:row r="2">
      <x:c r="A2" s="14" t="str">
        <x:v>Total</x:v>
      </x:c>
      <x:c r="B2" s="14" t="str"/>
      <x:c r="C2" s="14" t="n">
        <x:f>COUNTIF(Transactions!$I$2:$I$141,"Receipt")</x:f>
        <x:v>86</x:v>
      </x:c>
      <x:c r="D2" s="17" t="n">
        <x:f>SUM(Transactions!$K$2:$K$141)</x:f>
        <x:v>23457812.249999996</x:v>
      </x:c>
      <x:c r="E2" s="17" t="n">
        <x:f>COUNTIF(Transactions!$I$2:$I$141,"Payment")</x:f>
        <x:v>54</x:v>
      </x:c>
      <x:c r="F2" s="17" t="n">
        <x:f>SUM(Transactions!$J$2:$J$141)</x:f>
        <x:v>23775996.040000007</x:v>
      </x:c>
      <x:c r="G2" s="17" t="n">
        <x:f>ROUND(D2-F2,2)</x:f>
        <x:v>-318183.79</x:v>
      </x:c>
      <x:c r="H2" s="16" t="str">
        <x:v>All parsed receipts and payments.</x:v>
      </x:c>
    </x:row>
    <x:row r="3">
      <x:c r="A3" s="14" t="str">
        <x:v>Cash</x:v>
      </x:c>
      <x:c r="B3" s="14" t="str">
        <x:v>Cash</x:v>
      </x:c>
      <x:c r="C3" s="14" t="n">
        <x:f>COUNTIFS(Transactions!$Q$2:$Q$141,1,Transactions!$I$2:$I$141,"Receipt")</x:f>
        <x:v>22</x:v>
      </x:c>
      <x:c r="D3" s="17" t="n">
        <x:f>SUMIFS(Transactions!$K$2:$K$141,Transactions!$Q$2:$Q$141,1)</x:f>
        <x:v>6396000</x:v>
      </x:c>
      <x:c r="E3" s="17" t="n">
        <x:f>COUNTIFS(Transactions!$Q$2:$Q$141,1,Transactions!$I$2:$I$141,"Payment")</x:f>
        <x:v>0</x:v>
      </x:c>
      <x:c r="F3" s="17" t="n">
        <x:f>SUMIFS(Transactions!$J$2:$J$141,Transactions!$Q$2:$Q$141,1)</x:f>
        <x:v>0</x:v>
      </x:c>
      <x:c r="G3" s="17" t="n">
        <x:f>ROUND(D3-F3,2)</x:f>
        <x:v>6396000</x:v>
      </x:c>
      <x:c r="H3" s="16" t="str">
        <x:v>Cash detected from CASH DEPOSIT BY narration.</x:v>
      </x:c>
    </x:row>
    <x:row r="4">
      <x:c r="A4" s="14" t="str">
        <x:v>Recurring Transaction</x:v>
      </x:c>
      <x:c r="B4" s="14" t="str">
        <x:v>Recurring Transaction</x:v>
      </x:c>
      <x:c r="C4" s="14" t="n">
        <x:f>COUNTIFS(Transactions!$R$2:$R$141,1,Transactions!$I$2:$I$141,"Receipt")</x:f>
        <x:v>85</x:v>
      </x:c>
      <x:c r="D4" s="17" t="n">
        <x:f>SUMIFS(Transactions!$K$2:$K$141,Transactions!$R$2:$R$141,1)</x:f>
        <x:v>23018812.249999993</x:v>
      </x:c>
      <x:c r="E4" s="17" t="n">
        <x:f>COUNTIFS(Transactions!$R$2:$R$141,1,Transactions!$I$2:$I$141,"Payment")</x:f>
        <x:v>33</x:v>
      </x:c>
      <x:c r="F4" s="17" t="n">
        <x:f>SUMIFS(Transactions!$J$2:$J$141,Transactions!$R$2:$R$141,1)</x:f>
        <x:v>22375081.259999998</x:v>
      </x:c>
      <x:c r="G4" s="17" t="n">
        <x:f>ROUND(D4-F4,2)</x:f>
        <x:v>643730.99</x:v>
      </x:c>
      <x:c r="H4" s="16" t="str">
        <x:v>Repeated counterpart/pattern appearing at least twice.</x:v>
      </x:c>
    </x:row>
    <x:row r="5">
      <x:c r="A5" s="14" t="str">
        <x:v>EMI</x:v>
      </x:c>
      <x:c r="B5" s="14" t="str">
        <x:v>EMI</x:v>
      </x:c>
      <x:c r="C5" s="14" t="n">
        <x:f>COUNTIFS(Transactions!$S$2:$S$141,1,Transactions!$I$2:$I$141,"Receipt")</x:f>
        <x:v>0</x:v>
      </x:c>
      <x:c r="D5" s="17" t="n">
        <x:f>SUMIFS(Transactions!$K$2:$K$141,Transactions!$S$2:$S$141,1)</x:f>
        <x:v>0</x:v>
      </x:c>
      <x:c r="E5" s="17" t="n">
        <x:f>COUNTIFS(Transactions!$S$2:$S$141,1,Transactions!$I$2:$I$141,"Payment")</x:f>
        <x:v>0</x:v>
      </x:c>
      <x:c r="F5" s="17" t="n">
        <x:f>SUMIFS(Transactions!$J$2:$J$141,Transactions!$S$2:$S$141,1)</x:f>
        <x:v>0</x:v>
      </x:c>
      <x:c r="G5" s="17" t="n">
        <x:f>ROUND(D5-F5,2)</x:f>
        <x:v>0</x:v>
      </x:c>
      <x:c r="H5" s="16" t="str">
        <x:v>Keyword based: EMI/ECS/ACH/loan/installment.</x:v>
      </x:c>
    </x:row>
    <x:row r="6">
      <x:c r="A6" s="14" t="str">
        <x:v>Salary</x:v>
      </x:c>
      <x:c r="B6" s="14" t="str">
        <x:v>Salary</x:v>
      </x:c>
      <x:c r="C6" s="14" t="n">
        <x:f>COUNTIFS(Transactions!$T$2:$T$141,1,Transactions!$I$2:$I$141,"Receipt")</x:f>
        <x:v>0</x:v>
      </x:c>
      <x:c r="D6" s="17" t="n">
        <x:f>SUMIFS(Transactions!$K$2:$K$141,Transactions!$T$2:$T$141,1)</x:f>
        <x:v>0</x:v>
      </x:c>
      <x:c r="E6" s="17" t="n">
        <x:f>COUNTIFS(Transactions!$T$2:$T$141,1,Transactions!$I$2:$I$141,"Payment")</x:f>
        <x:v>0</x:v>
      </x:c>
      <x:c r="F6" s="17" t="n">
        <x:f>SUMIFS(Transactions!$J$2:$J$141,Transactions!$T$2:$T$141,1)</x:f>
        <x:v>0</x:v>
      </x:c>
      <x:c r="G6" s="17" t="n">
        <x:f>ROUND(D6-F6,2)</x:f>
        <x:v>0</x:v>
      </x:c>
      <x:c r="H6" s="16" t="str">
        <x:v>Keyword based: salary.</x:v>
      </x:c>
    </x:row>
    <x:row r="7">
      <x:c r="A7" s="14" t="str">
        <x:v>High Transaction</x:v>
      </x:c>
      <x:c r="B7" s="14" t="str">
        <x:v>High Transaction</x:v>
      </x:c>
      <x:c r="C7" s="14" t="n">
        <x:f>COUNTIFS(Transactions!$U$2:$U$141,1,Transactions!$I$2:$I$141,"Receipt")</x:f>
        <x:v>72</x:v>
      </x:c>
      <x:c r="D7" s="17" t="n">
        <x:f>SUMIFS(Transactions!$K$2:$K$141,Transactions!$U$2:$U$141,1)</x:f>
        <x:v>22714674.73999999</x:v>
      </x:c>
      <x:c r="E7" s="17" t="n">
        <x:f>COUNTIFS(Transactions!$U$2:$U$141,1,Transactions!$I$2:$I$141,"Payment")</x:f>
        <x:v>20</x:v>
      </x:c>
      <x:c r="F7" s="17" t="n">
        <x:f>SUMIFS(Transactions!$J$2:$J$141,Transactions!$U$2:$U$141,1)</x:f>
        <x:v>23477156.43</x:v>
      </x:c>
      <x:c r="G7" s="17" t="n">
        <x:f>ROUND(D7-F7,2)</x:f>
        <x:v>-762481.69</x:v>
      </x:c>
      <x:c r="H7" s="16" t="str">
        <x:v>Transactions with absolute amount at or above Rs 100,000.</x:v>
      </x:c>
    </x:row>
    <x:row r="8">
      <x:c r="A8" s="14" t="str">
        <x:v>UPI</x:v>
      </x:c>
      <x:c r="B8" s="14" t="str">
        <x:v>UPI</x:v>
      </x:c>
      <x:c r="C8" s="14" t="n">
        <x:f>COUNTIFS(Transactions!$V$2:$V$141,1,Transactions!$I$2:$I$141,"Receipt")</x:f>
        <x:v>0</x:v>
      </x:c>
      <x:c r="D8" s="17" t="n">
        <x:f>SUMIFS(Transactions!$K$2:$K$141,Transactions!$V$2:$V$141,1)</x:f>
        <x:v>0</x:v>
      </x:c>
      <x:c r="E8" s="17" t="n">
        <x:f>COUNTIFS(Transactions!$V$2:$V$141,1,Transactions!$I$2:$I$141,"Payment")</x:f>
        <x:v>0</x:v>
      </x:c>
      <x:c r="F8" s="17" t="n">
        <x:f>SUMIFS(Transactions!$J$2:$J$141,Transactions!$V$2:$V$141,1)</x:f>
        <x:v>0</x:v>
      </x:c>
      <x:c r="G8" s="17" t="n">
        <x:f>ROUND(D8-F8,2)</x:f>
        <x:v>0</x:v>
      </x:c>
      <x:c r="H8" s="16" t="str">
        <x:v>Keyword based: UPI.</x:v>
      </x:c>
    </x:row>
    <x:row r="9">
      <x:c r="A9" s="14" t="str">
        <x:v>LIC</x:v>
      </x:c>
      <x:c r="B9" s="14" t="str">
        <x:v>LIC</x:v>
      </x:c>
      <x:c r="C9" s="14" t="n">
        <x:f>COUNTIFS(Transactions!$W$2:$W$141,1,Transactions!$I$2:$I$141,"Receipt")</x:f>
        <x:v>0</x:v>
      </x:c>
      <x:c r="D9" s="17" t="n">
        <x:f>SUMIFS(Transactions!$K$2:$K$141,Transactions!$W$2:$W$141,1)</x:f>
        <x:v>0</x:v>
      </x:c>
      <x:c r="E9" s="17" t="n">
        <x:f>COUNTIFS(Transactions!$W$2:$W$141,1,Transactions!$I$2:$I$141,"Payment")</x:f>
        <x:v>0</x:v>
      </x:c>
      <x:c r="F9" s="17" t="n">
        <x:f>SUMIFS(Transactions!$J$2:$J$141,Transactions!$W$2:$W$141,1)</x:f>
        <x:v>0</x:v>
      </x:c>
      <x:c r="G9" s="17" t="n">
        <x:f>ROUND(D9-F9,2)</x:f>
        <x:v>0</x:v>
      </x:c>
      <x:c r="H9" s="16" t="str">
        <x:v>Keyword based: LIC.</x:v>
      </x:c>
    </x:row>
    <x:row r="10">
      <x:c r="A10" s="14" t="str">
        <x:v>FD interest</x:v>
      </x:c>
      <x:c r="B10" s="14" t="str">
        <x:v>FD interest</x:v>
      </x:c>
      <x:c r="C10" s="14" t="n">
        <x:f>COUNTIFS(Transactions!$X$2:$X$141,1,Transactions!$I$2:$I$141,"Receipt")</x:f>
        <x:v>0</x:v>
      </x:c>
      <x:c r="D10" s="17" t="n">
        <x:f>SUMIFS(Transactions!$K$2:$K$141,Transactions!$X$2:$X$141,1)</x:f>
        <x:v>0</x:v>
      </x:c>
      <x:c r="E10" s="17" t="n">
        <x:f>COUNTIFS(Transactions!$X$2:$X$141,1,Transactions!$I$2:$I$141,"Payment")</x:f>
        <x:v>0</x:v>
      </x:c>
      <x:c r="F10" s="17" t="n">
        <x:f>SUMIFS(Transactions!$J$2:$J$141,Transactions!$X$2:$X$141,1)</x:f>
        <x:v>0</x:v>
      </x:c>
      <x:c r="G10" s="17" t="n">
        <x:f>ROUND(D10-F10,2)</x:f>
        <x:v>0</x:v>
      </x:c>
      <x:c r="H10" s="16" t="str">
        <x:v>Keyword based: FD plus interest/int.</x:v>
      </x:c>
    </x:row>
    <x:row r="11">
      <x:c r="A11" s="14" t="str">
        <x:v>FD Deposit and withdrawals</x:v>
      </x:c>
      <x:c r="B11" s="14" t="str">
        <x:v>FD Deposit/Withdrawal</x:v>
      </x:c>
      <x:c r="C11" s="14" t="n">
        <x:f>COUNTIFS(Transactions!$Y$2:$Y$141,1,Transactions!$I$2:$I$141,"Receipt")</x:f>
        <x:v>0</x:v>
      </x:c>
      <x:c r="D11" s="17" t="n">
        <x:f>SUMIFS(Transactions!$K$2:$K$141,Transactions!$Y$2:$Y$141,1)</x:f>
        <x:v>0</x:v>
      </x:c>
      <x:c r="E11" s="17" t="n">
        <x:f>COUNTIFS(Transactions!$Y$2:$Y$141,1,Transactions!$I$2:$I$141,"Payment")</x:f>
        <x:v>0</x:v>
      </x:c>
      <x:c r="F11" s="17" t="n">
        <x:f>SUMIFS(Transactions!$J$2:$J$141,Transactions!$Y$2:$Y$141,1)</x:f>
        <x:v>0</x:v>
      </x:c>
      <x:c r="G11" s="17" t="n">
        <x:f>ROUND(D11-F11,2)</x:f>
        <x:v>0</x:v>
      </x:c>
      <x:c r="H11" s="16" t="str">
        <x:v>Keyword based: FD/fixed deposit/TDR/term deposit.</x:v>
      </x:c>
    </x:row>
    <x:row r="12">
      <x:c r="A12" s="14" t="str">
        <x:v>PPF/PF interest and contribution</x:v>
      </x:c>
      <x:c r="B12" s="14" t="str">
        <x:v>PPF/PF interest/contribution</x:v>
      </x:c>
      <x:c r="C12" s="14" t="n">
        <x:f>COUNTIFS(Transactions!$Z$2:$Z$141,1,Transactions!$I$2:$I$141,"Receipt")</x:f>
        <x:v>0</x:v>
      </x:c>
      <x:c r="D12" s="17" t="n">
        <x:f>SUMIFS(Transactions!$K$2:$K$141,Transactions!$Z$2:$Z$141,1)</x:f>
        <x:v>0</x:v>
      </x:c>
      <x:c r="E12" s="17" t="n">
        <x:f>COUNTIFS(Transactions!$Z$2:$Z$141,1,Transactions!$I$2:$I$141,"Payment")</x:f>
        <x:v>0</x:v>
      </x:c>
      <x:c r="F12" s="17" t="n">
        <x:f>SUMIFS(Transactions!$J$2:$J$141,Transactions!$Z$2:$Z$141,1)</x:f>
        <x:v>0</x:v>
      </x:c>
      <x:c r="G12" s="17" t="n">
        <x:f>ROUND(D12-F12,2)</x:f>
        <x:v>0</x:v>
      </x:c>
      <x:c r="H12" s="16" t="str">
        <x:v>Keyword based: PPF/PF/EPF/provident fund.</x:v>
      </x:c>
    </x:row>
  </x:sheetData>
  <x:pageMargins left="0.7" right="0.7" top="0.75" bottom="0.75" header="0.3" footer="0.3"/>
  <x:tableParts count="1">
    <x:tablePart xmlns:r="http://schemas.openxmlformats.org/officeDocument/2006/relationships" r:id="Rf15b3a65dcbd41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2" hidden="0" customWidth="1"/>
    <x:col min="3" max="3" width="10" hidden="0" customWidth="1"/>
    <x:col min="4" max="4" width="14" hidden="0" customWidth="1"/>
    <x:col min="5" max="5" width="15" hidden="0" customWidth="1"/>
    <x:col min="6" max="6" width="14" hidden="0" customWidth="1"/>
    <x:col min="7" max="7" width="15" hidden="0" customWidth="1"/>
    <x:col min="8" max="8" width="15" hidden="0" customWidth="1"/>
  </x:cols>
  <x:sheetData>
    <x:row r="1" ht="30" customHeight="1">
      <x:c r="A1" s="25" t="str">
        <x:v>Category Details</x:v>
      </x:c>
      <x:c r="B1" s="25" t="str">
        <x:v>Category Details</x:v>
      </x:c>
      <x:c r="C1" s="25" t="str">
        <x:v>Category Details</x:v>
      </x:c>
      <x:c r="D1" s="25" t="str">
        <x:v>Category Details</x:v>
      </x:c>
      <x:c r="E1" s="25" t="str">
        <x:v>Category Details</x:v>
      </x:c>
      <x:c r="F1" s="25" t="str">
        <x:v>Category Details</x:v>
      </x:c>
      <x:c r="G1" s="25" t="str">
        <x:v>Category Details</x:v>
      </x:c>
      <x:c r="H1" s="25" t="str">
        <x:v>Category Details</x:v>
      </x:c>
    </x:row>
    <x:row r="2">
      <x:c r="A2" s="27"/>
      <x:c r="B2" s="27"/>
      <x:c r="C2" s="27"/>
      <x:c r="D2" s="27"/>
      <x:c r="E2" s="27"/>
      <x:c r="F2" s="27"/>
      <x:c r="G2" s="27"/>
      <x:c r="H2" s="27"/>
    </x:row>
    <x:row r="3">
      <x:c r="A3" s="13" t="str">
        <x:v>Category</x:v>
      </x:c>
      <x:c r="B3" s="13" t="str">
        <x:v>Detail Sheet</x:v>
      </x:c>
      <x:c r="C3" s="13" t="str">
        <x:v>Rows</x:v>
      </x:c>
      <x:c r="D3" s="13" t="str">
        <x:v>Receipt Count</x:v>
      </x:c>
      <x:c r="E3" s="13" t="str">
        <x:v>Receipts</x:v>
      </x:c>
      <x:c r="F3" s="13" t="str">
        <x:v>Payment Count</x:v>
      </x:c>
      <x:c r="G3" s="13" t="str">
        <x:v>Payments</x:v>
      </x:c>
      <x:c r="H3" s="13" t="str">
        <x:v>Net</x:v>
      </x:c>
    </x:row>
    <x:row r="4">
      <x:c r="A4" s="14" t="str">
        <x:v>Total</x:v>
      </x:c>
      <x:c r="B4" s="14" t="str">
        <x:v>Detail Total</x:v>
      </x:c>
      <x:c r="C4" s="14" t="n">
        <x:v>140</x:v>
      </x:c>
      <x:c r="D4" s="14" t="n">
        <x:v>86</x:v>
      </x:c>
      <x:c r="E4" s="17" t="n">
        <x:v>23457812.249999996</x:v>
      </x:c>
      <x:c r="F4" s="17" t="n">
        <x:v>54</x:v>
      </x:c>
      <x:c r="G4" s="17" t="n">
        <x:v>23775996.040000007</x:v>
      </x:c>
      <x:c r="H4" s="17" t="n">
        <x:v>-318183.7900000103</x:v>
      </x:c>
    </x:row>
    <x:row r="5">
      <x:c r="A5" s="14" t="str">
        <x:v>Cash</x:v>
      </x:c>
      <x:c r="B5" s="14" t="str">
        <x:v>Detail Cash</x:v>
      </x:c>
      <x:c r="C5" s="14" t="n">
        <x:v>22</x:v>
      </x:c>
      <x:c r="D5" s="14" t="n">
        <x:v>22</x:v>
      </x:c>
      <x:c r="E5" s="17" t="n">
        <x:v>6396000</x:v>
      </x:c>
      <x:c r="F5" s="17" t="n">
        <x:v>0</x:v>
      </x:c>
      <x:c r="G5" s="17" t="n">
        <x:v>0</x:v>
      </x:c>
      <x:c r="H5" s="17" t="n">
        <x:v>6396000</x:v>
      </x:c>
    </x:row>
    <x:row r="6">
      <x:c r="A6" s="14" t="str">
        <x:v>Recurring Transaction</x:v>
      </x:c>
      <x:c r="B6" s="14" t="str">
        <x:v>Detail Recurring Transaction</x:v>
      </x:c>
      <x:c r="C6" s="14" t="n">
        <x:v>118</x:v>
      </x:c>
      <x:c r="D6" s="14" t="n">
        <x:v>85</x:v>
      </x:c>
      <x:c r="E6" s="17" t="n">
        <x:v>23018812.249999993</x:v>
      </x:c>
      <x:c r="F6" s="17" t="n">
        <x:v>33</x:v>
      </x:c>
      <x:c r="G6" s="17" t="n">
        <x:v>22375081.259999998</x:v>
      </x:c>
      <x:c r="H6" s="17" t="n">
        <x:v>643730.9899999946</x:v>
      </x:c>
    </x:row>
    <x:row r="7">
      <x:c r="A7" s="14" t="str">
        <x:v>EMI</x:v>
      </x:c>
      <x:c r="B7" s="14" t="str">
        <x:v>Detail EMI</x:v>
      </x:c>
      <x:c r="C7" s="14" t="n">
        <x:v>0</x:v>
      </x:c>
      <x:c r="D7" s="14" t="n">
        <x:v>0</x:v>
      </x:c>
      <x:c r="E7" s="17" t="n">
        <x:v>0</x:v>
      </x:c>
      <x:c r="F7" s="17" t="n">
        <x:v>0</x:v>
      </x:c>
      <x:c r="G7" s="17" t="n">
        <x:v>0</x:v>
      </x:c>
      <x:c r="H7" s="17" t="n">
        <x:v>0</x:v>
      </x:c>
    </x:row>
    <x:row r="8">
      <x:c r="A8" s="14" t="str">
        <x:v>Salary</x:v>
      </x:c>
      <x:c r="B8" s="14" t="str">
        <x:v>Detail Salary</x:v>
      </x:c>
      <x:c r="C8" s="14" t="n">
        <x:v>0</x:v>
      </x:c>
      <x:c r="D8" s="14" t="n">
        <x:v>0</x:v>
      </x:c>
      <x:c r="E8" s="17" t="n">
        <x:v>0</x:v>
      </x:c>
      <x:c r="F8" s="17" t="n">
        <x:v>0</x:v>
      </x:c>
      <x:c r="G8" s="17" t="n">
        <x:v>0</x:v>
      </x:c>
      <x:c r="H8" s="17" t="n">
        <x:v>0</x:v>
      </x:c>
    </x:row>
    <x:row r="9">
      <x:c r="A9" s="14" t="str">
        <x:v>High Transaction</x:v>
      </x:c>
      <x:c r="B9" s="14" t="str">
        <x:v>Detail High Transaction</x:v>
      </x:c>
      <x:c r="C9" s="14" t="n">
        <x:v>92</x:v>
      </x:c>
      <x:c r="D9" s="14" t="n">
        <x:v>72</x:v>
      </x:c>
      <x:c r="E9" s="17" t="n">
        <x:v>22714674.73999999</x:v>
      </x:c>
      <x:c r="F9" s="17" t="n">
        <x:v>20</x:v>
      </x:c>
      <x:c r="G9" s="17" t="n">
        <x:v>23477156.43</x:v>
      </x:c>
      <x:c r="H9" s="17" t="n">
        <x:v>-762481.6900000088</x:v>
      </x:c>
    </x:row>
    <x:row r="10">
      <x:c r="A10" s="14" t="str">
        <x:v>Total Receipts and Payments</x:v>
      </x:c>
      <x:c r="B10" s="14" t="str">
        <x:v>Detail Total Receipts and Payme</x:v>
      </x:c>
      <x:c r="C10" s="14" t="n">
        <x:v>140</x:v>
      </x:c>
      <x:c r="D10" s="14" t="n">
        <x:v>86</x:v>
      </x:c>
      <x:c r="E10" s="17" t="n">
        <x:v>23457812.249999996</x:v>
      </x:c>
      <x:c r="F10" s="17" t="n">
        <x:v>54</x:v>
      </x:c>
      <x:c r="G10" s="17" t="n">
        <x:v>23775996.040000007</x:v>
      </x:c>
      <x:c r="H10" s="17" t="n">
        <x:v>-318183.7900000103</x:v>
      </x:c>
    </x:row>
    <x:row r="11">
      <x:c r="A11" s="14" t="str">
        <x:v>UPI</x:v>
      </x:c>
      <x:c r="B11" s="14" t="str">
        <x:v>Detail UPI</x:v>
      </x:c>
      <x:c r="C11" s="14" t="n">
        <x:v>0</x:v>
      </x:c>
      <x:c r="D11" s="14" t="n">
        <x:v>0</x:v>
      </x:c>
      <x:c r="E11" s="17" t="n">
        <x:v>0</x:v>
      </x:c>
      <x:c r="F11" s="17" t="n">
        <x:v>0</x:v>
      </x:c>
      <x:c r="G11" s="17" t="n">
        <x:v>0</x:v>
      </x:c>
      <x:c r="H11" s="17" t="n">
        <x:v>0</x:v>
      </x:c>
    </x:row>
    <x:row r="12">
      <x:c r="A12" s="14" t="str">
        <x:v>LIC</x:v>
      </x:c>
      <x:c r="B12" s="14" t="str">
        <x:v>Detail LIC</x:v>
      </x:c>
      <x:c r="C12" s="14" t="n">
        <x:v>0</x:v>
      </x:c>
      <x:c r="D12" s="14" t="n">
        <x:v>0</x:v>
      </x:c>
      <x:c r="E12" s="17" t="n">
        <x:v>0</x:v>
      </x:c>
      <x:c r="F12" s="17" t="n">
        <x:v>0</x:v>
      </x:c>
      <x:c r="G12" s="17" t="n">
        <x:v>0</x:v>
      </x:c>
      <x:c r="H12" s="17" t="n">
        <x:v>0</x:v>
      </x:c>
    </x:row>
    <x:row r="13">
      <x:c r="A13" s="14" t="str">
        <x:v>FD interest</x:v>
      </x:c>
      <x:c r="B13" s="14" t="str">
        <x:v>Detail FD interest</x:v>
      </x:c>
      <x:c r="C13" s="14" t="n">
        <x:v>0</x:v>
      </x:c>
      <x:c r="D13" s="14" t="n">
        <x:v>0</x:v>
      </x:c>
      <x:c r="E13" s="17" t="n">
        <x:v>0</x:v>
      </x:c>
      <x:c r="F13" s="17" t="n">
        <x:v>0</x:v>
      </x:c>
      <x:c r="G13" s="17" t="n">
        <x:v>0</x:v>
      </x:c>
      <x:c r="H13" s="17" t="n">
        <x:v>0</x:v>
      </x:c>
    </x:row>
    <x:row r="14">
      <x:c r="A14" s="14" t="str">
        <x:v>FD Deposit and withdrawals</x:v>
      </x:c>
      <x:c r="B14" s="14" t="str">
        <x:v>Detail FD Deposit and withdrawa</x:v>
      </x:c>
      <x:c r="C14" s="14" t="n">
        <x:v>0</x:v>
      </x:c>
      <x:c r="D14" s="14" t="n">
        <x:v>0</x:v>
      </x:c>
      <x:c r="E14" s="17" t="n">
        <x:v>0</x:v>
      </x:c>
      <x:c r="F14" s="17" t="n">
        <x:v>0</x:v>
      </x:c>
      <x:c r="G14" s="17" t="n">
        <x:v>0</x:v>
      </x:c>
      <x:c r="H14" s="17" t="n">
        <x:v>0</x:v>
      </x:c>
    </x:row>
    <x:row r="15">
      <x:c r="A15" s="14" t="str">
        <x:v>PPF/PF interest and contribution</x:v>
      </x:c>
      <x:c r="B15" s="14" t="str">
        <x:v>Detail PPF PF interest and cont</x:v>
      </x:c>
      <x:c r="C15" s="14" t="n">
        <x:v>0</x:v>
      </x:c>
      <x:c r="D15" s="14" t="n">
        <x:v>0</x:v>
      </x:c>
      <x:c r="E15" s="17" t="n">
        <x:v>0</x:v>
      </x:c>
      <x:c r="F15" s="17" t="n">
        <x:v>0</x:v>
      </x:c>
      <x:c r="G15" s="17" t="n">
        <x:v>0</x:v>
      </x:c>
      <x:c r="H15" s="17" t="n">
        <x:v>0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dfbc10065d2442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8" hidden="0" customWidth="1"/>
    <x:col min="6" max="6" width="16" hidden="0" customWidth="1"/>
    <x:col min="7" max="7" width="10" hidden="0" customWidth="1"/>
    <x:col min="8" max="8" width="10" hidden="0" customWidth="1"/>
    <x:col min="9" max="9" width="15" hidden="0" customWidth="1"/>
    <x:col min="10" max="10" width="15" hidden="0" customWidth="1"/>
    <x:col min="11" max="11" width="16" hidden="0" customWidth="1"/>
    <x:col min="12" max="12" width="15" hidden="0" customWidth="1"/>
    <x:col min="13" max="13" width="15" hidden="0" customWidth="1"/>
    <x:col min="14" max="14" width="14" hidden="0" customWidth="1"/>
    <x:col min="15" max="15" width="14" hidden="0" customWidth="1"/>
  </x:cols>
  <x:sheetData>
    <x:row r="1">
      <x:c r="A1" s="13" t="str">
        <x:v>Month Key</x:v>
      </x:c>
      <x:c r="B1" s="13" t="str">
        <x:v>From</x:v>
      </x:c>
      <x:c r="C1" s="13" t="str">
        <x:v>To</x:v>
      </x:c>
      <x:c r="D1" s="13" t="str">
        <x:v>Period</x:v>
      </x:c>
      <x:c r="E1" s="13" t="str">
        <x:v>Transactions</x:v>
      </x:c>
      <x:c r="F1" s="13" t="str">
        <x:v>Opening Balance</x:v>
      </x:c>
      <x:c r="G1" s="13" t="str">
        <x:v>Dr Count</x:v>
      </x:c>
      <x:c r="H1" s="13" t="str">
        <x:v>Cr Count</x:v>
      </x:c>
      <x:c r="I1" s="13" t="str">
        <x:v>Payments</x:v>
      </x:c>
      <x:c r="J1" s="13" t="str">
        <x:v>Receipts</x:v>
      </x:c>
      <x:c r="K1" s="13" t="str">
        <x:v>Closing Balance</x:v>
      </x:c>
      <x:c r="L1" s="13" t="str">
        <x:v>Parsed Payments</x:v>
      </x:c>
      <x:c r="M1" s="13" t="str">
        <x:v>Parsed Receipts</x:v>
      </x:c>
      <x:c r="N1" s="13" t="str">
        <x:v>Payment Check</x:v>
      </x:c>
      <x:c r="O1" s="13" t="str">
        <x:v>Receipt Check</x:v>
      </x:c>
    </x:row>
    <x:row r="2">
      <x:c r="A2" s="14" t="str">
        <x:v>2026-04</x:v>
      </x:c>
      <x:c r="B2" s="15" t="n">
        <x:v>46113</x:v>
      </x:c>
      <x:c r="C2" s="15" t="n">
        <x:v>46143</x:v>
      </x:c>
      <x:c r="D2" s="14" t="str">
        <x:v>Apr 2026</x:v>
      </x:c>
      <x:c r="E2" s="14" t="n">
        <x:v>140</x:v>
      </x:c>
      <x:c r="F2" s="17" t="n">
        <x:v>-8635855.6</x:v>
      </x:c>
      <x:c r="G2" s="14" t="n">
        <x:v>54</x:v>
      </x:c>
      <x:c r="H2" s="14" t="n">
        <x:v>86</x:v>
      </x:c>
      <x:c r="I2" s="17" t="n">
        <x:v>23775996.040000007</x:v>
      </x:c>
      <x:c r="J2" s="17" t="n">
        <x:v>23457812.249999996</x:v>
      </x:c>
      <x:c r="K2" s="17" t="n">
        <x:v>-8954039.39</x:v>
      </x:c>
      <x:c r="L2" s="17" t="n">
        <x:f>SUMIFS(Transactions!$J$2:$J$141,Transactions!$AA$2:$AA$141,"&gt;="&amp;B2,Transactions!$AA$2:$AA$141,"&lt;"&amp;C2)</x:f>
        <x:v>23775996.040000007</x:v>
      </x:c>
      <x:c r="M2" s="17" t="n">
        <x:f>SUMIFS(Transactions!$K$2:$K$141,Transactions!$AA$2:$AA$141,"&gt;="&amp;B2,Transactions!$AA$2:$AA$141,"&lt;"&amp;C2)</x:f>
        <x:v>23457812.249999996</x:v>
      </x:c>
      <x:c r="N2" s="14" t="str">
        <x:f>IF(ABS(I2-L2)&lt;0.01,"OK","Check")</x:f>
        <x:v>OK</x:v>
      </x:c>
      <x:c r="O2" s="14" t="str">
        <x:f>IF(ABS(J2-M2)&lt;0.01,"OK","Check")</x:f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3d57074fffd84cc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>
      <x:c r="A1" s="13" t="str">
        <x:v>Seq</x:v>
      </x:c>
      <x:c r="B1" s="13" t="str">
        <x:v>Source File</x:v>
      </x:c>
      <x:c r="C1" s="13" t="str">
        <x:v>Statement From</x:v>
      </x:c>
      <x:c r="D1" s="13" t="str">
        <x:v>Statement To</x:v>
      </x:c>
      <x:c r="E1" s="13" t="str">
        <x:v>Date</x:v>
      </x:c>
      <x:c r="F1" s="13" t="str">
        <x:v>Value Date</x:v>
      </x:c>
      <x:c r="G1" s="13" t="str">
        <x:v>Narration</x:v>
      </x:c>
      <x:c r="H1" s="13" t="str">
        <x:v>Reference</x:v>
      </x:c>
      <x:c r="I1" s="13" t="str">
        <x:v>Direction</x:v>
      </x:c>
      <x:c r="J1" s="13" t="str">
        <x:v>Withdrawal</x:v>
      </x:c>
      <x:c r="K1" s="13" t="str">
        <x:v>Deposit</x:v>
      </x:c>
      <x:c r="L1" s="13" t="str">
        <x:v>Amount</x:v>
      </x:c>
      <x:c r="M1" s="13" t="str">
        <x:v>Closing Balance</x:v>
      </x:c>
      <x:c r="N1" s="13" t="str">
        <x:v>Categories</x:v>
      </x:c>
      <x:c r="O1" s="13" t="str">
        <x:v>Recurring?</x:v>
      </x:c>
      <x:c r="P1" s="13" t="str">
        <x:v>Recurring Key</x:v>
      </x:c>
      <x:c r="Q1" s="13" t="str">
        <x:v>Flag - Cash</x:v>
      </x:c>
      <x:c r="R1" s="13" t="str">
        <x:v>Flag - Recurring Transaction</x:v>
      </x:c>
      <x:c r="S1" s="13" t="str">
        <x:v>Flag - EMI</x:v>
      </x:c>
      <x:c r="T1" s="13" t="str">
        <x:v>Flag - Salary</x:v>
      </x:c>
      <x:c r="U1" s="13" t="str">
        <x:v>Flag - High Transaction</x:v>
      </x:c>
      <x:c r="V1" s="13" t="str">
        <x:v>Flag - UPI</x:v>
      </x:c>
      <x:c r="W1" s="13" t="str">
        <x:v>Flag - LIC</x:v>
      </x:c>
      <x:c r="X1" s="13" t="str">
        <x:v>Flag - FD interest</x:v>
      </x:c>
      <x:c r="Y1" s="13" t="str">
        <x:v>Flag - FD Deposit and withdrawals</x:v>
      </x:c>
      <x:c r="Z1" s="13" t="str">
        <x:v>Flag - PPF/PF interest and contribution</x:v>
      </x:c>
      <x:c r="AA1" s="13" t="str">
        <x:v>Month Date</x:v>
      </x:c>
    </x:row>
    <x:row r="2">
      <x:c r="A2" s="14" t="n">
        <x:v>1</x:v>
      </x:c>
      <x:c r="B2" s="14" t="str">
        <x:v>273.pdf</x:v>
      </x:c>
      <x:c r="C2" s="15" t="n">
        <x:v>45181</x:v>
      </x:c>
      <x:c r="D2" s="15" t="n">
        <x:v>46146</x:v>
      </x:c>
      <x:c r="E2" s="15" t="n">
        <x:v>46114</x:v>
      </x:c>
      <x:c r="F2" s="15" t="n">
        <x:v>46114</x:v>
      </x:c>
      <x:c r="G2" s="16" t="str">
        <x:v>EBANK:WIB/1502 Dr EBANK:WIB/1502021829/Edfs</x:v>
      </x:c>
      <x:c r="H2" s="14" t="str"/>
      <x:c r="I2" s="14" t="str">
        <x:v>Payment</x:v>
      </x:c>
      <x:c r="J2" s="17" t="n">
        <x:v>681881.6</x:v>
      </x:c>
      <x:c r="K2" s="17" t="n">
        <x:v>0</x:v>
      </x:c>
      <x:c r="L2" s="17" t="n">
        <x:v>681881.6</x:v>
      </x:c>
      <x:c r="M2" s="17" t="n">
        <x:v>-9317737.2</x:v>
      </x:c>
      <x:c r="N2" s="14" t="str">
        <x:v>High Transaction</x:v>
      </x:c>
      <x:c r="O2" s="14" t="str">
        <x:v>No</x:v>
      </x:c>
      <x:c r="P2" s="14" t="str">
        <x:v>EBANKWIB</x:v>
      </x:c>
      <x:c r="Q2" s="14" t="n">
        <x:v>0</x:v>
      </x:c>
      <x:c r="R2" s="14" t="n">
        <x:v>0</x:v>
      </x:c>
      <x:c r="S2" s="14" t="n">
        <x:v>0</x:v>
      </x:c>
      <x:c r="T2" s="14" t="n">
        <x:v>0</x:v>
      </x:c>
      <x:c r="U2" s="14" t="n">
        <x:v>1</x:v>
      </x:c>
      <x:c r="V2" s="14" t="n">
        <x:v>0</x:v>
      </x:c>
      <x:c r="W2" s="14" t="n">
        <x:v>0</x:v>
      </x:c>
      <x:c r="X2" s="14" t="n">
        <x:v>0</x:v>
      </x:c>
      <x:c r="Y2" s="14" t="n">
        <x:v>0</x:v>
      </x:c>
      <x:c r="Z2" s="14" t="n">
        <x:v>0</x:v>
      </x:c>
      <x:c r="AA2" s="15" t="n">
        <x:v>46114</x:v>
      </x:c>
    </x:row>
    <x:row r="3">
      <x:c r="A3" s="14" t="n">
        <x:v>2</x:v>
      </x:c>
      <x:c r="B3" s="14" t="str">
        <x:v>273.pdf</x:v>
      </x:c>
      <x:c r="C3" s="15" t="n">
        <x:v>45181</x:v>
      </x:c>
      <x:c r="D3" s="15" t="n">
        <x:v>46146</x:v>
      </x:c>
      <x:c r="E3" s="15" t="n">
        <x:v>46114</x:v>
      </x:c>
      <x:c r="F3" s="15" t="n">
        <x:v>46114</x:v>
      </x:c>
      <x:c r="G3" s="16" t="str">
        <x:v>AMBATT-CHENNAI Dr INT260319DEAL6205053</x:v>
      </x:c>
      <x:c r="H3" s="14" t="str"/>
      <x:c r="I3" s="14" t="str">
        <x:v>Payment</x:v>
      </x:c>
      <x:c r="J3" s="17" t="n">
        <x:v>5246.6</x:v>
      </x:c>
      <x:c r="K3" s="17" t="n">
        <x:v>0</x:v>
      </x:c>
      <x:c r="L3" s="17" t="n">
        <x:v>5246.6</x:v>
      </x:c>
      <x:c r="M3" s="17" t="n">
        <x:v>-9322983.8</x:v>
      </x:c>
      <x:c r="N3" s="14" t="str">
        <x:v>Other</x:v>
      </x:c>
      <x:c r="O3" s="14" t="str">
        <x:v>No</x:v>
      </x:c>
      <x:c r="P3" s="14" t="str">
        <x:v>CHENNAI DR INTDEAL</x:v>
      </x:c>
      <x:c r="Q3" s="14" t="n">
        <x:v>0</x:v>
      </x:c>
      <x:c r="R3" s="14" t="n">
        <x:v>0</x:v>
      </x:c>
      <x:c r="S3" s="14" t="n">
        <x:v>0</x:v>
      </x:c>
      <x:c r="T3" s="14" t="n">
        <x:v>0</x:v>
      </x:c>
      <x:c r="U3" s="14" t="n">
        <x:v>0</x:v>
      </x:c>
      <x:c r="V3" s="14" t="n">
        <x:v>0</x:v>
      </x:c>
      <x:c r="W3" s="14" t="n">
        <x:v>0</x:v>
      </x:c>
      <x:c r="X3" s="14" t="n">
        <x:v>0</x:v>
      </x:c>
      <x:c r="Y3" s="14" t="n">
        <x:v>0</x:v>
      </x:c>
      <x:c r="Z3" s="14" t="n">
        <x:v>0</x:v>
      </x:c>
      <x:c r="AA3" s="15" t="n">
        <x:v>46114</x:v>
      </x:c>
    </x:row>
    <x:row r="4">
      <x:c r="A4" s="14" t="n">
        <x:v>3</x:v>
      </x:c>
      <x:c r="B4" s="14" t="str">
        <x:v>273.pdf</x:v>
      </x:c>
      <x:c r="C4" s="15" t="n">
        <x:v>45181</x:v>
      </x:c>
      <x:c r="D4" s="15" t="n">
        <x:v>46146</x:v>
      </x:c>
      <x:c r="E4" s="15" t="n">
        <x:v>46114</x:v>
      </x:c>
      <x:c r="F4" s="15" t="n">
        <x:v>46114</x:v>
      </x:c>
      <x:c r="G4" s="16" t="str">
        <x:v>EBANK:WIB/1502 Dr EBANK:WIB/1502110539/Edfs</x:v>
      </x:c>
      <x:c r="H4" s="14" t="str"/>
      <x:c r="I4" s="14" t="str">
        <x:v>Receipt</x:v>
      </x:c>
      <x:c r="J4" s="17" t="n">
        <x:v>0</x:v>
      </x:c>
      <x:c r="K4" s="17" t="n">
        <x:v>248340</x:v>
      </x:c>
      <x:c r="L4" s="17" t="n">
        <x:v>248340</x:v>
      </x:c>
      <x:c r="M4" s="17" t="n">
        <x:v>-9074643.8</x:v>
      </x:c>
      <x:c r="N4" s="14" t="str">
        <x:v>High Transaction; Recurring Transaction</x:v>
      </x:c>
      <x:c r="O4" s="14" t="str">
        <x:v>Yes</x:v>
      </x:c>
      <x:c r="P4" s="14" t="str">
        <x:v>EBANKWIB</x:v>
      </x:c>
      <x:c r="Q4" s="14" t="n">
        <x:v>0</x:v>
      </x:c>
      <x:c r="R4" s="14" t="n">
        <x:v>1</x:v>
      </x:c>
      <x:c r="S4" s="14" t="n">
        <x:v>0</x:v>
      </x:c>
      <x:c r="T4" s="14" t="n">
        <x:v>0</x:v>
      </x:c>
      <x:c r="U4" s="14" t="n">
        <x:v>1</x:v>
      </x:c>
      <x:c r="V4" s="14" t="n">
        <x:v>0</x:v>
      </x:c>
      <x:c r="W4" s="14" t="n">
        <x:v>0</x:v>
      </x:c>
      <x:c r="X4" s="14" t="n">
        <x:v>0</x:v>
      </x:c>
      <x:c r="Y4" s="14" t="n">
        <x:v>0</x:v>
      </x:c>
      <x:c r="Z4" s="14" t="n">
        <x:v>0</x:v>
      </x:c>
      <x:c r="AA4" s="15" t="n">
        <x:v>46114</x:v>
      </x:c>
    </x:row>
    <x:row r="5">
      <x:c r="A5" s="14" t="n">
        <x:v>4</x:v>
      </x:c>
      <x:c r="B5" s="14" t="str">
        <x:v>273.pdf</x:v>
      </x:c>
      <x:c r="C5" s="15" t="n">
        <x:v>45181</x:v>
      </x:c>
      <x:c r="D5" s="15" t="n">
        <x:v>46146</x:v>
      </x:c>
      <x:c r="E5" s="15" t="n">
        <x:v>46114</x:v>
      </x:c>
      <x:c r="F5" s="15" t="n">
        <x:v>46114</x:v>
      </x:c>
      <x:c r="G5" s="16" t="str">
        <x:v>BY CASH Dr BY CASH</x:v>
      </x:c>
      <x:c r="H5" s="14" t="str"/>
      <x:c r="I5" s="14" t="str">
        <x:v>Receipt</x:v>
      </x:c>
      <x:c r="J5" s="17" t="n">
        <x:v>0</x:v>
      </x:c>
      <x:c r="K5" s="17" t="n">
        <x:v>67500</x:v>
      </x:c>
      <x:c r="L5" s="17" t="n">
        <x:v>67500</x:v>
      </x:c>
      <x:c r="M5" s="17" t="n">
        <x:v>-9007143.8</x:v>
      </x:c>
      <x:c r="N5" s="14" t="str">
        <x:v>Cash; Recurring Transaction</x:v>
      </x:c>
      <x:c r="O5" s="14" t="str">
        <x:v>Yes</x:v>
      </x:c>
      <x:c r="P5" s="14" t="str">
        <x:v>BY CASH DR BY CASH</x:v>
      </x:c>
      <x:c r="Q5" s="14" t="n">
        <x:v>1</x:v>
      </x:c>
      <x:c r="R5" s="14" t="n">
        <x:v>1</x:v>
      </x:c>
      <x:c r="S5" s="14" t="n">
        <x:v>0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</x:row>
    <x:row r="6">
      <x:c r="A6" s="14" t="n">
        <x:v>5</x:v>
      </x:c>
      <x:c r="B6" s="14" t="str">
        <x:v>273.pdf</x:v>
      </x:c>
      <x:c r="C6" s="15" t="n">
        <x:v>45181</x:v>
      </x:c>
      <x:c r="D6" s="15" t="n">
        <x:v>46146</x:v>
      </x:c>
      <x:c r="E6" s="15" t="n">
        <x:v>46114</x:v>
      </x:c>
      <x:c r="F6" s="15" t="n">
        <x:v>46114</x:v>
      </x:c>
      <x:c r="G6" s="16" t="str">
        <x:v>VIRARW-THANE/B Dr BY CASH</x:v>
      </x:c>
      <x:c r="H6" s="14" t="str"/>
      <x:c r="I6" s="14" t="str">
        <x:v>Receipt</x:v>
      </x:c>
      <x:c r="J6" s="17" t="n">
        <x:v>0</x:v>
      </x:c>
      <x:c r="K6" s="17" t="n">
        <x:v>426000</x:v>
      </x:c>
      <x:c r="L6" s="17" t="n">
        <x:v>426000</x:v>
      </x:c>
      <x:c r="M6" s="17" t="n">
        <x:v>-8581143.8</x:v>
      </x:c>
      <x:c r="N6" s="14" t="str">
        <x:v>Cash; High Transaction; Recurring Transaction</x:v>
      </x:c>
      <x:c r="O6" s="14" t="str">
        <x:v>Yes</x:v>
      </x:c>
      <x:c r="P6" s="14" t="str">
        <x:v>B DR BY CASH</x:v>
      </x:c>
      <x:c r="Q6" s="14" t="n">
        <x:v>1</x:v>
      </x:c>
      <x:c r="R6" s="14" t="n">
        <x:v>1</x:v>
      </x:c>
      <x:c r="S6" s="14" t="n">
        <x:v>0</x:v>
      </x:c>
      <x:c r="T6" s="14" t="n">
        <x:v>0</x:v>
      </x:c>
      <x:c r="U6" s="14" t="n">
        <x:v>1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</x:row>
    <x:row r="7">
      <x:c r="A7" s="14" t="n">
        <x:v>6</x:v>
      </x:c>
      <x:c r="B7" s="14" t="str">
        <x:v>273.pdf</x:v>
      </x:c>
      <x:c r="C7" s="15" t="n">
        <x:v>45181</x:v>
      </x:c>
      <x:c r="D7" s="15" t="n">
        <x:v>46146</x:v>
      </x:c>
      <x:c r="E7" s="15" t="n">
        <x:v>46114</x:v>
      </x:c>
      <x:c r="F7" s="15" t="n">
        <x:v>46114</x:v>
      </x:c>
      <x:c r="G7" s="16" t="str">
        <x:v>EBANK:WIB/1502 Dr EBANK:WIB/1502234210/Edfs</x:v>
      </x:c>
      <x:c r="H7" s="14" t="str"/>
      <x:c r="I7" s="14" t="str">
        <x:v>Receipt</x:v>
      </x:c>
      <x:c r="J7" s="17" t="n">
        <x:v>0</x:v>
      </x:c>
      <x:c r="K7" s="17" t="n">
        <x:v>791482.5</x:v>
      </x:c>
      <x:c r="L7" s="17" t="n">
        <x:v>791482.5</x:v>
      </x:c>
      <x:c r="M7" s="17" t="n">
        <x:v>-7789661.3</x:v>
      </x:c>
      <x:c r="N7" s="14" t="str">
        <x:v>High Transaction; Recurring Transaction</x:v>
      </x:c>
      <x:c r="O7" s="14" t="str">
        <x:v>Yes</x:v>
      </x:c>
      <x:c r="P7" s="14" t="str">
        <x:v>EBANKWIB</x:v>
      </x:c>
      <x:c r="Q7" s="14" t="n">
        <x:v>0</x:v>
      </x:c>
      <x:c r="R7" s="14" t="n">
        <x:v>1</x:v>
      </x:c>
      <x:c r="S7" s="14" t="n">
        <x:v>0</x:v>
      </x:c>
      <x:c r="T7" s="14" t="n">
        <x:v>0</x:v>
      </x:c>
      <x:c r="U7" s="14" t="n">
        <x:v>1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46114</x:v>
      </x:c>
    </x:row>
    <x:row r="8">
      <x:c r="A8" s="14" t="n">
        <x:v>7</x:v>
      </x:c>
      <x:c r="B8" s="14" t="str">
        <x:v>273.pdf</x:v>
      </x:c>
      <x:c r="C8" s="15" t="n">
        <x:v>45181</x:v>
      </x:c>
      <x:c r="D8" s="15" t="n">
        <x:v>46146</x:v>
      </x:c>
      <x:c r="E8" s="15" t="n">
        <x:v>46114</x:v>
      </x:c>
      <x:c r="F8" s="15" t="n">
        <x:v>46114</x:v>
      </x:c>
      <x:c r="G8" s="16" t="str">
        <x:v>RTGS-BARBR5202 Dr RTGS-BARBR52026040200930050-HINDUSTAN PETROLEUM CO</x:v>
      </x:c>
      <x:c r="H8" s="14" t="str"/>
      <x:c r="I8" s="14" t="str">
        <x:v>Payment</x:v>
      </x:c>
      <x:c r="J8" s="17" t="n">
        <x:v>1410247.26</x:v>
      </x:c>
      <x:c r="K8" s="17" t="n">
        <x:v>0</x:v>
      </x:c>
      <x:c r="L8" s="17" t="n">
        <x:v>1410247.26</x:v>
      </x:c>
      <x:c r="M8" s="17" t="n">
        <x:v>-9199908.56</x:v>
      </x:c>
      <x:c r="N8" s="14" t="str">
        <x:v>High Transaction; Recurring Transaction</x:v>
      </x:c>
      <x:c r="O8" s="14" t="str">
        <x:v>Yes</x:v>
      </x:c>
      <x:c r="P8" s="14" t="str">
        <x:v>BARBR DR RTGS</x:v>
      </x:c>
      <x:c r="Q8" s="14" t="n">
        <x:v>0</x:v>
      </x:c>
      <x:c r="R8" s="14" t="n">
        <x:v>1</x:v>
      </x:c>
      <x:c r="S8" s="14" t="n">
        <x:v>0</x:v>
      </x:c>
      <x:c r="T8" s="14" t="n">
        <x:v>0</x:v>
      </x:c>
      <x:c r="U8" s="14" t="n">
        <x:v>1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46114</x:v>
      </x:c>
    </x:row>
    <x:row r="9">
      <x:c r="A9" s="14" t="n">
        <x:v>8</x:v>
      </x:c>
      <x:c r="B9" s="14" t="str">
        <x:v>273.pdf</x:v>
      </x:c>
      <x:c r="C9" s="15" t="n">
        <x:v>45181</x:v>
      </x:c>
      <x:c r="D9" s="15" t="n">
        <x:v>46146</x:v>
      </x:c>
      <x:c r="E9" s="15" t="n">
        <x:v>46115</x:v>
      </x:c>
      <x:c r="F9" s="15" t="n">
        <x:v>46115</x:v>
      </x:c>
      <x:c r="G9" s="16" t="str">
        <x:v>EBANK:WIB/1502 Dr EBANK:WIB/1502413595/Edfs</x:v>
      </x:c>
      <x:c r="H9" s="14" t="str"/>
      <x:c r="I9" s="14" t="str">
        <x:v>Receipt</x:v>
      </x:c>
      <x:c r="J9" s="17" t="n">
        <x:v>0</x:v>
      </x:c>
      <x:c r="K9" s="17" t="n">
        <x:v>790104.58</x:v>
      </x:c>
      <x:c r="L9" s="17" t="n">
        <x:v>790104.58</x:v>
      </x:c>
      <x:c r="M9" s="17" t="n">
        <x:v>-8409803.98</x:v>
      </x:c>
      <x:c r="N9" s="14" t="str">
        <x:v>High Transaction; Recurring Transaction</x:v>
      </x:c>
      <x:c r="O9" s="14" t="str">
        <x:v>Yes</x:v>
      </x:c>
      <x:c r="P9" s="14" t="str">
        <x:v>EBANKWIB</x:v>
      </x:c>
      <x:c r="Q9" s="14" t="n">
        <x:v>0</x:v>
      </x:c>
      <x:c r="R9" s="14" t="n">
        <x:v>1</x:v>
      </x:c>
      <x:c r="S9" s="14" t="n">
        <x:v>0</x:v>
      </x:c>
      <x:c r="T9" s="14" t="n">
        <x:v>0</x:v>
      </x:c>
      <x:c r="U9" s="14" t="n">
        <x:v>1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46115</x:v>
      </x:c>
    </x:row>
    <x:row r="10">
      <x:c r="A10" s="14" t="n">
        <x:v>9</x:v>
      </x:c>
      <x:c r="B10" s="14" t="str">
        <x:v>273.pdf</x:v>
      </x:c>
      <x:c r="C10" s="15" t="n">
        <x:v>45181</x:v>
      </x:c>
      <x:c r="D10" s="15" t="n">
        <x:v>46146</x:v>
      </x:c>
      <x:c r="E10" s="15" t="n">
        <x:v>46116</x:v>
      </x:c>
      <x:c r="F10" s="15" t="n">
        <x:v>46116</x:v>
      </x:c>
      <x:c r="G10" s="16" t="str">
        <x:v>0000-MUMBAI/IN Dr INT260322DEAL6217382</x:v>
      </x:c>
      <x:c r="H10" s="14" t="str"/>
      <x:c r="I10" s="14" t="str">
        <x:v>Payment</x:v>
      </x:c>
      <x:c r="J10" s="17" t="n">
        <x:v>5204.27</x:v>
      </x:c>
      <x:c r="K10" s="17" t="n">
        <x:v>0</x:v>
      </x:c>
      <x:c r="L10" s="17" t="n">
        <x:v>5204.27</x:v>
      </x:c>
      <x:c r="M10" s="17" t="n">
        <x:v>-8415008.25</x:v>
      </x:c>
      <x:c r="N10" s="14" t="str">
        <x:v>Recurring Transaction</x:v>
      </x:c>
      <x:c r="O10" s="14" t="str">
        <x:v>Yes</x:v>
      </x:c>
      <x:c r="P10" s="14" t="str">
        <x:v>IN DR INTDEAL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0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46116</x:v>
      </x:c>
    </x:row>
    <x:row r="11">
      <x:c r="A11" s="14" t="n">
        <x:v>10</x:v>
      </x:c>
      <x:c r="B11" s="14" t="str">
        <x:v>273.pdf</x:v>
      </x:c>
      <x:c r="C11" s="15" t="n">
        <x:v>45181</x:v>
      </x:c>
      <x:c r="D11" s="15" t="n">
        <x:v>46146</x:v>
      </x:c>
      <x:c r="E11" s="15" t="n">
        <x:v>46116</x:v>
      </x:c>
      <x:c r="F11" s="15" t="n">
        <x:v>46116</x:v>
      </x:c>
      <x:c r="G11" s="16" t="str">
        <x:v>MOGHBS-MOGHALS Dr INT260323DEAL6218681</x:v>
      </x:c>
      <x:c r="H11" s="14" t="str"/>
      <x:c r="I11" s="14" t="str">
        <x:v>Payment</x:v>
      </x:c>
      <x:c r="J11" s="17" t="n">
        <x:v>54.45</x:v>
      </x:c>
      <x:c r="K11" s="17" t="n">
        <x:v>0</x:v>
      </x:c>
      <x:c r="L11" s="17" t="n">
        <x:v>54.45</x:v>
      </x:c>
      <x:c r="M11" s="17" t="n">
        <x:v>-8415062.7</x:v>
      </x:c>
      <x:c r="N11" s="14" t="str">
        <x:v>Other</x:v>
      </x:c>
      <x:c r="O11" s="14" t="str">
        <x:v>No</x:v>
      </x:c>
      <x:c r="P11" s="14" t="str">
        <x:v>MOGHALS DR INTDEAL</x:v>
      </x:c>
      <x:c r="Q11" s="14" t="n">
        <x:v>0</x:v>
      </x:c>
      <x:c r="R11" s="14" t="n">
        <x:v>0</x:v>
      </x:c>
      <x:c r="S11" s="14" t="n">
        <x:v>0</x:v>
      </x:c>
      <x:c r="T11" s="14" t="n">
        <x:v>0</x:v>
      </x:c>
      <x:c r="U11" s="14" t="n">
        <x:v>0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46116</x:v>
      </x:c>
    </x:row>
    <x:row r="12">
      <x:c r="A12" s="14" t="n">
        <x:v>11</x:v>
      </x:c>
      <x:c r="B12" s="14" t="str">
        <x:v>273.pdf</x:v>
      </x:c>
      <x:c r="C12" s="15" t="n">
        <x:v>45181</x:v>
      </x:c>
      <x:c r="D12" s="15" t="n">
        <x:v>46146</x:v>
      </x:c>
      <x:c r="E12" s="15" t="n">
        <x:v>46116</x:v>
      </x:c>
      <x:c r="F12" s="15" t="n">
        <x:v>46116</x:v>
      </x:c>
      <x:c r="G12" s="16" t="str">
        <x:v>EBANK:WIB/1502 Dr EBANK:WIB/1502423934/Edfs</x:v>
      </x:c>
      <x:c r="H12" s="14" t="str"/>
      <x:c r="I12" s="14" t="str">
        <x:v>Receipt</x:v>
      </x:c>
      <x:c r="J12" s="17" t="n">
        <x:v>0</x:v>
      </x:c>
      <x:c r="K12" s="17" t="n">
        <x:v>240091</x:v>
      </x:c>
      <x:c r="L12" s="17" t="n">
        <x:v>240091</x:v>
      </x:c>
      <x:c r="M12" s="17" t="n">
        <x:v>-8174971.7</x:v>
      </x:c>
      <x:c r="N12" s="14" t="str">
        <x:v>High Transaction; Recurring Transaction</x:v>
      </x:c>
      <x:c r="O12" s="14" t="str">
        <x:v>Yes</x:v>
      </x:c>
      <x:c r="P12" s="14" t="str">
        <x:v>EBANKWIB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1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46116</x:v>
      </x:c>
    </x:row>
    <x:row r="13">
      <x:c r="A13" s="14" t="n">
        <x:v>12</x:v>
      </x:c>
      <x:c r="B13" s="14" t="str">
        <x:v>273.pdf</x:v>
      </x:c>
      <x:c r="C13" s="15" t="n">
        <x:v>45181</x:v>
      </x:c>
      <x:c r="D13" s="15" t="n">
        <x:v>46146</x:v>
      </x:c>
      <x:c r="E13" s="15" t="n">
        <x:v>46116</x:v>
      </x:c>
      <x:c r="F13" s="15" t="n">
        <x:v>46116</x:v>
      </x:c>
      <x:c r="G13" s="16" t="str">
        <x:v>BY CASH Dr BY CASH</x:v>
      </x:c>
      <x:c r="H13" s="14" t="str"/>
      <x:c r="I13" s="14" t="str">
        <x:v>Receipt</x:v>
      </x:c>
      <x:c r="J13" s="17" t="n">
        <x:v>0</x:v>
      </x:c>
      <x:c r="K13" s="17" t="n">
        <x:v>423500</x:v>
      </x:c>
      <x:c r="L13" s="17" t="n">
        <x:v>423500</x:v>
      </x:c>
      <x:c r="M13" s="17" t="n">
        <x:v>-7751471.7</x:v>
      </x:c>
      <x:c r="N13" s="14" t="str">
        <x:v>Cash; High Transaction; Recurring Transaction</x:v>
      </x:c>
      <x:c r="O13" s="14" t="str">
        <x:v>Yes</x:v>
      </x:c>
      <x:c r="P13" s="14" t="str">
        <x:v>BY CASH DR BY CASH</x:v>
      </x:c>
      <x:c r="Q13" s="14" t="n">
        <x:v>1</x:v>
      </x:c>
      <x:c r="R13" s="14" t="n">
        <x:v>1</x:v>
      </x:c>
      <x:c r="S13" s="14" t="n">
        <x:v>0</x:v>
      </x:c>
      <x:c r="T13" s="14" t="n">
        <x:v>0</x:v>
      </x:c>
      <x:c r="U13" s="14" t="n">
        <x:v>1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46116</x:v>
      </x:c>
    </x:row>
    <x:row r="14">
      <x:c r="A14" s="14" t="n">
        <x:v>13</x:v>
      </x:c>
      <x:c r="B14" s="14" t="str">
        <x:v>273.pdf</x:v>
      </x:c>
      <x:c r="C14" s="15" t="n">
        <x:v>45181</x:v>
      </x:c>
      <x:c r="D14" s="15" t="n">
        <x:v>46146</x:v>
      </x:c>
      <x:c r="E14" s="15" t="n">
        <x:v>46116</x:v>
      </x:c>
      <x:c r="F14" s="15" t="n">
        <x:v>46116</x:v>
      </x:c>
      <x:c r="G14" s="16" t="str">
        <x:v>EBANK:WIB/1502 Dr ---------------------------------------------------------------------------------------------------------------------------------- Page Total: 14,20,752.58 37,89,230.05 76,31,141.33Dr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</x:v>
      </x:c>
      <x:c r="H14" s="14" t="str"/>
      <x:c r="I14" s="14" t="str">
        <x:v>Receipt</x:v>
      </x:c>
      <x:c r="J14" s="17" t="n">
        <x:v>0</x:v>
      </x:c>
      <x:c r="K14" s="17" t="n">
        <x:v>120330.37</x:v>
      </x:c>
      <x:c r="L14" s="17" t="n">
        <x:v>120330.37</x:v>
      </x:c>
      <x:c r="M14" s="17" t="n">
        <x:v>-7631141.33</x:v>
      </x:c>
      <x:c r="N14" s="14" t="str">
        <x:v>High Transaction; Recurring Transaction</x:v>
      </x:c>
      <x:c r="O14" s="14" t="str">
        <x:v>Yes</x:v>
      </x:c>
      <x:c r="P14" s="14" t="str">
        <x:v>EBANKWIB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1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46116</x:v>
      </x:c>
    </x:row>
    <x:row r="15">
      <x:c r="A15" s="14" t="n">
        <x:v>14</x:v>
      </x:c>
      <x:c r="B15" s="14" t="str">
        <x:v>273.pdf</x:v>
      </x:c>
      <x:c r="C15" s="15" t="n">
        <x:v>45181</x:v>
      </x:c>
      <x:c r="D15" s="15" t="n">
        <x:v>46146</x:v>
      </x:c>
      <x:c r="E15" s="15" t="n">
        <x:v>46116</x:v>
      </x:c>
      <x:c r="F15" s="15" t="n">
        <x:v>46116</x:v>
      </x:c>
      <x:c r="G15" s="16" t="str">
        <x:v>RTGS-BARBR5202 Dr RTGS-BARBR52026040400789528-HINDUSTAN PETROLEUM CO</x:v>
      </x:c>
      <x:c r="H15" s="14" t="str"/>
      <x:c r="I15" s="14" t="str">
        <x:v>Payment</x:v>
      </x:c>
      <x:c r="J15" s="17" t="n">
        <x:v>1854884.36</x:v>
      </x:c>
      <x:c r="K15" s="17" t="n">
        <x:v>0</x:v>
      </x:c>
      <x:c r="L15" s="17" t="n">
        <x:v>1854884.36</x:v>
      </x:c>
      <x:c r="M15" s="17" t="n">
        <x:v>-9486025.69</x:v>
      </x:c>
      <x:c r="N15" s="14" t="str">
        <x:v>High Transaction; Recurring Transaction</x:v>
      </x:c>
      <x:c r="O15" s="14" t="str">
        <x:v>Yes</x:v>
      </x:c>
      <x:c r="P15" s="14" t="str">
        <x:v>BARBR DR RTGS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1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46116</x:v>
      </x:c>
    </x:row>
    <x:row r="16">
      <x:c r="A16" s="14" t="n">
        <x:v>15</x:v>
      </x:c>
      <x:c r="B16" s="14" t="str">
        <x:v>273.pdf</x:v>
      </x:c>
      <x:c r="C16" s="15" t="n">
        <x:v>45181</x:v>
      </x:c>
      <x:c r="D16" s="15" t="n">
        <x:v>46146</x:v>
      </x:c>
      <x:c r="E16" s="15" t="n">
        <x:v>46117</x:v>
      </x:c>
      <x:c r="F16" s="15" t="n">
        <x:v>46117</x:v>
      </x:c>
      <x:c r="G16" s="16" t="str">
        <x:v>EBANK:WIB/1502 Dr EBANK:WIB/1502577386/Edfs</x:v>
      </x:c>
      <x:c r="H16" s="14" t="str"/>
      <x:c r="I16" s="14" t="str">
        <x:v>Receipt</x:v>
      </x:c>
      <x:c r="J16" s="17" t="n">
        <x:v>0</x:v>
      </x:c>
      <x:c r="K16" s="17" t="n">
        <x:v>300403.36</x:v>
      </x:c>
      <x:c r="L16" s="17" t="n">
        <x:v>300403.36</x:v>
      </x:c>
      <x:c r="M16" s="17" t="n">
        <x:v>-9185622.33</x:v>
      </x:c>
      <x:c r="N16" s="14" t="str">
        <x:v>High Transaction; Recurring Transaction</x:v>
      </x:c>
      <x:c r="O16" s="14" t="str">
        <x:v>Yes</x:v>
      </x:c>
      <x:c r="P16" s="14" t="str">
        <x:v>EBANKWIB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46117</x:v>
      </x:c>
    </x:row>
    <x:row r="17">
      <x:c r="A17" s="14" t="n">
        <x:v>16</x:v>
      </x:c>
      <x:c r="B17" s="14" t="str">
        <x:v>273.pdf</x:v>
      </x:c>
      <x:c r="C17" s="15" t="n">
        <x:v>45181</x:v>
      </x:c>
      <x:c r="D17" s="15" t="n">
        <x:v>46146</x:v>
      </x:c>
      <x:c r="E17" s="15" t="n">
        <x:v>46118</x:v>
      </x:c>
      <x:c r="F17" s="15" t="n">
        <x:v>46118</x:v>
      </x:c>
      <x:c r="G17" s="16" t="str">
        <x:v>EBANK:WIB/1502 Dr https://cbdrpt101.bankofbaroda.co.in:22000/finbranch/arjspmorph/INFENG/tran_rpt.jsp?... 04-05-2026 EBANK:WIB/1502642025/Edfs</x:v>
      </x:c>
      <x:c r="H17" s="14" t="str"/>
      <x:c r="I17" s="14" t="str">
        <x:v>Receipt</x:v>
      </x:c>
      <x:c r="J17" s="17" t="n">
        <x:v>0</x:v>
      </x:c>
      <x:c r="K17" s="17" t="n">
        <x:v>365780.21</x:v>
      </x:c>
      <x:c r="L17" s="17" t="n">
        <x:v>365780.21</x:v>
      </x:c>
      <x:c r="M17" s="17" t="n">
        <x:v>-8819842.12</x:v>
      </x:c>
      <x:c r="N17" s="14" t="str">
        <x:v>High Transaction; Recurring Transaction</x:v>
      </x:c>
      <x:c r="O17" s="14" t="str">
        <x:v>Yes</x:v>
      </x:c>
      <x:c r="P17" s="14" t="str">
        <x:v>EBANKWIB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1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46118</x:v>
      </x:c>
    </x:row>
    <x:row r="18">
      <x:c r="A18" s="14" t="n">
        <x:v>17</x:v>
      </x:c>
      <x:c r="B18" s="14" t="str">
        <x:v>273.pdf</x:v>
      </x:c>
      <x:c r="C18" s="15" t="n">
        <x:v>45181</x:v>
      </x:c>
      <x:c r="D18" s="15" t="n">
        <x:v>46146</x:v>
      </x:c>
      <x:c r="E18" s="15" t="n">
        <x:v>46118</x:v>
      </x:c>
      <x:c r="F18" s="15" t="n">
        <x:v>46118</x:v>
      </x:c>
      <x:c r="G18" s="16" t="str">
        <x:v>BY CASH Dr BY CASH</x:v>
      </x:c>
      <x:c r="H18" s="14" t="str"/>
      <x:c r="I18" s="14" t="str">
        <x:v>Receipt</x:v>
      </x:c>
      <x:c r="J18" s="17" t="n">
        <x:v>0</x:v>
      </x:c>
      <x:c r="K18" s="17" t="n">
        <x:v>273000</x:v>
      </x:c>
      <x:c r="L18" s="17" t="n">
        <x:v>273000</x:v>
      </x:c>
      <x:c r="M18" s="17" t="n">
        <x:v>-8546842.12</x:v>
      </x:c>
      <x:c r="N18" s="14" t="str">
        <x:v>Cash; High Transaction; Recurring Transaction</x:v>
      </x:c>
      <x:c r="O18" s="14" t="str">
        <x:v>Yes</x:v>
      </x:c>
      <x:c r="P18" s="14" t="str">
        <x:v>BY CASH DR BY CASH</x:v>
      </x:c>
      <x:c r="Q18" s="14" t="n">
        <x:v>1</x:v>
      </x:c>
      <x:c r="R18" s="14" t="n">
        <x:v>1</x:v>
      </x:c>
      <x:c r="S18" s="14" t="n">
        <x:v>0</x:v>
      </x:c>
      <x:c r="T18" s="14" t="n">
        <x:v>0</x:v>
      </x:c>
      <x:c r="U18" s="14" t="n">
        <x:v>1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46118</x:v>
      </x:c>
    </x:row>
    <x:row r="19">
      <x:c r="A19" s="14" t="n">
        <x:v>18</x:v>
      </x:c>
      <x:c r="B19" s="14" t="str">
        <x:v>273.pdf</x:v>
      </x:c>
      <x:c r="C19" s="15" t="n">
        <x:v>45181</x:v>
      </x:c>
      <x:c r="D19" s="15" t="n">
        <x:v>46146</x:v>
      </x:c>
      <x:c r="E19" s="15" t="n">
        <x:v>46118</x:v>
      </x:c>
      <x:c r="F19" s="15" t="n">
        <x:v>46118</x:v>
      </x:c>
      <x:c r="G19" s="16" t="str">
        <x:v>EBANK:WIB/1502 Dr EBANK:WIB/1502790855/Edfs</x:v>
      </x:c>
      <x:c r="H19" s="14" t="str"/>
      <x:c r="I19" s="14" t="str">
        <x:v>Receipt</x:v>
      </x:c>
      <x:c r="J19" s="17" t="n">
        <x:v>0</x:v>
      </x:c>
      <x:c r="K19" s="17" t="n">
        <x:v>198114</x:v>
      </x:c>
      <x:c r="L19" s="17" t="n">
        <x:v>198114</x:v>
      </x:c>
      <x:c r="M19" s="17" t="n">
        <x:v>-8348728.12</x:v>
      </x:c>
      <x:c r="N19" s="14" t="str">
        <x:v>High Transaction; Recurring Transaction</x:v>
      </x:c>
      <x:c r="O19" s="14" t="str">
        <x:v>Yes</x:v>
      </x:c>
      <x:c r="P19" s="14" t="str">
        <x:v>EBANKWIB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1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46118</x:v>
      </x:c>
    </x:row>
    <x:row r="20">
      <x:c r="A20" s="14" t="n">
        <x:v>19</x:v>
      </x:c>
      <x:c r="B20" s="14" t="str">
        <x:v>273.pdf</x:v>
      </x:c>
      <x:c r="C20" s="15" t="n">
        <x:v>45181</x:v>
      </x:c>
      <x:c r="D20" s="15" t="n">
        <x:v>46146</x:v>
      </x:c>
      <x:c r="E20" s="15" t="n">
        <x:v>46118</x:v>
      </x:c>
      <x:c r="F20" s="15" t="n">
        <x:v>46118</x:v>
      </x:c>
      <x:c r="G20" s="16" t="str">
        <x:v>BASGUR-GURGAON Dr INT260324DEAL6234708</x:v>
      </x:c>
      <x:c r="H20" s="14" t="str"/>
      <x:c r="I20" s="14" t="str">
        <x:v>Payment</x:v>
      </x:c>
      <x:c r="J20" s="17" t="n">
        <x:v>5732.4</x:v>
      </x:c>
      <x:c r="K20" s="17" t="n">
        <x:v>0</x:v>
      </x:c>
      <x:c r="L20" s="17" t="n">
        <x:v>5732.4</x:v>
      </x:c>
      <x:c r="M20" s="17" t="n">
        <x:v>-8354460.52</x:v>
      </x:c>
      <x:c r="N20" s="14" t="str">
        <x:v>Other</x:v>
      </x:c>
      <x:c r="O20" s="14" t="str">
        <x:v>No</x:v>
      </x:c>
      <x:c r="P20" s="14" t="str">
        <x:v>GURGAON DR INTDEAL</x:v>
      </x:c>
      <x:c r="Q20" s="14" t="n">
        <x:v>0</x:v>
      </x:c>
      <x:c r="R20" s="14" t="n">
        <x:v>0</x:v>
      </x:c>
      <x:c r="S20" s="14" t="n">
        <x:v>0</x:v>
      </x:c>
      <x:c r="T20" s="14" t="n">
        <x:v>0</x:v>
      </x:c>
      <x:c r="U20" s="14" t="n">
        <x:v>0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46118</x:v>
      </x:c>
    </x:row>
    <x:row r="21">
      <x:c r="A21" s="14" t="n">
        <x:v>20</x:v>
      </x:c>
      <x:c r="B21" s="14" t="str">
        <x:v>273.pdf</x:v>
      </x:c>
      <x:c r="C21" s="15" t="n">
        <x:v>45181</x:v>
      </x:c>
      <x:c r="D21" s="15" t="n">
        <x:v>46146</x:v>
      </x:c>
      <x:c r="E21" s="15" t="n">
        <x:v>46119</x:v>
      </x:c>
      <x:c r="F21" s="15" t="n">
        <x:v>46119</x:v>
      </x:c>
      <x:c r="G21" s="16" t="str">
        <x:v>EBANK:WIB/1502 Dr EBANK:WIB/1502821939/Edfs</x:v>
      </x:c>
      <x:c r="H21" s="14" t="str"/>
      <x:c r="I21" s="14" t="str">
        <x:v>Receipt</x:v>
      </x:c>
      <x:c r="J21" s="17" t="n">
        <x:v>0</x:v>
      </x:c>
      <x:c r="K21" s="17" t="n">
        <x:v>330493.07</x:v>
      </x:c>
      <x:c r="L21" s="17" t="n">
        <x:v>330493.07</x:v>
      </x:c>
      <x:c r="M21" s="17" t="n">
        <x:v>-8023967.45</x:v>
      </x:c>
      <x:c r="N21" s="14" t="str">
        <x:v>High Transaction; Recurring Transaction</x:v>
      </x:c>
      <x:c r="O21" s="14" t="str">
        <x:v>Yes</x:v>
      </x:c>
      <x:c r="P21" s="14" t="str">
        <x:v>EBANKWIB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1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46119</x:v>
      </x:c>
    </x:row>
    <x:row r="22">
      <x:c r="A22" s="14" t="n">
        <x:v>21</x:v>
      </x:c>
      <x:c r="B22" s="14" t="str">
        <x:v>273.pdf</x:v>
      </x:c>
      <x:c r="C22" s="15" t="n">
        <x:v>45181</x:v>
      </x:c>
      <x:c r="D22" s="15" t="n">
        <x:v>46146</x:v>
      </x:c>
      <x:c r="E22" s="15" t="n">
        <x:v>46119</x:v>
      </x:c>
      <x:c r="F22" s="15" t="n">
        <x:v>46119</x:v>
      </x:c>
      <x:c r="G22" s="16" t="str">
        <x:v>EBANK:WIB/1502 Dr EBANK:WIB/1502986421/Edfs</x:v>
      </x:c>
      <x:c r="H22" s="14" t="str"/>
      <x:c r="I22" s="14" t="str">
        <x:v>Receipt</x:v>
      </x:c>
      <x:c r="J22" s="17" t="n">
        <x:v>0</x:v>
      </x:c>
      <x:c r="K22" s="17" t="n">
        <x:v>137582.35</x:v>
      </x:c>
      <x:c r="L22" s="17" t="n">
        <x:v>137582.35</x:v>
      </x:c>
      <x:c r="M22" s="17" t="n">
        <x:v>-7886385.1</x:v>
      </x:c>
      <x:c r="N22" s="14" t="str">
        <x:v>High Transaction; Recurring Transaction</x:v>
      </x:c>
      <x:c r="O22" s="14" t="str">
        <x:v>Yes</x:v>
      </x:c>
      <x:c r="P22" s="14" t="str">
        <x:v>EBANKWIB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1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46119</x:v>
      </x:c>
    </x:row>
    <x:row r="23">
      <x:c r="A23" s="14" t="n">
        <x:v>22</x:v>
      </x:c>
      <x:c r="B23" s="14" t="str">
        <x:v>273.pdf</x:v>
      </x:c>
      <x:c r="C23" s="15" t="n">
        <x:v>45181</x:v>
      </x:c>
      <x:c r="D23" s="15" t="n">
        <x:v>46146</x:v>
      </x:c>
      <x:c r="E23" s="15" t="n">
        <x:v>46119</x:v>
      </x:c>
      <x:c r="F23" s="15" t="n">
        <x:v>46119</x:v>
      </x:c>
      <x:c r="G23" s="16" t="str">
        <x:v>RTGS-BARBR5202 Dr RTGS-BARBR52026040700945156-HINDUSTAN PETROLEUM CO</x:v>
      </x:c>
      <x:c r="H23" s="14" t="str"/>
      <x:c r="I23" s="14" t="str">
        <x:v>Payment</x:v>
      </x:c>
      <x:c r="J23" s="17" t="n">
        <x:v>1902609.28</x:v>
      </x:c>
      <x:c r="K23" s="17" t="n">
        <x:v>0</x:v>
      </x:c>
      <x:c r="L23" s="17" t="n">
        <x:v>1902609.28</x:v>
      </x:c>
      <x:c r="M23" s="17" t="n">
        <x:v>-9788994.38</x:v>
      </x:c>
      <x:c r="N23" s="14" t="str">
        <x:v>High Transaction; Recurring Transaction</x:v>
      </x:c>
      <x:c r="O23" s="14" t="str">
        <x:v>Yes</x:v>
      </x:c>
      <x:c r="P23" s="14" t="str">
        <x:v>BARBR DR RTGS</x:v>
      </x:c>
      <x:c r="Q23" s="14" t="n">
        <x:v>0</x:v>
      </x:c>
      <x:c r="R23" s="14" t="n">
        <x:v>1</x:v>
      </x:c>
      <x:c r="S23" s="14" t="n">
        <x:v>0</x:v>
      </x:c>
      <x:c r="T23" s="14" t="n">
        <x:v>0</x:v>
      </x:c>
      <x:c r="U23" s="14" t="n">
        <x:v>1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46119</x:v>
      </x:c>
    </x:row>
    <x:row r="24">
      <x:c r="A24" s="14" t="n">
        <x:v>23</x:v>
      </x:c>
      <x:c r="B24" s="14" t="str">
        <x:v>273.pdf</x:v>
      </x:c>
      <x:c r="C24" s="15" t="n">
        <x:v>45181</x:v>
      </x:c>
      <x:c r="D24" s="15" t="n">
        <x:v>46146</x:v>
      </x:c>
      <x:c r="E24" s="15" t="n">
        <x:v>46120</x:v>
      </x:c>
      <x:c r="F24" s="15" t="n">
        <x:v>46120</x:v>
      </x:c>
      <x:c r="G24" s="16" t="str">
        <x:v>EBANK:WIB/1503 Dr EBANK:WIB/1503050809/Edfs</x:v>
      </x:c>
      <x:c r="H24" s="14" t="str"/>
      <x:c r="I24" s="14" t="str">
        <x:v>Receipt</x:v>
      </x:c>
      <x:c r="J24" s="17" t="n">
        <x:v>0</x:v>
      </x:c>
      <x:c r="K24" s="17" t="n">
        <x:v>381113</x:v>
      </x:c>
      <x:c r="L24" s="17" t="n">
        <x:v>381113</x:v>
      </x:c>
      <x:c r="M24" s="17" t="n">
        <x:v>-9407881.38</x:v>
      </x:c>
      <x:c r="N24" s="14" t="str">
        <x:v>High Transaction; Recurring Transaction</x:v>
      </x:c>
      <x:c r="O24" s="14" t="str">
        <x:v>Yes</x:v>
      </x:c>
      <x:c r="P24" s="14" t="str">
        <x:v>EBANKWIB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1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46120</x:v>
      </x:c>
    </x:row>
    <x:row r="25">
      <x:c r="A25" s="14" t="n">
        <x:v>24</x:v>
      </x:c>
      <x:c r="B25" s="14" t="str">
        <x:v>273.pdf</x:v>
      </x:c>
      <x:c r="C25" s="15" t="n">
        <x:v>45181</x:v>
      </x:c>
      <x:c r="D25" s="15" t="n">
        <x:v>46146</x:v>
      </x:c>
      <x:c r="E25" s="15" t="n">
        <x:v>46120</x:v>
      </x:c>
      <x:c r="F25" s="15" t="n">
        <x:v>46120</x:v>
      </x:c>
      <x:c r="G25" s="16" t="str">
        <x:v>BY CASH Dr BY CASH</x:v>
      </x:c>
      <x:c r="H25" s="14" t="str"/>
      <x:c r="I25" s="14" t="str">
        <x:v>Receipt</x:v>
      </x:c>
      <x:c r="J25" s="17" t="n">
        <x:v>0</x:v>
      </x:c>
      <x:c r="K25" s="17" t="n">
        <x:v>115000</x:v>
      </x:c>
      <x:c r="L25" s="17" t="n">
        <x:v>115000</x:v>
      </x:c>
      <x:c r="M25" s="17" t="n">
        <x:v>-9292881.38</x:v>
      </x:c>
      <x:c r="N25" s="14" t="str">
        <x:v>Cash; High Transaction; Recurring Transaction</x:v>
      </x:c>
      <x:c r="O25" s="14" t="str">
        <x:v>Yes</x:v>
      </x:c>
      <x:c r="P25" s="14" t="str">
        <x:v>BY CASH DR BY CASH</x:v>
      </x:c>
      <x:c r="Q25" s="14" t="n">
        <x:v>1</x:v>
      </x:c>
      <x:c r="R25" s="14" t="n">
        <x:v>1</x:v>
      </x:c>
      <x:c r="S25" s="14" t="n">
        <x:v>0</x:v>
      </x:c>
      <x:c r="T25" s="14" t="n">
        <x:v>0</x:v>
      </x:c>
      <x:c r="U25" s="14" t="n">
        <x:v>1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46120</x:v>
      </x:c>
    </x:row>
    <x:row r="26">
      <x:c r="A26" s="14" t="n">
        <x:v>25</x:v>
      </x:c>
      <x:c r="B26" s="14" t="str">
        <x:v>273.pdf</x:v>
      </x:c>
      <x:c r="C26" s="15" t="n">
        <x:v>45181</x:v>
      </x:c>
      <x:c r="D26" s="15" t="n">
        <x:v>46146</x:v>
      </x:c>
      <x:c r="E26" s="15" t="n">
        <x:v>46120</x:v>
      </x:c>
      <x:c r="F26" s="15" t="n">
        <x:v>46120</x:v>
      </x:c>
      <x:c r="G26" s="16" t="str">
        <x:v>EBANK:WIB/1503 Dr EBANK:WIB/1503170712/Edfs</x:v>
      </x:c>
      <x:c r="H26" s="14" t="str"/>
      <x:c r="I26" s="14" t="str">
        <x:v>Receipt</x:v>
      </x:c>
      <x:c r="J26" s="17" t="n">
        <x:v>0</x:v>
      </x:c>
      <x:c r="K26" s="17" t="n">
        <x:v>108620</x:v>
      </x:c>
      <x:c r="L26" s="17" t="n">
        <x:v>108620</x:v>
      </x:c>
      <x:c r="M26" s="17" t="n">
        <x:v>-9184261.38</x:v>
      </x:c>
      <x:c r="N26" s="14" t="str">
        <x:v>High Transaction; Recurring Transaction</x:v>
      </x:c>
      <x:c r="O26" s="14" t="str">
        <x:v>Yes</x:v>
      </x:c>
      <x:c r="P26" s="14" t="str">
        <x:v>EBANKWIB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1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46120</x:v>
      </x:c>
    </x:row>
    <x:row r="27">
      <x:c r="A27" s="14" t="n">
        <x:v>26</x:v>
      </x:c>
      <x:c r="B27" s="14" t="str">
        <x:v>273.pdf</x:v>
      </x:c>
      <x:c r="C27" s="15" t="n">
        <x:v>45181</x:v>
      </x:c>
      <x:c r="D27" s="15" t="n">
        <x:v>46146</x:v>
      </x:c>
      <x:c r="E27" s="15" t="n">
        <x:v>46121</x:v>
      </x:c>
      <x:c r="F27" s="15" t="n">
        <x:v>46121</x:v>
      </x:c>
      <x:c r="G27" s="16" t="str">
        <x:v>0000-MUMBAI/IN Dr INT260325DEAL6242558</x:v>
      </x:c>
      <x:c r="H27" s="14" t="str"/>
      <x:c r="I27" s="14" t="str">
        <x:v>Payment</x:v>
      </x:c>
      <x:c r="J27" s="17" t="n">
        <x:v>5694.93</x:v>
      </x:c>
      <x:c r="K27" s="17" t="n">
        <x:v>0</x:v>
      </x:c>
      <x:c r="L27" s="17" t="n">
        <x:v>5694.93</x:v>
      </x:c>
      <x:c r="M27" s="17" t="n">
        <x:v>-9189956.31</x:v>
      </x:c>
      <x:c r="N27" s="14" t="str">
        <x:v>Recurring Transaction</x:v>
      </x:c>
      <x:c r="O27" s="14" t="str">
        <x:v>Yes</x:v>
      </x:c>
      <x:c r="P27" s="14" t="str">
        <x:v>IN DR INTDEAL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0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46121</x:v>
      </x:c>
    </x:row>
    <x:row r="28">
      <x:c r="A28" s="14" t="n">
        <x:v>27</x:v>
      </x:c>
      <x:c r="B28" s="14" t="str">
        <x:v>273.pdf</x:v>
      </x:c>
      <x:c r="C28" s="15" t="n">
        <x:v>45181</x:v>
      </x:c>
      <x:c r="D28" s="15" t="n">
        <x:v>46146</x:v>
      </x:c>
      <x:c r="E28" s="15" t="n">
        <x:v>46121</x:v>
      </x:c>
      <x:c r="F28" s="15" t="n">
        <x:v>46121</x:v>
      </x:c>
      <x:c r="G28" s="16" t="str">
        <x:v>0000-MUMBAI/IN Dr INT260325DEAL6242558</x:v>
      </x:c>
      <x:c r="H28" s="14" t="str"/>
      <x:c r="I28" s="14" t="str">
        <x:v>Receipt</x:v>
      </x:c>
      <x:c r="J28" s="17" t="n">
        <x:v>0</x:v>
      </x:c>
      <x:c r="K28" s="17" t="n">
        <x:v>25.59</x:v>
      </x:c>
      <x:c r="L28" s="17" t="n">
        <x:v>25.59</x:v>
      </x:c>
      <x:c r="M28" s="17" t="n">
        <x:v>-9189930.72</x:v>
      </x:c>
      <x:c r="N28" s="14" t="str">
        <x:v>Recurring Transaction</x:v>
      </x:c>
      <x:c r="O28" s="14" t="str">
        <x:v>Yes</x:v>
      </x:c>
      <x:c r="P28" s="14" t="str">
        <x:v>IN DR INTDEAL</x:v>
      </x:c>
      <x:c r="Q28" s="14" t="n">
        <x:v>0</x:v>
      </x:c>
      <x:c r="R28" s="14" t="n">
        <x:v>1</x:v>
      </x:c>
      <x:c r="S28" s="14" t="n">
        <x:v>0</x:v>
      </x:c>
      <x:c r="T28" s="14" t="n">
        <x:v>0</x:v>
      </x:c>
      <x:c r="U28" s="14" t="n">
        <x:v>0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46121</x:v>
      </x:c>
    </x:row>
    <x:row r="29">
      <x:c r="A29" s="14" t="n">
        <x:v>28</x:v>
      </x:c>
      <x:c r="B29" s="14" t="str">
        <x:v>273.pdf</x:v>
      </x:c>
      <x:c r="C29" s="15" t="n">
        <x:v>45181</x:v>
      </x:c>
      <x:c r="D29" s="15" t="n">
        <x:v>46146</x:v>
      </x:c>
      <x:c r="E29" s="15" t="n">
        <x:v>46121</x:v>
      </x:c>
      <x:c r="F29" s="15" t="n">
        <x:v>46121</x:v>
      </x:c>
      <x:c r="G29" s="16" t="str">
        <x:v>BY CASH Dr BY CASH</x:v>
      </x:c>
      <x:c r="H29" s="14" t="str"/>
      <x:c r="I29" s="14" t="str">
        <x:v>Receipt</x:v>
      </x:c>
      <x:c r="J29" s="17" t="n">
        <x:v>0</x:v>
      </x:c>
      <x:c r="K29" s="17" t="n">
        <x:v>180000</x:v>
      </x:c>
      <x:c r="L29" s="17" t="n">
        <x:v>180000</x:v>
      </x:c>
      <x:c r="M29" s="17" t="n">
        <x:v>-9009930.72</x:v>
      </x:c>
      <x:c r="N29" s="14" t="str">
        <x:v>Cash; High Transaction; Recurring Transaction</x:v>
      </x:c>
      <x:c r="O29" s="14" t="str">
        <x:v>Yes</x:v>
      </x:c>
      <x:c r="P29" s="14" t="str">
        <x:v>BY CASH DR BY CASH</x:v>
      </x:c>
      <x:c r="Q29" s="14" t="n">
        <x:v>1</x:v>
      </x:c>
      <x:c r="R29" s="14" t="n">
        <x:v>1</x:v>
      </x:c>
      <x:c r="S29" s="14" t="n">
        <x:v>0</x:v>
      </x:c>
      <x:c r="T29" s="14" t="n">
        <x:v>0</x:v>
      </x:c>
      <x:c r="U29" s="14" t="n">
        <x:v>1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46121</x:v>
      </x:c>
    </x:row>
    <x:row r="30">
      <x:c r="A30" s="14" t="n">
        <x:v>29</x:v>
      </x:c>
      <x:c r="B30" s="14" t="str">
        <x:v>273.pdf</x:v>
      </x:c>
      <x:c r="C30" s="15" t="n">
        <x:v>45181</x:v>
      </x:c>
      <x:c r="D30" s="15" t="n">
        <x:v>46146</x:v>
      </x:c>
      <x:c r="E30" s="15" t="n">
        <x:v>46121</x:v>
      </x:c>
      <x:c r="F30" s="15" t="n">
        <x:v>46121</x:v>
      </x:c>
      <x:c r="G30" s="16" t="str">
        <x:v>EBANK:WIB/1503 Dr EBANK:WIB/1503311707/Edfs ---------------------------------------------------------------------------------------------------------------------------------- Page Total: 37,68,920.97 27,70,249.58 86,29,812.72Dr ---------------------------------------------------------------------------------------------------------------------------------- Note: Cheques received in inward clearing will be considered for debiting/ returning on the basis opening balance in account Unless the const</x:v>
      </x:c>
      <x:c r="H30" s="14" t="str"/>
      <x:c r="I30" s="14" t="str">
        <x:v>Receipt</x:v>
      </x:c>
      <x:c r="J30" s="17" t="n">
        <x:v>0</x:v>
      </x:c>
      <x:c r="K30" s="17" t="n">
        <x:v>380118</x:v>
      </x:c>
      <x:c r="L30" s="17" t="n">
        <x:v>380118</x:v>
      </x:c>
      <x:c r="M30" s="17" t="n">
        <x:v>-8629812.72</x:v>
      </x:c>
      <x:c r="N30" s="14" t="str">
        <x:v>High Transaction; Recurring Transaction</x:v>
      </x:c>
      <x:c r="O30" s="14" t="str">
        <x:v>Yes</x:v>
      </x:c>
      <x:c r="P30" s="14" t="str">
        <x:v>EBANKWIB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1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46121</x:v>
      </x:c>
    </x:row>
    <x:row r="31">
      <x:c r="A31" s="14" t="n">
        <x:v>30</x:v>
      </x:c>
      <x:c r="B31" s="14" t="str">
        <x:v>273.pdf</x:v>
      </x:c>
      <x:c r="C31" s="15" t="n">
        <x:v>45181</x:v>
      </x:c>
      <x:c r="D31" s="15" t="n">
        <x:v>46146</x:v>
      </x:c>
      <x:c r="E31" s="15" t="n">
        <x:v>46122</x:v>
      </x:c>
      <x:c r="F31" s="15" t="n">
        <x:v>46122</x:v>
      </x:c>
      <x:c r="G31" s="16" t="str">
        <x:v>EBANK:WIB/1503 Dr EBANK:WIB/1503339201/Edfs</x:v>
      </x:c>
      <x:c r="H31" s="14" t="str"/>
      <x:c r="I31" s="14" t="str">
        <x:v>Receipt</x:v>
      </x:c>
      <x:c r="J31" s="17" t="n">
        <x:v>0</x:v>
      </x:c>
      <x:c r="K31" s="17" t="n">
        <x:v>432999</x:v>
      </x:c>
      <x:c r="L31" s="17" t="n">
        <x:v>432999</x:v>
      </x:c>
      <x:c r="M31" s="17" t="n">
        <x:v>-8196813.72</x:v>
      </x:c>
      <x:c r="N31" s="14" t="str">
        <x:v>High Transaction; Recurring Transaction</x:v>
      </x:c>
      <x:c r="O31" s="14" t="str">
        <x:v>Yes</x:v>
      </x:c>
      <x:c r="P31" s="14" t="str">
        <x:v>EBANKWIB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1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46122</x:v>
      </x:c>
    </x:row>
    <x:row r="32">
      <x:c r="A32" s="14" t="n">
        <x:v>31</x:v>
      </x:c>
      <x:c r="B32" s="14" t="str">
        <x:v>273.pdf</x:v>
      </x:c>
      <x:c r="C32" s="15" t="n">
        <x:v>45181</x:v>
      </x:c>
      <x:c r="D32" s="15" t="n">
        <x:v>46146</x:v>
      </x:c>
      <x:c r="E32" s="15" t="n">
        <x:v>46122</x:v>
      </x:c>
      <x:c r="F32" s="15" t="n">
        <x:v>46122</x:v>
      </x:c>
      <x:c r="G32" s="16" t="str">
        <x:v>0000-MUMBAI/IN Dr INT260326DEAL6244623</x:v>
      </x:c>
      <x:c r="H32" s="14" t="str"/>
      <x:c r="I32" s="14" t="str">
        <x:v>Payment</x:v>
      </x:c>
      <x:c r="J32" s="17" t="n">
        <x:v>1193.25</x:v>
      </x:c>
      <x:c r="K32" s="17" t="n">
        <x:v>0</x:v>
      </x:c>
      <x:c r="L32" s="17" t="n">
        <x:v>1193.25</x:v>
      </x:c>
      <x:c r="M32" s="17" t="n">
        <x:v>-8198006.97</x:v>
      </x:c>
      <x:c r="N32" s="14" t="str">
        <x:v>Recurring Transaction</x:v>
      </x:c>
      <x:c r="O32" s="14" t="str">
        <x:v>Yes</x:v>
      </x:c>
      <x:c r="P32" s="14" t="str">
        <x:v>IN DR INTDEAL</x:v>
      </x:c>
      <x:c r="Q32" s="14" t="n">
        <x:v>0</x:v>
      </x:c>
      <x:c r="R32" s="14" t="n">
        <x:v>1</x:v>
      </x:c>
      <x:c r="S32" s="14" t="n">
        <x:v>0</x:v>
      </x:c>
      <x:c r="T32" s="14" t="n">
        <x:v>0</x:v>
      </x:c>
      <x:c r="U32" s="14" t="n">
        <x:v>0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46122</x:v>
      </x:c>
    </x:row>
    <x:row r="33">
      <x:c r="A33" s="14" t="n">
        <x:v>32</x:v>
      </x:c>
      <x:c r="B33" s="14" t="str">
        <x:v>273.pdf</x:v>
      </x:c>
      <x:c r="C33" s="15" t="n">
        <x:v>45181</x:v>
      </x:c>
      <x:c r="D33" s="15" t="n">
        <x:v>46146</x:v>
      </x:c>
      <x:c r="E33" s="15" t="n">
        <x:v>46122</x:v>
      </x:c>
      <x:c r="F33" s="15" t="n">
        <x:v>46122</x:v>
      </x:c>
      <x:c r="G33" s="16" t="str">
        <x:v>RTGS-BARBR5202 Dr RTGS-BARBR52026041000833640-HINDUSTAN PETROLEUM CO</x:v>
      </x:c>
      <x:c r="H33" s="14" t="str"/>
      <x:c r="I33" s="14" t="str">
        <x:v>Payment</x:v>
      </x:c>
      <x:c r="J33" s="17" t="n">
        <x:v>1801993</x:v>
      </x:c>
      <x:c r="K33" s="17" t="n">
        <x:v>0</x:v>
      </x:c>
      <x:c r="L33" s="17" t="n">
        <x:v>1801993</x:v>
      </x:c>
      <x:c r="M33" s="17" t="n">
        <x:v>-9999999.97</x:v>
      </x:c>
      <x:c r="N33" s="14" t="str">
        <x:v>High Transaction; Recurring Transaction</x:v>
      </x:c>
      <x:c r="O33" s="14" t="str">
        <x:v>Yes</x:v>
      </x:c>
      <x:c r="P33" s="14" t="str">
        <x:v>BARBR DR RTGS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1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46122</x:v>
      </x:c>
    </x:row>
    <x:row r="34">
      <x:c r="A34" s="14" t="n">
        <x:v>33</x:v>
      </x:c>
      <x:c r="B34" s="14" t="str">
        <x:v>273.pdf</x:v>
      </x:c>
      <x:c r="C34" s="15" t="n">
        <x:v>45181</x:v>
      </x:c>
      <x:c r="D34" s="15" t="n">
        <x:v>46146</x:v>
      </x:c>
      <x:c r="E34" s="15" t="n">
        <x:v>46122</x:v>
      </x:c>
      <x:c r="F34" s="15" t="n">
        <x:v>46122</x:v>
      </x:c>
      <x:c r="G34" s="16" t="str">
        <x:v>EBANK:WIB/1503 Dr EBANK:WIB/1503385381/Edfs</x:v>
      </x:c>
      <x:c r="H34" s="14" t="str"/>
      <x:c r="I34" s="14" t="str">
        <x:v>Receipt</x:v>
      </x:c>
      <x:c r="J34" s="17" t="n">
        <x:v>0</x:v>
      </x:c>
      <x:c r="K34" s="17" t="n">
        <x:v>49686</x:v>
      </x:c>
      <x:c r="L34" s="17" t="n">
        <x:v>49686</x:v>
      </x:c>
      <x:c r="M34" s="17" t="n">
        <x:v>-9950313.97</x:v>
      </x:c>
      <x:c r="N34" s="14" t="str">
        <x:v>Recurring Transaction</x:v>
      </x:c>
      <x:c r="O34" s="14" t="str">
        <x:v>Yes</x:v>
      </x:c>
      <x:c r="P34" s="14" t="str">
        <x:v>EBANKWIB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0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46122</x:v>
      </x:c>
    </x:row>
    <x:row r="35">
      <x:c r="A35" s="14" t="n">
        <x:v>34</x:v>
      </x:c>
      <x:c r="B35" s="14" t="str">
        <x:v>273.pdf</x:v>
      </x:c>
      <x:c r="C35" s="15" t="n">
        <x:v>45181</x:v>
      </x:c>
      <x:c r="D35" s="15" t="n">
        <x:v>46146</x:v>
      </x:c>
      <x:c r="E35" s="15" t="n">
        <x:v>46122</x:v>
      </x:c>
      <x:c r="F35" s="15" t="n">
        <x:v>46122</x:v>
      </x:c>
      <x:c r="G35" s="16" t="str">
        <x:v>BY CASH Dr BY CASH</x:v>
      </x:c>
      <x:c r="H35" s="14" t="str"/>
      <x:c r="I35" s="14" t="str">
        <x:v>Receipt</x:v>
      </x:c>
      <x:c r="J35" s="17" t="n">
        <x:v>0</x:v>
      </x:c>
      <x:c r="K35" s="17" t="n">
        <x:v>171000</x:v>
      </x:c>
      <x:c r="L35" s="17" t="n">
        <x:v>171000</x:v>
      </x:c>
      <x:c r="M35" s="17" t="n">
        <x:v>-9779313.97</x:v>
      </x:c>
      <x:c r="N35" s="14" t="str">
        <x:v>Cash; High Transaction; Recurring Transaction</x:v>
      </x:c>
      <x:c r="O35" s="14" t="str">
        <x:v>Yes</x:v>
      </x:c>
      <x:c r="P35" s="14" t="str">
        <x:v>BY CASH DR BY CASH</x:v>
      </x:c>
      <x:c r="Q35" s="14" t="n">
        <x:v>1</x:v>
      </x:c>
      <x:c r="R35" s="14" t="n">
        <x:v>1</x:v>
      </x:c>
      <x:c r="S35" s="14" t="n">
        <x:v>0</x:v>
      </x:c>
      <x:c r="T35" s="14" t="n">
        <x:v>0</x:v>
      </x:c>
      <x:c r="U35" s="14" t="n">
        <x:v>1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46122</x:v>
      </x:c>
    </x:row>
    <x:row r="36">
      <x:c r="A36" s="14" t="n">
        <x:v>35</x:v>
      </x:c>
      <x:c r="B36" s="14" t="str">
        <x:v>273.pdf</x:v>
      </x:c>
      <x:c r="C36" s="15" t="n">
        <x:v>45181</x:v>
      </x:c>
      <x:c r="D36" s="15" t="n">
        <x:v>46146</x:v>
      </x:c>
      <x:c r="E36" s="15" t="n">
        <x:v>46122</x:v>
      </x:c>
      <x:c r="F36" s="15" t="n">
        <x:v>46122</x:v>
      </x:c>
      <x:c r="G36" s="16" t="str">
        <x:v>NEFT-BARBQ2610 Dr NEFT-BARBQ26100745025-HINDUSTAN PETROLEUM CORPORAT</x:v>
      </x:c>
      <x:c r="H36" s="14" t="str"/>
      <x:c r="I36" s="14" t="str">
        <x:v>Payment</x:v>
      </x:c>
      <x:c r="J36" s="17" t="n">
        <x:v>20471.76</x:v>
      </x:c>
      <x:c r="K36" s="17" t="n">
        <x:v>0</x:v>
      </x:c>
      <x:c r="L36" s="17" t="n">
        <x:v>20471.76</x:v>
      </x:c>
      <x:c r="M36" s="17" t="n">
        <x:v>-9799785.73</x:v>
      </x:c>
      <x:c r="N36" s="14" t="str">
        <x:v>Recurring Transaction</x:v>
      </x:c>
      <x:c r="O36" s="14" t="str">
        <x:v>Yes</x:v>
      </x:c>
      <x:c r="P36" s="14" t="str">
        <x:v>BARBQ DR NEFT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0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46122</x:v>
      </x:c>
    </x:row>
    <x:row r="37">
      <x:c r="A37" s="14" t="n">
        <x:v>36</x:v>
      </x:c>
      <x:c r="B37" s="14" t="str">
        <x:v>273.pdf</x:v>
      </x:c>
      <x:c r="C37" s="15" t="n">
        <x:v>45181</x:v>
      </x:c>
      <x:c r="D37" s="15" t="n">
        <x:v>46146</x:v>
      </x:c>
      <x:c r="E37" s="15" t="n">
        <x:v>46123</x:v>
      </x:c>
      <x:c r="F37" s="15" t="n">
        <x:v>46123</x:v>
      </x:c>
      <x:c r="G37" s="16" t="str">
        <x:v>0000-MUMBAI/IN Dr INT260327DEAL6258765</x:v>
      </x:c>
      <x:c r="H37" s="14" t="str"/>
      <x:c r="I37" s="14" t="str">
        <x:v>Payment</x:v>
      </x:c>
      <x:c r="J37" s="17" t="n">
        <x:v>7076.83</x:v>
      </x:c>
      <x:c r="K37" s="17" t="n">
        <x:v>0</x:v>
      </x:c>
      <x:c r="L37" s="17" t="n">
        <x:v>7076.83</x:v>
      </x:c>
      <x:c r="M37" s="17" t="n">
        <x:v>-9806862.56</x:v>
      </x:c>
      <x:c r="N37" s="14" t="str">
        <x:v>Recurring Transaction</x:v>
      </x:c>
      <x:c r="O37" s="14" t="str">
        <x:v>Yes</x:v>
      </x:c>
      <x:c r="P37" s="14" t="str">
        <x:v>IN DR INTDEAL</x:v>
      </x:c>
      <x:c r="Q37" s="14" t="n">
        <x:v>0</x:v>
      </x:c>
      <x:c r="R37" s="14" t="n">
        <x:v>1</x:v>
      </x:c>
      <x:c r="S37" s="14" t="n">
        <x:v>0</x:v>
      </x:c>
      <x:c r="T37" s="14" t="n">
        <x:v>0</x:v>
      </x:c>
      <x:c r="U37" s="14" t="n">
        <x:v>0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46123</x:v>
      </x:c>
    </x:row>
    <x:row r="38">
      <x:c r="A38" s="14" t="n">
        <x:v>37</x:v>
      </x:c>
      <x:c r="B38" s="14" t="str">
        <x:v>273.pdf</x:v>
      </x:c>
      <x:c r="C38" s="15" t="n">
        <x:v>45181</x:v>
      </x:c>
      <x:c r="D38" s="15" t="n">
        <x:v>46146</x:v>
      </x:c>
      <x:c r="E38" s="15" t="n">
        <x:v>46123</x:v>
      </x:c>
      <x:c r="F38" s="15" t="n">
        <x:v>46123</x:v>
      </x:c>
      <x:c r="G38" s="16" t="str">
        <x:v>0000-MUMBAI/IN Dr INT260327DEAL6258950</x:v>
      </x:c>
      <x:c r="H38" s="14" t="str"/>
      <x:c r="I38" s="14" t="str">
        <x:v>Payment</x:v>
      </x:c>
      <x:c r="J38" s="17" t="n">
        <x:v>350.17</x:v>
      </x:c>
      <x:c r="K38" s="17" t="n">
        <x:v>0</x:v>
      </x:c>
      <x:c r="L38" s="17" t="n">
        <x:v>350.17</x:v>
      </x:c>
      <x:c r="M38" s="17" t="n">
        <x:v>-9807212.73</x:v>
      </x:c>
      <x:c r="N38" s="14" t="str">
        <x:v>Recurring Transaction</x:v>
      </x:c>
      <x:c r="O38" s="14" t="str">
        <x:v>Yes</x:v>
      </x:c>
      <x:c r="P38" s="14" t="str">
        <x:v>IN DR INTDEAL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0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46123</x:v>
      </x:c>
    </x:row>
    <x:row r="39">
      <x:c r="A39" s="14" t="n">
        <x:v>38</x:v>
      </x:c>
      <x:c r="B39" s="14" t="str">
        <x:v>273.pdf</x:v>
      </x:c>
      <x:c r="C39" s="15" t="n">
        <x:v>45181</x:v>
      </x:c>
      <x:c r="D39" s="15" t="n">
        <x:v>46146</x:v>
      </x:c>
      <x:c r="E39" s="15" t="n">
        <x:v>46123</x:v>
      </x:c>
      <x:c r="F39" s="15" t="n">
        <x:v>46123</x:v>
      </x:c>
      <x:c r="G39" s="16" t="str">
        <x:v>EBANK:WIB/1503 Dr EBANK:WIB/1503559058/Edfs</x:v>
      </x:c>
      <x:c r="H39" s="14" t="str"/>
      <x:c r="I39" s="14" t="str">
        <x:v>Receipt</x:v>
      </x:c>
      <x:c r="J39" s="17" t="n">
        <x:v>0</x:v>
      </x:c>
      <x:c r="K39" s="17" t="n">
        <x:v>353767.15</x:v>
      </x:c>
      <x:c r="L39" s="17" t="n">
        <x:v>353767.15</x:v>
      </x:c>
      <x:c r="M39" s="17" t="n">
        <x:v>-9453445.58</x:v>
      </x:c>
      <x:c r="N39" s="14" t="str">
        <x:v>High Transaction; Recurring Transaction</x:v>
      </x:c>
      <x:c r="O39" s="14" t="str">
        <x:v>Yes</x:v>
      </x:c>
      <x:c r="P39" s="14" t="str">
        <x:v>EBANKWIB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1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46123</x:v>
      </x:c>
    </x:row>
    <x:row r="40">
      <x:c r="A40" s="14" t="n">
        <x:v>39</x:v>
      </x:c>
      <x:c r="B40" s="14" t="str">
        <x:v>273.pdf</x:v>
      </x:c>
      <x:c r="C40" s="15" t="n">
        <x:v>45181</x:v>
      </x:c>
      <x:c r="D40" s="15" t="n">
        <x:v>46146</x:v>
      </x:c>
      <x:c r="E40" s="15" t="n">
        <x:v>46124</x:v>
      </x:c>
      <x:c r="F40" s="15" t="n">
        <x:v>46124</x:v>
      </x:c>
      <x:c r="G40" s="16" t="str">
        <x:v>EBANK:WIB/1503 Dr EBANK:WIB/1503691094/Edfs</x:v>
      </x:c>
      <x:c r="H40" s="14" t="str"/>
      <x:c r="I40" s="14" t="str">
        <x:v>Receipt</x:v>
      </x:c>
      <x:c r="J40" s="17" t="n">
        <x:v>0</x:v>
      </x:c>
      <x:c r="K40" s="17" t="n">
        <x:v>521281.39</x:v>
      </x:c>
      <x:c r="L40" s="17" t="n">
        <x:v>521281.39</x:v>
      </x:c>
      <x:c r="M40" s="17" t="n">
        <x:v>-8932164.19</x:v>
      </x:c>
      <x:c r="N40" s="14" t="str">
        <x:v>High Transaction; Recurring Transaction</x:v>
      </x:c>
      <x:c r="O40" s="14" t="str">
        <x:v>Yes</x:v>
      </x:c>
      <x:c r="P40" s="14" t="str">
        <x:v>EBANKWIB</x:v>
      </x:c>
      <x:c r="Q40" s="14" t="n">
        <x:v>0</x:v>
      </x:c>
      <x:c r="R40" s="14" t="n">
        <x:v>1</x:v>
      </x:c>
      <x:c r="S40" s="14" t="n">
        <x:v>0</x:v>
      </x:c>
      <x:c r="T40" s="14" t="n">
        <x:v>0</x:v>
      </x:c>
      <x:c r="U40" s="14" t="n">
        <x:v>1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46124</x:v>
      </x:c>
    </x:row>
    <x:row r="41">
      <x:c r="A41" s="14" t="n">
        <x:v>40</x:v>
      </x:c>
      <x:c r="B41" s="14" t="str">
        <x:v>273.pdf</x:v>
      </x:c>
      <x:c r="C41" s="15" t="n">
        <x:v>45181</x:v>
      </x:c>
      <x:c r="D41" s="15" t="n">
        <x:v>46146</x:v>
      </x:c>
      <x:c r="E41" s="15" t="n">
        <x:v>46125</x:v>
      </x:c>
      <x:c r="F41" s="15" t="n">
        <x:v>46125</x:v>
      </x:c>
      <x:c r="G41" s="16" t="str">
        <x:v>0000-MUMBAI/IN Dr INT260327DEAL6258765</x:v>
      </x:c>
      <x:c r="H41" s="14" t="str"/>
      <x:c r="I41" s="14" t="str">
        <x:v>Payment</x:v>
      </x:c>
      <x:c r="J41" s="17" t="n">
        <x:v>305.5</x:v>
      </x:c>
      <x:c r="K41" s="17" t="n">
        <x:v>0</x:v>
      </x:c>
      <x:c r="L41" s="17" t="n">
        <x:v>305.5</x:v>
      </x:c>
      <x:c r="M41" s="17" t="n">
        <x:v>-8932469.69</x:v>
      </x:c>
      <x:c r="N41" s="14" t="str">
        <x:v>Recurring Transaction</x:v>
      </x:c>
      <x:c r="O41" s="14" t="str">
        <x:v>Yes</x:v>
      </x:c>
      <x:c r="P41" s="14" t="str">
        <x:v>IN DR INTDEAL</x:v>
      </x:c>
      <x:c r="Q41" s="14" t="n">
        <x:v>0</x:v>
      </x:c>
      <x:c r="R41" s="14" t="n">
        <x:v>1</x:v>
      </x:c>
      <x:c r="S41" s="14" t="n">
        <x:v>0</x:v>
      </x:c>
      <x:c r="T41" s="14" t="n">
        <x:v>0</x:v>
      </x:c>
      <x:c r="U41" s="14" t="n">
        <x:v>0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46125</x:v>
      </x:c>
    </x:row>
    <x:row r="42">
      <x:c r="A42" s="14" t="n">
        <x:v>41</x:v>
      </x:c>
      <x:c r="B42" s="14" t="str">
        <x:v>273.pdf</x:v>
      </x:c>
      <x:c r="C42" s="15" t="n">
        <x:v>45181</x:v>
      </x:c>
      <x:c r="D42" s="15" t="n">
        <x:v>46146</x:v>
      </x:c>
      <x:c r="E42" s="15" t="n">
        <x:v>46125</x:v>
      </x:c>
      <x:c r="F42" s="15" t="n">
        <x:v>46125</x:v>
      </x:c>
      <x:c r="G42" s="16" t="str">
        <x:v>VIRARW-THANE/B Dr https://cbdrpt101.bankofbaroda.co.in:22000/finbranch/arjspmorph/INFENG/tran_rpt.jsp?... 04-05-2026 BY CASH</x:v>
      </x:c>
      <x:c r="H42" s="14" t="str"/>
      <x:c r="I42" s="14" t="str">
        <x:v>Receipt</x:v>
      </x:c>
      <x:c r="J42" s="17" t="n">
        <x:v>0</x:v>
      </x:c>
      <x:c r="K42" s="17" t="n">
        <x:v>439000</x:v>
      </x:c>
      <x:c r="L42" s="17" t="n">
        <x:v>439000</x:v>
      </x:c>
      <x:c r="M42" s="17" t="n">
        <x:v>-8493469.69</x:v>
      </x:c>
      <x:c r="N42" s="14" t="str">
        <x:v>Cash; High Transaction</x:v>
      </x:c>
      <x:c r="O42" s="14" t="str">
        <x:v>No</x:v>
      </x:c>
      <x:c r="P42" s="14" t="str">
        <x:v>B DR HTTPS</x:v>
      </x:c>
      <x:c r="Q42" s="14" t="n">
        <x:v>1</x:v>
      </x:c>
      <x:c r="R42" s="14" t="n">
        <x:v>0</x:v>
      </x:c>
      <x:c r="S42" s="14" t="n">
        <x:v>0</x:v>
      </x:c>
      <x:c r="T42" s="14" t="n">
        <x:v>0</x:v>
      </x:c>
      <x:c r="U42" s="14" t="n">
        <x:v>1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46125</x:v>
      </x:c>
    </x:row>
    <x:row r="43">
      <x:c r="A43" s="14" t="n">
        <x:v>42</x:v>
      </x:c>
      <x:c r="B43" s="14" t="str">
        <x:v>273.pdf</x:v>
      </x:c>
      <x:c r="C43" s="15" t="n">
        <x:v>45181</x:v>
      </x:c>
      <x:c r="D43" s="15" t="n">
        <x:v>46146</x:v>
      </x:c>
      <x:c r="E43" s="15" t="n">
        <x:v>46125</x:v>
      </x:c>
      <x:c r="F43" s="15" t="n">
        <x:v>46125</x:v>
      </x:c>
      <x:c r="G43" s="16" t="str">
        <x:v>DIGITA-MUMBAI/ Dr INT260327DEAL6258765</x:v>
      </x:c>
      <x:c r="H43" s="14" t="str"/>
      <x:c r="I43" s="14" t="str">
        <x:v>Payment</x:v>
      </x:c>
      <x:c r="J43" s="17" t="n">
        <x:v>182.75</x:v>
      </x:c>
      <x:c r="K43" s="17" t="n">
        <x:v>0</x:v>
      </x:c>
      <x:c r="L43" s="17" t="n">
        <x:v>182.75</x:v>
      </x:c>
      <x:c r="M43" s="17" t="n">
        <x:v>-8493652.44</x:v>
      </x:c>
      <x:c r="N43" s="14" t="str">
        <x:v>Recurring Transaction</x:v>
      </x:c>
      <x:c r="O43" s="14" t="str">
        <x:v>Yes</x:v>
      </x:c>
      <x:c r="P43" s="14" t="str">
        <x:v>DR INTDEAL</x:v>
      </x:c>
      <x:c r="Q43" s="14" t="n">
        <x:v>0</x:v>
      </x:c>
      <x:c r="R43" s="14" t="n">
        <x:v>1</x:v>
      </x:c>
      <x:c r="S43" s="14" t="n">
        <x:v>0</x:v>
      </x:c>
      <x:c r="T43" s="14" t="n">
        <x:v>0</x:v>
      </x:c>
      <x:c r="U43" s="14" t="n">
        <x:v>0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46125</x:v>
      </x:c>
    </x:row>
    <x:row r="44">
      <x:c r="A44" s="14" t="n">
        <x:v>43</x:v>
      </x:c>
      <x:c r="B44" s="14" t="str">
        <x:v>273.pdf</x:v>
      </x:c>
      <x:c r="C44" s="15" t="n">
        <x:v>45181</x:v>
      </x:c>
      <x:c r="D44" s="15" t="n">
        <x:v>46146</x:v>
      </x:c>
      <x:c r="E44" s="15" t="n">
        <x:v>46125</x:v>
      </x:c>
      <x:c r="F44" s="15" t="n">
        <x:v>46125</x:v>
      </x:c>
      <x:c r="G44" s="16" t="str">
        <x:v>EBANK:WIB/1503 Dr EBANK:WIB/1503777187/Edfs</x:v>
      </x:c>
      <x:c r="H44" s="14" t="str"/>
      <x:c r="I44" s="14" t="str">
        <x:v>Receipt</x:v>
      </x:c>
      <x:c r="J44" s="17" t="n">
        <x:v>0</x:v>
      </x:c>
      <x:c r="K44" s="17" t="n">
        <x:v>610444.28</x:v>
      </x:c>
      <x:c r="L44" s="17" t="n">
        <x:v>610444.28</x:v>
      </x:c>
      <x:c r="M44" s="17" t="n">
        <x:v>-7883208.16</x:v>
      </x:c>
      <x:c r="N44" s="14" t="str">
        <x:v>High Transaction; Recurring Transaction</x:v>
      </x:c>
      <x:c r="O44" s="14" t="str">
        <x:v>Yes</x:v>
      </x:c>
      <x:c r="P44" s="14" t="str">
        <x:v>EBANKWIB</x:v>
      </x:c>
      <x:c r="Q44" s="14" t="n">
        <x:v>0</x:v>
      </x:c>
      <x:c r="R44" s="14" t="n">
        <x:v>1</x:v>
      </x:c>
      <x:c r="S44" s="14" t="n">
        <x:v>0</x:v>
      </x:c>
      <x:c r="T44" s="14" t="n">
        <x:v>0</x:v>
      </x:c>
      <x:c r="U44" s="14" t="n">
        <x:v>1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46125</x:v>
      </x:c>
    </x:row>
    <x:row r="45">
      <x:c r="A45" s="14" t="n">
        <x:v>44</x:v>
      </x:c>
      <x:c r="B45" s="14" t="str">
        <x:v>273.pdf</x:v>
      </x:c>
      <x:c r="C45" s="15" t="n">
        <x:v>45181</x:v>
      </x:c>
      <x:c r="D45" s="15" t="n">
        <x:v>46146</x:v>
      </x:c>
      <x:c r="E45" s="15" t="n">
        <x:v>46125</x:v>
      </x:c>
      <x:c r="F45" s="15" t="n">
        <x:v>46125</x:v>
      </x:c>
      <x:c r="G45" s="16" t="str">
        <x:v>DIGITA-MUMBAI/ Dr INT260327DEAL6258950</x:v>
      </x:c>
      <x:c r="H45" s="14" t="str"/>
      <x:c r="I45" s="14" t="str">
        <x:v>Payment</x:v>
      </x:c>
      <x:c r="J45" s="17" t="n">
        <x:v>46.82</x:v>
      </x:c>
      <x:c r="K45" s="17" t="n">
        <x:v>0</x:v>
      </x:c>
      <x:c r="L45" s="17" t="n">
        <x:v>46.82</x:v>
      </x:c>
      <x:c r="M45" s="17" t="n">
        <x:v>-7883254.98</x:v>
      </x:c>
      <x:c r="N45" s="14" t="str">
        <x:v>Recurring Transaction</x:v>
      </x:c>
      <x:c r="O45" s="14" t="str">
        <x:v>Yes</x:v>
      </x:c>
      <x:c r="P45" s="14" t="str">
        <x:v>DR INTDEAL</x:v>
      </x:c>
      <x:c r="Q45" s="14" t="n">
        <x:v>0</x:v>
      </x:c>
      <x:c r="R45" s="14" t="n">
        <x:v>1</x:v>
      </x:c>
      <x:c r="S45" s="14" t="n">
        <x:v>0</x:v>
      </x:c>
      <x:c r="T45" s="14" t="n">
        <x:v>0</x:v>
      </x:c>
      <x:c r="U45" s="14" t="n">
        <x:v>0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46125</x:v>
      </x:c>
    </x:row>
    <x:row r="46">
      <x:c r="A46" s="14" t="n">
        <x:v>45</x:v>
      </x:c>
      <x:c r="B46" s="14" t="str">
        <x:v>273.pdf</x:v>
      </x:c>
      <x:c r="C46" s="15" t="n">
        <x:v>45181</x:v>
      </x:c>
      <x:c r="D46" s="15" t="n">
        <x:v>46146</x:v>
      </x:c>
      <x:c r="E46" s="15" t="n">
        <x:v>46125</x:v>
      </x:c>
      <x:c r="F46" s="15" t="n">
        <x:v>46125</x:v>
      </x:c>
      <x:c r="G46" s="16" t="str">
        <x:v>BY CASH Dr BY CASH</x:v>
      </x:c>
      <x:c r="H46" s="14" t="str"/>
      <x:c r="I46" s="14" t="str">
        <x:v>Receipt</x:v>
      </x:c>
      <x:c r="J46" s="17" t="n">
        <x:v>0</x:v>
      </x:c>
      <x:c r="K46" s="17" t="n">
        <x:v>78500</x:v>
      </x:c>
      <x:c r="L46" s="17" t="n">
        <x:v>78500</x:v>
      </x:c>
      <x:c r="M46" s="17" t="n">
        <x:v>-7804754.98</x:v>
      </x:c>
      <x:c r="N46" s="14" t="str">
        <x:v>Cash; Recurring Transaction</x:v>
      </x:c>
      <x:c r="O46" s="14" t="str">
        <x:v>Yes</x:v>
      </x:c>
      <x:c r="P46" s="14" t="str">
        <x:v>BY CASH DR BY CASH</x:v>
      </x:c>
      <x:c r="Q46" s="14" t="n">
        <x:v>1</x:v>
      </x:c>
      <x:c r="R46" s="14" t="n">
        <x:v>1</x:v>
      </x:c>
      <x:c r="S46" s="14" t="n">
        <x:v>0</x:v>
      </x:c>
      <x:c r="T46" s="14" t="n">
        <x:v>0</x:v>
      </x:c>
      <x:c r="U46" s="14" t="n">
        <x:v>0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46125</x:v>
      </x:c>
    </x:row>
    <x:row r="47">
      <x:c r="A47" s="14" t="n">
        <x:v>46</x:v>
      </x:c>
      <x:c r="B47" s="14" t="str">
        <x:v>273.pdf</x:v>
      </x:c>
      <x:c r="C47" s="15" t="n">
        <x:v>45181</x:v>
      </x:c>
      <x:c r="D47" s="15" t="n">
        <x:v>46146</x:v>
      </x:c>
      <x:c r="E47" s="15" t="n">
        <x:v>46125</x:v>
      </x:c>
      <x:c r="F47" s="15" t="n">
        <x:v>46125</x:v>
      </x:c>
      <x:c r="G47" s="16" t="str">
        <x:v>EBANK:WIB/1503 Dr ---------------------------------------------------------------------------------------------------------------------------------- Page Total: 18,31,620.08 27,64,671.60 76,96,761.20Dr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</x:v>
      </x:c>
      <x:c r="H47" s="14" t="str"/>
      <x:c r="I47" s="14" t="str">
        <x:v>Receipt</x:v>
      </x:c>
      <x:c r="J47" s="17" t="n">
        <x:v>0</x:v>
      </x:c>
      <x:c r="K47" s="17" t="n">
        <x:v>107993.78</x:v>
      </x:c>
      <x:c r="L47" s="17" t="n">
        <x:v>107993.78</x:v>
      </x:c>
      <x:c r="M47" s="17" t="n">
        <x:v>-7696761.2</x:v>
      </x:c>
      <x:c r="N47" s="14" t="str">
        <x:v>High Transaction; Recurring Transaction</x:v>
      </x:c>
      <x:c r="O47" s="14" t="str">
        <x:v>Yes</x:v>
      </x:c>
      <x:c r="P47" s="14" t="str">
        <x:v>EBANKWIB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1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46125</x:v>
      </x:c>
    </x:row>
    <x:row r="48">
      <x:c r="A48" s="14" t="n">
        <x:v>47</x:v>
      </x:c>
      <x:c r="B48" s="14" t="str">
        <x:v>273.pdf</x:v>
      </x:c>
      <x:c r="C48" s="15" t="n">
        <x:v>45181</x:v>
      </x:c>
      <x:c r="D48" s="15" t="n">
        <x:v>46146</x:v>
      </x:c>
      <x:c r="E48" s="15" t="n">
        <x:v>46125</x:v>
      </x:c>
      <x:c r="F48" s="15" t="n">
        <x:v>46125</x:v>
      </x:c>
      <x:c r="G48" s="16" t="str">
        <x:v>RTGS-BARBR5202 Dr RTGS-BARBR52026041300983458-HINDUSTAN PETROLEUM CO</x:v>
      </x:c>
      <x:c r="H48" s="14" t="str"/>
      <x:c r="I48" s="14" t="str">
        <x:v>Payment</x:v>
      </x:c>
      <x:c r="J48" s="17" t="n">
        <x:v>1962976.51</x:v>
      </x:c>
      <x:c r="K48" s="17" t="n">
        <x:v>0</x:v>
      </x:c>
      <x:c r="L48" s="17" t="n">
        <x:v>1962976.51</x:v>
      </x:c>
      <x:c r="M48" s="17" t="n">
        <x:v>-9659737.71</x:v>
      </x:c>
      <x:c r="N48" s="14" t="str">
        <x:v>High Transaction; Recurring Transaction</x:v>
      </x:c>
      <x:c r="O48" s="14" t="str">
        <x:v>Yes</x:v>
      </x:c>
      <x:c r="P48" s="14" t="str">
        <x:v>BARBR DR RTGS</x:v>
      </x:c>
      <x:c r="Q48" s="14" t="n">
        <x:v>0</x:v>
      </x:c>
      <x:c r="R48" s="14" t="n">
        <x:v>1</x:v>
      </x:c>
      <x:c r="S48" s="14" t="n">
        <x:v>0</x:v>
      </x:c>
      <x:c r="T48" s="14" t="n">
        <x:v>0</x:v>
      </x:c>
      <x:c r="U48" s="14" t="n">
        <x:v>1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46125</x:v>
      </x:c>
    </x:row>
    <x:row r="49">
      <x:c r="A49" s="14" t="n">
        <x:v>48</x:v>
      </x:c>
      <x:c r="B49" s="14" t="str">
        <x:v>273.pdf</x:v>
      </x:c>
      <x:c r="C49" s="15" t="n">
        <x:v>45181</x:v>
      </x:c>
      <x:c r="D49" s="15" t="n">
        <x:v>46146</x:v>
      </x:c>
      <x:c r="E49" s="15" t="n">
        <x:v>46126</x:v>
      </x:c>
      <x:c r="F49" s="15" t="n">
        <x:v>46126</x:v>
      </x:c>
      <x:c r="G49" s="16" t="str">
        <x:v>0000-MUMBAI/IN Dr INT260330DEAL6270027</x:v>
      </x:c>
      <x:c r="H49" s="14" t="str"/>
      <x:c r="I49" s="14" t="str">
        <x:v>Payment</x:v>
      </x:c>
      <x:c r="J49" s="17" t="n">
        <x:v>7127.18</x:v>
      </x:c>
      <x:c r="K49" s="17" t="n">
        <x:v>0</x:v>
      </x:c>
      <x:c r="L49" s="17" t="n">
        <x:v>7127.18</x:v>
      </x:c>
      <x:c r="M49" s="17" t="n">
        <x:v>-9666864.89</x:v>
      </x:c>
      <x:c r="N49" s="14" t="str">
        <x:v>Recurring Transaction</x:v>
      </x:c>
      <x:c r="O49" s="14" t="str">
        <x:v>Yes</x:v>
      </x:c>
      <x:c r="P49" s="14" t="str">
        <x:v>IN DR INTDEAL</x:v>
      </x:c>
      <x:c r="Q49" s="14" t="n">
        <x:v>0</x:v>
      </x:c>
      <x:c r="R49" s="14" t="n">
        <x:v>1</x:v>
      </x:c>
      <x:c r="S49" s="14" t="n">
        <x:v>0</x:v>
      </x:c>
      <x:c r="T49" s="14" t="n">
        <x:v>0</x:v>
      </x:c>
      <x:c r="U49" s="14" t="n">
        <x:v>0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46126</x:v>
      </x:c>
    </x:row>
    <x:row r="50">
      <x:c r="A50" s="14" t="n">
        <x:v>49</x:v>
      </x:c>
      <x:c r="B50" s="14" t="str">
        <x:v>273.pdf</x:v>
      </x:c>
      <x:c r="C50" s="15" t="n">
        <x:v>45181</x:v>
      </x:c>
      <x:c r="D50" s="15" t="n">
        <x:v>46146</x:v>
      </x:c>
      <x:c r="E50" s="15" t="n">
        <x:v>46126</x:v>
      </x:c>
      <x:c r="F50" s="15" t="n">
        <x:v>46126</x:v>
      </x:c>
      <x:c r="G50" s="16" t="str">
        <x:v>EBANK:WIB/1503 Dr EBANK:WIB/1503879023/Edfs</x:v>
      </x:c>
      <x:c r="H50" s="14" t="str"/>
      <x:c r="I50" s="14" t="str">
        <x:v>Receipt</x:v>
      </x:c>
      <x:c r="J50" s="17" t="n">
        <x:v>0</x:v>
      </x:c>
      <x:c r="K50" s="17" t="n">
        <x:v>421121.65</x:v>
      </x:c>
      <x:c r="L50" s="17" t="n">
        <x:v>421121.65</x:v>
      </x:c>
      <x:c r="M50" s="17" t="n">
        <x:v>-9245743.24</x:v>
      </x:c>
      <x:c r="N50" s="14" t="str">
        <x:v>High Transaction; Recurring Transaction</x:v>
      </x:c>
      <x:c r="O50" s="14" t="str">
        <x:v>Yes</x:v>
      </x:c>
      <x:c r="P50" s="14" t="str">
        <x:v>EBANKWIB</x:v>
      </x:c>
      <x:c r="Q50" s="14" t="n">
        <x:v>0</x:v>
      </x:c>
      <x:c r="R50" s="14" t="n">
        <x:v>1</x:v>
      </x:c>
      <x:c r="S50" s="14" t="n">
        <x:v>0</x:v>
      </x:c>
      <x:c r="T50" s="14" t="n">
        <x:v>0</x:v>
      </x:c>
      <x:c r="U50" s="14" t="n">
        <x:v>1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46126</x:v>
      </x:c>
    </x:row>
    <x:row r="51">
      <x:c r="A51" s="14" t="n">
        <x:v>50</x:v>
      </x:c>
      <x:c r="B51" s="14" t="str">
        <x:v>273.pdf</x:v>
      </x:c>
      <x:c r="C51" s="15" t="n">
        <x:v>45181</x:v>
      </x:c>
      <x:c r="D51" s="15" t="n">
        <x:v>46146</x:v>
      </x:c>
      <x:c r="E51" s="15" t="n">
        <x:v>46126</x:v>
      </x:c>
      <x:c r="F51" s="15" t="n">
        <x:v>46126</x:v>
      </x:c>
      <x:c r="G51" s="16" t="str">
        <x:v>EBANK:WIB/1504 Dr EBANK:WIB/1504010401/Edfs</x:v>
      </x:c>
      <x:c r="H51" s="14" t="str"/>
      <x:c r="I51" s="14" t="str">
        <x:v>Receipt</x:v>
      </x:c>
      <x:c r="J51" s="17" t="n">
        <x:v>0</x:v>
      </x:c>
      <x:c r="K51" s="17" t="n">
        <x:v>240000</x:v>
      </x:c>
      <x:c r="L51" s="17" t="n">
        <x:v>240000</x:v>
      </x:c>
      <x:c r="M51" s="17" t="n">
        <x:v>-9005743.24</x:v>
      </x:c>
      <x:c r="N51" s="14" t="str">
        <x:v>High Transaction; Recurring Transaction</x:v>
      </x:c>
      <x:c r="O51" s="14" t="str">
        <x:v>Yes</x:v>
      </x:c>
      <x:c r="P51" s="14" t="str">
        <x:v>EBANKWIB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1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46126</x:v>
      </x:c>
    </x:row>
    <x:row r="52">
      <x:c r="A52" s="14" t="n">
        <x:v>51</x:v>
      </x:c>
      <x:c r="B52" s="14" t="str">
        <x:v>273.pdf</x:v>
      </x:c>
      <x:c r="C52" s="15" t="n">
        <x:v>45181</x:v>
      </x:c>
      <x:c r="D52" s="15" t="n">
        <x:v>46146</x:v>
      </x:c>
      <x:c r="E52" s="15" t="n">
        <x:v>46127</x:v>
      </x:c>
      <x:c r="F52" s="15" t="n">
        <x:v>46127</x:v>
      </x:c>
      <x:c r="G52" s="16" t="str">
        <x:v>0000-MUMBAI/IN Dr INT260331DEAL6279575</x:v>
      </x:c>
      <x:c r="H52" s="14" t="str"/>
      <x:c r="I52" s="14" t="str">
        <x:v>Payment</x:v>
      </x:c>
      <x:c r="J52" s="17" t="n">
        <x:v>1795.79</x:v>
      </x:c>
      <x:c r="K52" s="17" t="n">
        <x:v>0</x:v>
      </x:c>
      <x:c r="L52" s="17" t="n">
        <x:v>1795.79</x:v>
      </x:c>
      <x:c r="M52" s="17" t="n">
        <x:v>-9007539.03</x:v>
      </x:c>
      <x:c r="N52" s="14" t="str">
        <x:v>Recurring Transaction</x:v>
      </x:c>
      <x:c r="O52" s="14" t="str">
        <x:v>Yes</x:v>
      </x:c>
      <x:c r="P52" s="14" t="str">
        <x:v>IN DR INTDEAL</x:v>
      </x:c>
      <x:c r="Q52" s="14" t="n">
        <x:v>0</x:v>
      </x:c>
      <x:c r="R52" s="14" t="n">
        <x:v>1</x:v>
      </x:c>
      <x:c r="S52" s="14" t="n">
        <x:v>0</x:v>
      </x:c>
      <x:c r="T52" s="14" t="n">
        <x:v>0</x:v>
      </x:c>
      <x:c r="U52" s="14" t="n">
        <x:v>0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46127</x:v>
      </x:c>
    </x:row>
    <x:row r="53">
      <x:c r="A53" s="14" t="n">
        <x:v>52</x:v>
      </x:c>
      <x:c r="B53" s="14" t="str">
        <x:v>273.pdf</x:v>
      </x:c>
      <x:c r="C53" s="15" t="n">
        <x:v>45181</x:v>
      </x:c>
      <x:c r="D53" s="15" t="n">
        <x:v>46146</x:v>
      </x:c>
      <x:c r="E53" s="15" t="n">
        <x:v>46127</x:v>
      </x:c>
      <x:c r="F53" s="15" t="n">
        <x:v>46127</x:v>
      </x:c>
      <x:c r="G53" s="16" t="str">
        <x:v>EBANK:WIB/1504 Dr EBANK:WIB/1504019959/Edfs</x:v>
      </x:c>
      <x:c r="H53" s="14" t="str"/>
      <x:c r="I53" s="14" t="str">
        <x:v>Receipt</x:v>
      </x:c>
      <x:c r="J53" s="17" t="n">
        <x:v>0</x:v>
      </x:c>
      <x:c r="K53" s="17" t="n">
        <x:v>401141.57</x:v>
      </x:c>
      <x:c r="L53" s="17" t="n">
        <x:v>401141.57</x:v>
      </x:c>
      <x:c r="M53" s="17" t="n">
        <x:v>-8606397.46</x:v>
      </x:c>
      <x:c r="N53" s="14" t="str">
        <x:v>High Transaction; Recurring Transaction</x:v>
      </x:c>
      <x:c r="O53" s="14" t="str">
        <x:v>Yes</x:v>
      </x:c>
      <x:c r="P53" s="14" t="str">
        <x:v>EBANKWIB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46127</x:v>
      </x:c>
    </x:row>
    <x:row r="54">
      <x:c r="A54" s="14" t="n">
        <x:v>53</x:v>
      </x:c>
      <x:c r="B54" s="14" t="str">
        <x:v>273.pdf</x:v>
      </x:c>
      <x:c r="C54" s="15" t="n">
        <x:v>45181</x:v>
      </x:c>
      <x:c r="D54" s="15" t="n">
        <x:v>46146</x:v>
      </x:c>
      <x:c r="E54" s="15" t="n">
        <x:v>46127</x:v>
      </x:c>
      <x:c r="F54" s="15" t="n">
        <x:v>46127</x:v>
      </x:c>
      <x:c r="G54" s="16" t="str">
        <x:v>BANTWA-BANTWAL Dr INT260330DEAL6270027</x:v>
      </x:c>
      <x:c r="H54" s="14" t="str"/>
      <x:c r="I54" s="14" t="str">
        <x:v>Payment</x:v>
      </x:c>
      <x:c r="J54" s="17" t="n">
        <x:v>241.53</x:v>
      </x:c>
      <x:c r="K54" s="17" t="n">
        <x:v>0</x:v>
      </x:c>
      <x:c r="L54" s="17" t="n">
        <x:v>241.53</x:v>
      </x:c>
      <x:c r="M54" s="17" t="n">
        <x:v>-8606638.99</x:v>
      </x:c>
      <x:c r="N54" s="14" t="str">
        <x:v>Other</x:v>
      </x:c>
      <x:c r="O54" s="14" t="str">
        <x:v>No</x:v>
      </x:c>
      <x:c r="P54" s="14" t="str">
        <x:v>BANTWAL DR INTDEAL</x:v>
      </x:c>
      <x:c r="Q54" s="14" t="n">
        <x:v>0</x:v>
      </x:c>
      <x:c r="R54" s="14" t="n">
        <x:v>0</x:v>
      </x:c>
      <x:c r="S54" s="14" t="n">
        <x:v>0</x:v>
      </x:c>
      <x:c r="T54" s="14" t="n">
        <x:v>0</x:v>
      </x:c>
      <x:c r="U54" s="14" t="n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46127</x:v>
      </x:c>
    </x:row>
    <x:row r="55">
      <x:c r="A55" s="14" t="n">
        <x:v>54</x:v>
      </x:c>
      <x:c r="B55" s="14" t="str">
        <x:v>273.pdf</x:v>
      </x:c>
      <x:c r="C55" s="15" t="n">
        <x:v>45181</x:v>
      </x:c>
      <x:c r="D55" s="15" t="n">
        <x:v>46146</x:v>
      </x:c>
      <x:c r="E55" s="15" t="n">
        <x:v>46127</x:v>
      </x:c>
      <x:c r="F55" s="15" t="n">
        <x:v>46127</x:v>
      </x:c>
      <x:c r="G55" s="16" t="str">
        <x:v>EBANK:WIB/1504 Dr EBANK:WIB/1504096201/Edfs</x:v>
      </x:c>
      <x:c r="H55" s="14" t="str"/>
      <x:c r="I55" s="14" t="str">
        <x:v>Receipt</x:v>
      </x:c>
      <x:c r="J55" s="17" t="n">
        <x:v>0</x:v>
      </x:c>
      <x:c r="K55" s="17" t="n">
        <x:v>125424</x:v>
      </x:c>
      <x:c r="L55" s="17" t="n">
        <x:v>125424</x:v>
      </x:c>
      <x:c r="M55" s="17" t="n">
        <x:v>-8481214.99</x:v>
      </x:c>
      <x:c r="N55" s="14" t="str">
        <x:v>High Transaction; Recurring Transaction</x:v>
      </x:c>
      <x:c r="O55" s="14" t="str">
        <x:v>Yes</x:v>
      </x:c>
      <x:c r="P55" s="14" t="str">
        <x:v>EBANKWIB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1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46127</x:v>
      </x:c>
    </x:row>
    <x:row r="56">
      <x:c r="A56" s="14" t="n">
        <x:v>55</x:v>
      </x:c>
      <x:c r="B56" s="14" t="str">
        <x:v>273.pdf</x:v>
      </x:c>
      <x:c r="C56" s="15" t="n">
        <x:v>45181</x:v>
      </x:c>
      <x:c r="D56" s="15" t="n">
        <x:v>46146</x:v>
      </x:c>
      <x:c r="E56" s="15" t="n">
        <x:v>46127</x:v>
      </x:c>
      <x:c r="F56" s="15" t="n">
        <x:v>46127</x:v>
      </x:c>
      <x:c r="G56" s="16" t="str">
        <x:v>BY CASH Dr BY CASH</x:v>
      </x:c>
      <x:c r="H56" s="14" t="str"/>
      <x:c r="I56" s="14" t="str">
        <x:v>Receipt</x:v>
      </x:c>
      <x:c r="J56" s="17" t="n">
        <x:v>0</x:v>
      </x:c>
      <x:c r="K56" s="17" t="n">
        <x:v>371000</x:v>
      </x:c>
      <x:c r="L56" s="17" t="n">
        <x:v>371000</x:v>
      </x:c>
      <x:c r="M56" s="17" t="n">
        <x:v>-8110214.99</x:v>
      </x:c>
      <x:c r="N56" s="14" t="str">
        <x:v>Cash; High Transaction; Recurring Transaction</x:v>
      </x:c>
      <x:c r="O56" s="14" t="str">
        <x:v>Yes</x:v>
      </x:c>
      <x:c r="P56" s="14" t="str">
        <x:v>BY CASH DR BY CASH</x:v>
      </x:c>
      <x:c r="Q56" s="14" t="n">
        <x:v>1</x:v>
      </x:c>
      <x:c r="R56" s="14" t="n">
        <x:v>1</x:v>
      </x:c>
      <x:c r="S56" s="14" t="n">
        <x:v>0</x:v>
      </x:c>
      <x:c r="T56" s="14" t="n">
        <x:v>0</x:v>
      </x:c>
      <x:c r="U56" s="14" t="n">
        <x:v>1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46127</x:v>
      </x:c>
    </x:row>
    <x:row r="57">
      <x:c r="A57" s="14" t="n">
        <x:v>56</x:v>
      </x:c>
      <x:c r="B57" s="14" t="str">
        <x:v>273.pdf</x:v>
      </x:c>
      <x:c r="C57" s="15" t="n">
        <x:v>45181</x:v>
      </x:c>
      <x:c r="D57" s="15" t="n">
        <x:v>46146</x:v>
      </x:c>
      <x:c r="E57" s="15" t="n">
        <x:v>46127</x:v>
      </x:c>
      <x:c r="F57" s="15" t="n">
        <x:v>46127</x:v>
      </x:c>
      <x:c r="G57" s="16" t="str">
        <x:v>EBANK:WIB/1504 Dr EBANK:WIB/1504156827/Edfs</x:v>
      </x:c>
      <x:c r="H57" s="14" t="str"/>
      <x:c r="I57" s="14" t="str">
        <x:v>Receipt</x:v>
      </x:c>
      <x:c r="J57" s="17" t="n">
        <x:v>0</x:v>
      </x:c>
      <x:c r="K57" s="17" t="n">
        <x:v>13736</x:v>
      </x:c>
      <x:c r="L57" s="17" t="n">
        <x:v>13736</x:v>
      </x:c>
      <x:c r="M57" s="17" t="n">
        <x:v>-8096478.99</x:v>
      </x:c>
      <x:c r="N57" s="14" t="str">
        <x:v>Recurring Transaction</x:v>
      </x:c>
      <x:c r="O57" s="14" t="str">
        <x:v>Yes</x:v>
      </x:c>
      <x:c r="P57" s="14" t="str">
        <x:v>EBANKWIB</x:v>
      </x:c>
      <x:c r="Q57" s="14" t="n">
        <x:v>0</x:v>
      </x:c>
      <x:c r="R57" s="14" t="n">
        <x:v>1</x:v>
      </x:c>
      <x:c r="S57" s="14" t="n">
        <x:v>0</x:v>
      </x:c>
      <x:c r="T57" s="14" t="n">
        <x:v>0</x:v>
      </x:c>
      <x:c r="U57" s="14" t="n">
        <x:v>0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46127</x:v>
      </x:c>
    </x:row>
    <x:row r="58">
      <x:c r="A58" s="14" t="n">
        <x:v>57</x:v>
      </x:c>
      <x:c r="B58" s="14" t="str">
        <x:v>273.pdf</x:v>
      </x:c>
      <x:c r="C58" s="15" t="n">
        <x:v>45181</x:v>
      </x:c>
      <x:c r="D58" s="15" t="n">
        <x:v>46146</x:v>
      </x:c>
      <x:c r="E58" s="15" t="n">
        <x:v>46127</x:v>
      </x:c>
      <x:c r="F58" s="15" t="n">
        <x:v>46127</x:v>
      </x:c>
      <x:c r="G58" s="16" t="str">
        <x:v>RTGS-BARBR5202 Dr RTGS-BARBR52026041500840540-HINDUSTAN PETROLEUM CO</x:v>
      </x:c>
      <x:c r="H58" s="14" t="str"/>
      <x:c r="I58" s="14" t="str">
        <x:v>Payment</x:v>
      </x:c>
      <x:c r="J58" s="17" t="n">
        <x:v>1889785</x:v>
      </x:c>
      <x:c r="K58" s="17" t="n">
        <x:v>0</x:v>
      </x:c>
      <x:c r="L58" s="17" t="n">
        <x:v>1889785</x:v>
      </x:c>
      <x:c r="M58" s="17" t="n">
        <x:v>-9986263.99</x:v>
      </x:c>
      <x:c r="N58" s="14" t="str">
        <x:v>High Transaction; Recurring Transaction</x:v>
      </x:c>
      <x:c r="O58" s="14" t="str">
        <x:v>Yes</x:v>
      </x:c>
      <x:c r="P58" s="14" t="str">
        <x:v>BARBR DR RTGS</x:v>
      </x:c>
      <x:c r="Q58" s="14" t="n">
        <x:v>0</x:v>
      </x:c>
      <x:c r="R58" s="14" t="n">
        <x:v>1</x:v>
      </x:c>
      <x:c r="S58" s="14" t="n">
        <x:v>0</x:v>
      </x:c>
      <x:c r="T58" s="14" t="n">
        <x:v>0</x:v>
      </x:c>
      <x:c r="U58" s="14" t="n">
        <x:v>1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46127</x:v>
      </x:c>
    </x:row>
    <x:row r="59">
      <x:c r="A59" s="14" t="n">
        <x:v>58</x:v>
      </x:c>
      <x:c r="B59" s="14" t="str">
        <x:v>273.pdf</x:v>
      </x:c>
      <x:c r="C59" s="15" t="n">
        <x:v>45181</x:v>
      </x:c>
      <x:c r="D59" s="15" t="n">
        <x:v>46146</x:v>
      </x:c>
      <x:c r="E59" s="15" t="n">
        <x:v>46127</x:v>
      </x:c>
      <x:c r="F59" s="15" t="n">
        <x:v>46127</x:v>
      </x:c>
      <x:c r="G59" s="16" t="str">
        <x:v>EBANK:WIB/1504 Dr EBANK:WIB/1504160264/Edfs</x:v>
      </x:c>
      <x:c r="H59" s="14" t="str"/>
      <x:c r="I59" s="14" t="str">
        <x:v>Receipt</x:v>
      </x:c>
      <x:c r="J59" s="17" t="n">
        <x:v>0</x:v>
      </x:c>
      <x:c r="K59" s="17" t="n">
        <x:v>54252.8</x:v>
      </x:c>
      <x:c r="L59" s="17" t="n">
        <x:v>54252.8</x:v>
      </x:c>
      <x:c r="M59" s="17" t="n">
        <x:v>-9932011.19</x:v>
      </x:c>
      <x:c r="N59" s="14" t="str">
        <x:v>Recurring Transaction</x:v>
      </x:c>
      <x:c r="O59" s="14" t="str">
        <x:v>Yes</x:v>
      </x:c>
      <x:c r="P59" s="14" t="str">
        <x:v>EBANKWIB</x:v>
      </x:c>
      <x:c r="Q59" s="14" t="n">
        <x:v>0</x:v>
      </x:c>
      <x:c r="R59" s="14" t="n">
        <x:v>1</x:v>
      </x:c>
      <x:c r="S59" s="14" t="n">
        <x:v>0</x:v>
      </x:c>
      <x:c r="T59" s="14" t="n">
        <x:v>0</x:v>
      </x:c>
      <x:c r="U59" s="14" t="n">
        <x:v>0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46127</x:v>
      </x:c>
    </x:row>
    <x:row r="60">
      <x:c r="A60" s="14" t="n">
        <x:v>59</x:v>
      </x:c>
      <x:c r="B60" s="14" t="str">
        <x:v>273.pdf</x:v>
      </x:c>
      <x:c r="C60" s="15" t="n">
        <x:v>45181</x:v>
      </x:c>
      <x:c r="D60" s="15" t="n">
        <x:v>46146</x:v>
      </x:c>
      <x:c r="E60" s="15" t="n">
        <x:v>46127</x:v>
      </x:c>
      <x:c r="F60" s="15" t="n">
        <x:v>46127</x:v>
      </x:c>
      <x:c r="G60" s="16" t="str">
        <x:v>NEFT-BARBQ2610 Dr NEFT-BARBQ26105757267-HINDUSTAN PETROLEUM CORPORAT</x:v>
      </x:c>
      <x:c r="H60" s="14" t="str"/>
      <x:c r="I60" s="14" t="str">
        <x:v>Payment</x:v>
      </x:c>
      <x:c r="J60" s="17" t="n">
        <x:v>67988</x:v>
      </x:c>
      <x:c r="K60" s="17" t="n">
        <x:v>0</x:v>
      </x:c>
      <x:c r="L60" s="17" t="n">
        <x:v>67988</x:v>
      </x:c>
      <x:c r="M60" s="17" t="n">
        <x:v>-9999999.19</x:v>
      </x:c>
      <x:c r="N60" s="14" t="str">
        <x:v>Recurring Transaction</x:v>
      </x:c>
      <x:c r="O60" s="14" t="str">
        <x:v>Yes</x:v>
      </x:c>
      <x:c r="P60" s="14" t="str">
        <x:v>BARBQ DR NEFT</x:v>
      </x:c>
      <x:c r="Q60" s="14" t="n">
        <x:v>0</x:v>
      </x:c>
      <x:c r="R60" s="14" t="n">
        <x:v>1</x:v>
      </x:c>
      <x:c r="S60" s="14" t="n">
        <x:v>0</x:v>
      </x:c>
      <x:c r="T60" s="14" t="n">
        <x:v>0</x:v>
      </x:c>
      <x:c r="U60" s="14" t="n">
        <x:v>0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46127</x:v>
      </x:c>
    </x:row>
    <x:row r="61">
      <x:c r="A61" s="14" t="n">
        <x:v>60</x:v>
      </x:c>
      <x:c r="B61" s="14" t="str">
        <x:v>273.pdf</x:v>
      </x:c>
      <x:c r="C61" s="15" t="n">
        <x:v>45181</x:v>
      </x:c>
      <x:c r="D61" s="15" t="n">
        <x:v>46146</x:v>
      </x:c>
      <x:c r="E61" s="15" t="n">
        <x:v>46127</x:v>
      </x:c>
      <x:c r="F61" s="15" t="n">
        <x:v>46127</x:v>
      </x:c>
      <x:c r="G61" s="16" t="str">
        <x:v>EBANK:WIB/1504 Dr EBANK:WIB/1504165308/Edfs</x:v>
      </x:c>
      <x:c r="H61" s="14" t="str"/>
      <x:c r="I61" s="14" t="str">
        <x:v>Receipt</x:v>
      </x:c>
      <x:c r="J61" s="17" t="n">
        <x:v>0</x:v>
      </x:c>
      <x:c r="K61" s="17" t="n">
        <x:v>44496</x:v>
      </x:c>
      <x:c r="L61" s="17" t="n">
        <x:v>44496</x:v>
      </x:c>
      <x:c r="M61" s="17" t="n">
        <x:v>-9955503.19</x:v>
      </x:c>
      <x:c r="N61" s="14" t="str">
        <x:v>Recurring Transaction</x:v>
      </x:c>
      <x:c r="O61" s="14" t="str">
        <x:v>Yes</x:v>
      </x:c>
      <x:c r="P61" s="14" t="str">
        <x:v>EBANKWIB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0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46127</x:v>
      </x:c>
    </x:row>
    <x:row r="62">
      <x:c r="A62" s="14" t="n">
        <x:v>61</x:v>
      </x:c>
      <x:c r="B62" s="14" t="str">
        <x:v>273.pdf</x:v>
      </x:c>
      <x:c r="C62" s="15" t="n">
        <x:v>45181</x:v>
      </x:c>
      <x:c r="D62" s="15" t="n">
        <x:v>46146</x:v>
      </x:c>
      <x:c r="E62" s="15" t="n">
        <x:v>46128</x:v>
      </x:c>
      <x:c r="F62" s="15" t="n">
        <x:v>46128</x:v>
      </x:c>
      <x:c r="G62" s="16" t="str">
        <x:v>NEFT-BARBS2610 Dr NEFT-BARBS26106083004-HINDUSTAN PETROLEUM CORPORAT</x:v>
      </x:c>
      <x:c r="H62" s="14" t="str"/>
      <x:c r="I62" s="14" t="str">
        <x:v>Payment</x:v>
      </x:c>
      <x:c r="J62" s="17" t="n">
        <x:v>40692.24</x:v>
      </x:c>
      <x:c r="K62" s="17" t="n">
        <x:v>0</x:v>
      </x:c>
      <x:c r="L62" s="17" t="n">
        <x:v>40692.24</x:v>
      </x:c>
      <x:c r="M62" s="17" t="n">
        <x:v>-9996195.43</x:v>
      </x:c>
      <x:c r="N62" s="14" t="str">
        <x:v>Other</x:v>
      </x:c>
      <x:c r="O62" s="14" t="str">
        <x:v>No</x:v>
      </x:c>
      <x:c r="P62" s="14" t="str">
        <x:v>BARBS DR NEFT</x:v>
      </x:c>
      <x:c r="Q62" s="14" t="n">
        <x:v>0</x:v>
      </x:c>
      <x:c r="R62" s="14" t="n">
        <x:v>0</x:v>
      </x:c>
      <x:c r="S62" s="14" t="n">
        <x:v>0</x:v>
      </x:c>
      <x:c r="T62" s="14" t="n">
        <x:v>0</x:v>
      </x:c>
      <x:c r="U62" s="14" t="n">
        <x:v>0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46128</x:v>
      </x:c>
    </x:row>
    <x:row r="63">
      <x:c r="A63" s="14" t="n">
        <x:v>62</x:v>
      </x:c>
      <x:c r="B63" s="14" t="str">
        <x:v>273.pdf</x:v>
      </x:c>
      <x:c r="C63" s="15" t="n">
        <x:v>45181</x:v>
      </x:c>
      <x:c r="D63" s="15" t="n">
        <x:v>46146</x:v>
      </x:c>
      <x:c r="E63" s="15" t="n">
        <x:v>46128</x:v>
      </x:c>
      <x:c r="F63" s="15" t="n">
        <x:v>46128</x:v>
      </x:c>
      <x:c r="G63" s="16" t="str">
        <x:v>EBANK:WIB/1504 Dr ---------------------------------------------------------------------------------------------------------------------------------- Page Total: 39,70,606.25 25,69,345.80 90,98,021.65Dr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</x:v>
      </x:c>
      <x:c r="H63" s="14" t="str"/>
      <x:c r="I63" s="14" t="str">
        <x:v>Receipt</x:v>
      </x:c>
      <x:c r="J63" s="17" t="n">
        <x:v>0</x:v>
      </x:c>
      <x:c r="K63" s="17" t="n">
        <x:v>898173.78</x:v>
      </x:c>
      <x:c r="L63" s="17" t="n">
        <x:v>898173.78</x:v>
      </x:c>
      <x:c r="M63" s="17" t="n">
        <x:v>-9098021.65</x:v>
      </x:c>
      <x:c r="N63" s="14" t="str">
        <x:v>High Transaction; Recurring Transaction</x:v>
      </x:c>
      <x:c r="O63" s="14" t="str">
        <x:v>Yes</x:v>
      </x:c>
      <x:c r="P63" s="14" t="str">
        <x:v>EBANKWIB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1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46128</x:v>
      </x:c>
    </x:row>
    <x:row r="64">
      <x:c r="A64" s="14" t="n">
        <x:v>63</x:v>
      </x:c>
      <x:c r="B64" s="14" t="str">
        <x:v>273.pdf</x:v>
      </x:c>
      <x:c r="C64" s="15" t="n">
        <x:v>45181</x:v>
      </x:c>
      <x:c r="D64" s="15" t="n">
        <x:v>46146</x:v>
      </x:c>
      <x:c r="E64" s="15" t="n">
        <x:v>46128</x:v>
      </x:c>
      <x:c r="F64" s="15" t="n">
        <x:v>46128</x:v>
      </x:c>
      <x:c r="G64" s="16" t="str">
        <x:v>BY CASH Dr BY CASH</x:v>
      </x:c>
      <x:c r="H64" s="14" t="str"/>
      <x:c r="I64" s="14" t="str">
        <x:v>Receipt</x:v>
      </x:c>
      <x:c r="J64" s="17" t="n">
        <x:v>0</x:v>
      </x:c>
      <x:c r="K64" s="17" t="n">
        <x:v>166000</x:v>
      </x:c>
      <x:c r="L64" s="17" t="n">
        <x:v>166000</x:v>
      </x:c>
      <x:c r="M64" s="17" t="n">
        <x:v>-8932021.65</x:v>
      </x:c>
      <x:c r="N64" s="14" t="str">
        <x:v>Cash; High Transaction; Recurring Transaction</x:v>
      </x:c>
      <x:c r="O64" s="14" t="str">
        <x:v>Yes</x:v>
      </x:c>
      <x:c r="P64" s="14" t="str">
        <x:v>BY CASH DR BY CASH</x:v>
      </x:c>
      <x:c r="Q64" s="14" t="n">
        <x:v>1</x:v>
      </x:c>
      <x:c r="R64" s="14" t="n">
        <x:v>1</x:v>
      </x:c>
      <x:c r="S64" s="14" t="n">
        <x:v>0</x:v>
      </x:c>
      <x:c r="T64" s="14" t="n">
        <x:v>0</x:v>
      </x:c>
      <x:c r="U64" s="14" t="n">
        <x:v>1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46128</x:v>
      </x:c>
    </x:row>
    <x:row r="65">
      <x:c r="A65" s="14" t="n">
        <x:v>64</x:v>
      </x:c>
      <x:c r="B65" s="14" t="str">
        <x:v>273.pdf</x:v>
      </x:c>
      <x:c r="C65" s="15" t="n">
        <x:v>45181</x:v>
      </x:c>
      <x:c r="D65" s="15" t="n">
        <x:v>46146</x:v>
      </x:c>
      <x:c r="E65" s="15" t="n">
        <x:v>46128</x:v>
      </x:c>
      <x:c r="F65" s="15" t="n">
        <x:v>46128</x:v>
      </x:c>
      <x:c r="G65" s="16" t="str">
        <x:v>DIGITA-MUMBAI/ Dr INT260330DEAL6270027</x:v>
      </x:c>
      <x:c r="H65" s="14" t="str"/>
      <x:c r="I65" s="14" t="str">
        <x:v>Payment</x:v>
      </x:c>
      <x:c r="J65" s="17" t="n">
        <x:v>3.6</x:v>
      </x:c>
      <x:c r="K65" s="17" t="n">
        <x:v>0</x:v>
      </x:c>
      <x:c r="L65" s="17" t="n">
        <x:v>3.6</x:v>
      </x:c>
      <x:c r="M65" s="17" t="n">
        <x:v>-8932025.25</x:v>
      </x:c>
      <x:c r="N65" s="14" t="str">
        <x:v>Recurring Transaction</x:v>
      </x:c>
      <x:c r="O65" s="14" t="str">
        <x:v>Yes</x:v>
      </x:c>
      <x:c r="P65" s="14" t="str">
        <x:v>DR INTDEAL</x:v>
      </x:c>
      <x:c r="Q65" s="14" t="n">
        <x:v>0</x:v>
      </x:c>
      <x:c r="R65" s="14" t="n">
        <x:v>1</x:v>
      </x:c>
      <x:c r="S65" s="14" t="n">
        <x:v>0</x:v>
      </x:c>
      <x:c r="T65" s="14" t="n">
        <x:v>0</x:v>
      </x:c>
      <x:c r="U65" s="14" t="n">
        <x:v>0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46128</x:v>
      </x:c>
    </x:row>
    <x:row r="66">
      <x:c r="A66" s="14" t="n">
        <x:v>65</x:v>
      </x:c>
      <x:c r="B66" s="14" t="str">
        <x:v>273.pdf</x:v>
      </x:c>
      <x:c r="C66" s="15" t="n">
        <x:v>45181</x:v>
      </x:c>
      <x:c r="D66" s="15" t="n">
        <x:v>46146</x:v>
      </x:c>
      <x:c r="E66" s="15" t="n">
        <x:v>46128</x:v>
      </x:c>
      <x:c r="F66" s="15" t="n">
        <x:v>46128</x:v>
      </x:c>
      <x:c r="G66" s="16" t="str">
        <x:v>VJSOLU-SOLUR/I Dr INT260331DEAL6279575</x:v>
      </x:c>
      <x:c r="H66" s="14" t="str"/>
      <x:c r="I66" s="14" t="str">
        <x:v>Payment</x:v>
      </x:c>
      <x:c r="J66" s="17" t="n">
        <x:v>120.12</x:v>
      </x:c>
      <x:c r="K66" s="17" t="n">
        <x:v>0</x:v>
      </x:c>
      <x:c r="L66" s="17" t="n">
        <x:v>120.12</x:v>
      </x:c>
      <x:c r="M66" s="17" t="n">
        <x:v>-8932145.37</x:v>
      </x:c>
      <x:c r="N66" s="14" t="str">
        <x:v>Other</x:v>
      </x:c>
      <x:c r="O66" s="14" t="str">
        <x:v>No</x:v>
      </x:c>
      <x:c r="P66" s="14" t="str">
        <x:v>I DR INTDEAL</x:v>
      </x:c>
      <x:c r="Q66" s="14" t="n">
        <x:v>0</x:v>
      </x:c>
      <x:c r="R66" s="14" t="n">
        <x:v>0</x:v>
      </x:c>
      <x:c r="S66" s="14" t="n">
        <x:v>0</x:v>
      </x:c>
      <x:c r="T66" s="14" t="n">
        <x:v>0</x:v>
      </x:c>
      <x:c r="U66" s="14" t="n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46128</x:v>
      </x:c>
    </x:row>
    <x:row r="67">
      <x:c r="A67" s="14" t="n">
        <x:v>66</x:v>
      </x:c>
      <x:c r="B67" s="14" t="str">
        <x:v>273.pdf</x:v>
      </x:c>
      <x:c r="C67" s="15" t="n">
        <x:v>45181</x:v>
      </x:c>
      <x:c r="D67" s="15" t="n">
        <x:v>46146</x:v>
      </x:c>
      <x:c r="E67" s="15" t="n">
        <x:v>46129</x:v>
      </x:c>
      <x:c r="F67" s="15" t="n">
        <x:v>46129</x:v>
      </x:c>
      <x:c r="G67" s="16" t="str">
        <x:v>EBANK:WIB/1504 Dr EBANK:WIB/1504347697/Edfs</x:v>
      </x:c>
      <x:c r="H67" s="14" t="str"/>
      <x:c r="I67" s="14" t="str">
        <x:v>Receipt</x:v>
      </x:c>
      <x:c r="J67" s="17" t="n">
        <x:v>0</x:v>
      </x:c>
      <x:c r="K67" s="17" t="n">
        <x:v>328514.76</x:v>
      </x:c>
      <x:c r="L67" s="17" t="n">
        <x:v>328514.76</x:v>
      </x:c>
      <x:c r="M67" s="17" t="n">
        <x:v>-8603630.61</x:v>
      </x:c>
      <x:c r="N67" s="14" t="str">
        <x:v>High Transaction; Recurring Transaction</x:v>
      </x:c>
      <x:c r="O67" s="14" t="str">
        <x:v>Yes</x:v>
      </x:c>
      <x:c r="P67" s="14" t="str">
        <x:v>EBANKWIB</x:v>
      </x:c>
      <x:c r="Q67" s="14" t="n">
        <x:v>0</x:v>
      </x:c>
      <x:c r="R67" s="14" t="n">
        <x:v>1</x:v>
      </x:c>
      <x:c r="S67" s="14" t="n">
        <x:v>0</x:v>
      </x:c>
      <x:c r="T67" s="14" t="n">
        <x:v>0</x:v>
      </x:c>
      <x:c r="U67" s="14" t="n">
        <x:v>1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46129</x:v>
      </x:c>
    </x:row>
    <x:row r="68">
      <x:c r="A68" s="14" t="n">
        <x:v>67</x:v>
      </x:c>
      <x:c r="B68" s="14" t="str">
        <x:v>273.pdf</x:v>
      </x:c>
      <x:c r="C68" s="15" t="n">
        <x:v>45181</x:v>
      </x:c>
      <x:c r="D68" s="15" t="n">
        <x:v>46146</x:v>
      </x:c>
      <x:c r="E68" s="15" t="n">
        <x:v>46129</x:v>
      </x:c>
      <x:c r="F68" s="15" t="n">
        <x:v>46129</x:v>
      </x:c>
      <x:c r="G68" s="16" t="str">
        <x:v>0000-MUMBAI/IN Dr INT260402DEAL6291634</x:v>
      </x:c>
      <x:c r="H68" s="14" t="str"/>
      <x:c r="I68" s="14" t="str">
        <x:v>Payment</x:v>
      </x:c>
      <x:c r="J68" s="17" t="n">
        <x:v>4857.17</x:v>
      </x:c>
      <x:c r="K68" s="17" t="n">
        <x:v>0</x:v>
      </x:c>
      <x:c r="L68" s="17" t="n">
        <x:v>4857.17</x:v>
      </x:c>
      <x:c r="M68" s="17" t="n">
        <x:v>-8608487.78</x:v>
      </x:c>
      <x:c r="N68" s="14" t="str">
        <x:v>Recurring Transaction</x:v>
      </x:c>
      <x:c r="O68" s="14" t="str">
        <x:v>Yes</x:v>
      </x:c>
      <x:c r="P68" s="14" t="str">
        <x:v>IN DR INTDEAL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0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46129</x:v>
      </x:c>
    </x:row>
    <x:row r="69">
      <x:c r="A69" s="14" t="n">
        <x:v>68</x:v>
      </x:c>
      <x:c r="B69" s="14" t="str">
        <x:v>273.pdf</x:v>
      </x:c>
      <x:c r="C69" s="15" t="n">
        <x:v>45181</x:v>
      </x:c>
      <x:c r="D69" s="15" t="n">
        <x:v>46146</x:v>
      </x:c>
      <x:c r="E69" s="15" t="n">
        <x:v>46129</x:v>
      </x:c>
      <x:c r="F69" s="15" t="n">
        <x:v>46129</x:v>
      </x:c>
      <x:c r="G69" s="16" t="str">
        <x:v>EBANK:WIB/1504 Dr EBANK:WIB/1504424773/Edfs</x:v>
      </x:c>
      <x:c r="H69" s="14" t="str"/>
      <x:c r="I69" s="14" t="str">
        <x:v>Receipt</x:v>
      </x:c>
      <x:c r="J69" s="17" t="n">
        <x:v>0</x:v>
      </x:c>
      <x:c r="K69" s="17" t="n">
        <x:v>150000</x:v>
      </x:c>
      <x:c r="L69" s="17" t="n">
        <x:v>150000</x:v>
      </x:c>
      <x:c r="M69" s="17" t="n">
        <x:v>-8458487.78</x:v>
      </x:c>
      <x:c r="N69" s="14" t="str">
        <x:v>High Transaction; Recurring Transaction</x:v>
      </x:c>
      <x:c r="O69" s="14" t="str">
        <x:v>Yes</x:v>
      </x:c>
      <x:c r="P69" s="14" t="str">
        <x:v>EBANKWIB</x:v>
      </x:c>
      <x:c r="Q69" s="14" t="n">
        <x:v>0</x:v>
      </x:c>
      <x:c r="R69" s="14" t="n">
        <x:v>1</x:v>
      </x:c>
      <x:c r="S69" s="14" t="n">
        <x:v>0</x:v>
      </x:c>
      <x:c r="T69" s="14" t="n">
        <x:v>0</x:v>
      </x:c>
      <x:c r="U69" s="14" t="n">
        <x:v>1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46129</x:v>
      </x:c>
    </x:row>
    <x:row r="70">
      <x:c r="A70" s="14" t="n">
        <x:v>69</x:v>
      </x:c>
      <x:c r="B70" s="14" t="str">
        <x:v>273.pdf</x:v>
      </x:c>
      <x:c r="C70" s="15" t="n">
        <x:v>45181</x:v>
      </x:c>
      <x:c r="D70" s="15" t="n">
        <x:v>46146</x:v>
      </x:c>
      <x:c r="E70" s="15" t="n">
        <x:v>46130</x:v>
      </x:c>
      <x:c r="F70" s="15" t="n">
        <x:v>46130</x:v>
      </x:c>
      <x:c r="G70" s="16" t="str">
        <x:v>0000-MUMBAI/IN Dr INT260404DEAL6301802</x:v>
      </x:c>
      <x:c r="H70" s="14" t="str"/>
      <x:c r="I70" s="14" t="str">
        <x:v>Payment</x:v>
      </x:c>
      <x:c r="J70" s="17" t="n">
        <x:v>6118.58</x:v>
      </x:c>
      <x:c r="K70" s="17" t="n">
        <x:v>0</x:v>
      </x:c>
      <x:c r="L70" s="17" t="n">
        <x:v>6118.58</x:v>
      </x:c>
      <x:c r="M70" s="17" t="n">
        <x:v>-8464606.36</x:v>
      </x:c>
      <x:c r="N70" s="14" t="str">
        <x:v>Recurring Transaction</x:v>
      </x:c>
      <x:c r="O70" s="14" t="str">
        <x:v>Yes</x:v>
      </x:c>
      <x:c r="P70" s="14" t="str">
        <x:v>IN DR INTDEAL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0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46130</x:v>
      </x:c>
    </x:row>
    <x:row r="71">
      <x:c r="A71" s="14" t="n">
        <x:v>70</x:v>
      </x:c>
      <x:c r="B71" s="14" t="str">
        <x:v>273.pdf</x:v>
      </x:c>
      <x:c r="C71" s="15" t="n">
        <x:v>45181</x:v>
      </x:c>
      <x:c r="D71" s="15" t="n">
        <x:v>46146</x:v>
      </x:c>
      <x:c r="E71" s="15" t="n">
        <x:v>46130</x:v>
      </x:c>
      <x:c r="F71" s="15" t="n">
        <x:v>46130</x:v>
      </x:c>
      <x:c r="G71" s="16" t="str">
        <x:v>BY CASH Dr BY CASH</x:v>
      </x:c>
      <x:c r="H71" s="14" t="str"/>
      <x:c r="I71" s="14" t="str">
        <x:v>Receipt</x:v>
      </x:c>
      <x:c r="J71" s="17" t="n">
        <x:v>0</x:v>
      </x:c>
      <x:c r="K71" s="17" t="n">
        <x:v>394500</x:v>
      </x:c>
      <x:c r="L71" s="17" t="n">
        <x:v>394500</x:v>
      </x:c>
      <x:c r="M71" s="17" t="n">
        <x:v>-8070106.36</x:v>
      </x:c>
      <x:c r="N71" s="14" t="str">
        <x:v>Cash; High Transaction; Recurring Transaction</x:v>
      </x:c>
      <x:c r="O71" s="14" t="str">
        <x:v>Yes</x:v>
      </x:c>
      <x:c r="P71" s="14" t="str">
        <x:v>BY CASH DR BY CASH</x:v>
      </x:c>
      <x:c r="Q71" s="14" t="n">
        <x:v>1</x:v>
      </x:c>
      <x:c r="R71" s="14" t="n">
        <x:v>1</x:v>
      </x:c>
      <x:c r="S71" s="14" t="n">
        <x:v>0</x:v>
      </x:c>
      <x:c r="T71" s="14" t="n">
        <x:v>0</x:v>
      </x:c>
      <x:c r="U71" s="14" t="n">
        <x:v>1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46130</x:v>
      </x:c>
    </x:row>
    <x:row r="72">
      <x:c r="A72" s="14" t="n">
        <x:v>71</x:v>
      </x:c>
      <x:c r="B72" s="14" t="str">
        <x:v>273.pdf</x:v>
      </x:c>
      <x:c r="C72" s="15" t="n">
        <x:v>45181</x:v>
      </x:c>
      <x:c r="D72" s="15" t="n">
        <x:v>46146</x:v>
      </x:c>
      <x:c r="E72" s="15" t="n">
        <x:v>46130</x:v>
      </x:c>
      <x:c r="F72" s="15" t="n">
        <x:v>46130</x:v>
      </x:c>
      <x:c r="G72" s="16" t="str">
        <x:v>DBUTRA-LUCKNOW Dr INT260402DEAL6291634</x:v>
      </x:c>
      <x:c r="H72" s="14" t="str"/>
      <x:c r="I72" s="14" t="str">
        <x:v>Payment</x:v>
      </x:c>
      <x:c r="J72" s="17" t="n">
        <x:v>93.69</x:v>
      </x:c>
      <x:c r="K72" s="17" t="n">
        <x:v>0</x:v>
      </x:c>
      <x:c r="L72" s="17" t="n">
        <x:v>93.69</x:v>
      </x:c>
      <x:c r="M72" s="17" t="n">
        <x:v>-8070200.05</x:v>
      </x:c>
      <x:c r="N72" s="14" t="str">
        <x:v>Other</x:v>
      </x:c>
      <x:c r="O72" s="14" t="str">
        <x:v>No</x:v>
      </x:c>
      <x:c r="P72" s="14" t="str">
        <x:v>LUCKNOW DR INTDEAL</x:v>
      </x:c>
      <x:c r="Q72" s="14" t="n">
        <x:v>0</x:v>
      </x:c>
      <x:c r="R72" s="14" t="n">
        <x:v>0</x:v>
      </x:c>
      <x:c r="S72" s="14" t="n">
        <x:v>0</x:v>
      </x:c>
      <x:c r="T72" s="14" t="n">
        <x:v>0</x:v>
      </x:c>
      <x:c r="U72" s="14" t="n">
        <x:v>0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46130</x:v>
      </x:c>
    </x:row>
    <x:row r="73">
      <x:c r="A73" s="14" t="n">
        <x:v>72</x:v>
      </x:c>
      <x:c r="B73" s="14" t="str">
        <x:v>273.pdf</x:v>
      </x:c>
      <x:c r="C73" s="15" t="n">
        <x:v>45181</x:v>
      </x:c>
      <x:c r="D73" s="15" t="n">
        <x:v>46146</x:v>
      </x:c>
      <x:c r="E73" s="15" t="n">
        <x:v>46130</x:v>
      </x:c>
      <x:c r="F73" s="15" t="n">
        <x:v>46130</x:v>
      </x:c>
      <x:c r="G73" s="16" t="str">
        <x:v>EBANK:WIB/1504 Dr EBANK:WIB/1504650433/Edfs</x:v>
      </x:c>
      <x:c r="H73" s="14" t="str"/>
      <x:c r="I73" s="14" t="str">
        <x:v>Receipt</x:v>
      </x:c>
      <x:c r="J73" s="17" t="n">
        <x:v>0</x:v>
      </x:c>
      <x:c r="K73" s="17" t="n">
        <x:v>480667.28</x:v>
      </x:c>
      <x:c r="L73" s="17" t="n">
        <x:v>480667.28</x:v>
      </x:c>
      <x:c r="M73" s="17" t="n">
        <x:v>-7589532.77</x:v>
      </x:c>
      <x:c r="N73" s="14" t="str">
        <x:v>High Transaction; Recurring Transaction</x:v>
      </x:c>
      <x:c r="O73" s="14" t="str">
        <x:v>Yes</x:v>
      </x:c>
      <x:c r="P73" s="14" t="str">
        <x:v>EBANKWIB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1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46130</x:v>
      </x:c>
    </x:row>
    <x:row r="74">
      <x:c r="A74" s="14" t="n">
        <x:v>73</x:v>
      </x:c>
      <x:c r="B74" s="14" t="str">
        <x:v>273.pdf</x:v>
      </x:c>
      <x:c r="C74" s="15" t="n">
        <x:v>45181</x:v>
      </x:c>
      <x:c r="D74" s="15" t="n">
        <x:v>46146</x:v>
      </x:c>
      <x:c r="E74" s="15" t="n">
        <x:v>46131</x:v>
      </x:c>
      <x:c r="F74" s="15" t="n">
        <x:v>46131</x:v>
      </x:c>
      <x:c r="G74" s="16" t="str">
        <x:v>EBANK:WIB/1504 Dr EBANK:WIB/1504657570/Edfs</x:v>
      </x:c>
      <x:c r="H74" s="14" t="str"/>
      <x:c r="I74" s="14" t="str">
        <x:v>Receipt</x:v>
      </x:c>
      <x:c r="J74" s="17" t="n">
        <x:v>0</x:v>
      </x:c>
      <x:c r="K74" s="17" t="n">
        <x:v>259433</x:v>
      </x:c>
      <x:c r="L74" s="17" t="n">
        <x:v>259433</x:v>
      </x:c>
      <x:c r="M74" s="17" t="n">
        <x:v>-7330099.77</x:v>
      </x:c>
      <x:c r="N74" s="14" t="str">
        <x:v>High Transaction; Recurring Transaction</x:v>
      </x:c>
      <x:c r="O74" s="14" t="str">
        <x:v>Yes</x:v>
      </x:c>
      <x:c r="P74" s="14" t="str">
        <x:v>EBANKWIB</x:v>
      </x:c>
      <x:c r="Q74" s="14" t="n">
        <x:v>0</x:v>
      </x:c>
      <x:c r="R74" s="14" t="n">
        <x:v>1</x:v>
      </x:c>
      <x:c r="S74" s="14" t="n">
        <x:v>0</x:v>
      </x:c>
      <x:c r="T74" s="14" t="n">
        <x:v>0</x:v>
      </x:c>
      <x:c r="U74" s="14" t="n">
        <x:v>1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46131</x:v>
      </x:c>
    </x:row>
    <x:row r="75">
      <x:c r="A75" s="14" t="n">
        <x:v>74</x:v>
      </x:c>
      <x:c r="B75" s="14" t="str">
        <x:v>273.pdf</x:v>
      </x:c>
      <x:c r="C75" s="15" t="n">
        <x:v>45181</x:v>
      </x:c>
      <x:c r="D75" s="15" t="n">
        <x:v>46146</x:v>
      </x:c>
      <x:c r="E75" s="15" t="n">
        <x:v>46131</x:v>
      </x:c>
      <x:c r="F75" s="15" t="n">
        <x:v>46131</x:v>
      </x:c>
      <x:c r="G75" s="16" t="str">
        <x:v>RTGS-BARBR5202 Dr RTGS-BARBR52026041900792985-HINDUSTAN PETROLEUM CO</x:v>
      </x:c>
      <x:c r="H75" s="14" t="str"/>
      <x:c r="I75" s="14" t="str">
        <x:v>Payment</x:v>
      </x:c>
      <x:c r="J75" s="17" t="n">
        <x:v>1933014</x:v>
      </x:c>
      <x:c r="K75" s="17" t="n">
        <x:v>0</x:v>
      </x:c>
      <x:c r="L75" s="17" t="n">
        <x:v>1933014</x:v>
      </x:c>
      <x:c r="M75" s="17" t="n">
        <x:v>-9263113.77</x:v>
      </x:c>
      <x:c r="N75" s="14" t="str">
        <x:v>High Transaction; Recurring Transaction</x:v>
      </x:c>
      <x:c r="O75" s="14" t="str">
        <x:v>Yes</x:v>
      </x:c>
      <x:c r="P75" s="14" t="str">
        <x:v>BARBR DR RTGS</x:v>
      </x:c>
      <x:c r="Q75" s="14" t="n">
        <x:v>0</x:v>
      </x:c>
      <x:c r="R75" s="14" t="n">
        <x:v>1</x:v>
      </x:c>
      <x:c r="S75" s="14" t="n">
        <x:v>0</x:v>
      </x:c>
      <x:c r="T75" s="14" t="n">
        <x:v>0</x:v>
      </x:c>
      <x:c r="U75" s="14" t="n">
        <x:v>1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46131</x:v>
      </x:c>
    </x:row>
    <x:row r="76">
      <x:c r="A76" s="14" t="n">
        <x:v>75</x:v>
      </x:c>
      <x:c r="B76" s="14" t="str">
        <x:v>273.pdf</x:v>
      </x:c>
      <x:c r="C76" s="15" t="n">
        <x:v>45181</x:v>
      </x:c>
      <x:c r="D76" s="15" t="n">
        <x:v>46146</x:v>
      </x:c>
      <x:c r="E76" s="15" t="n">
        <x:v>46131</x:v>
      </x:c>
      <x:c r="F76" s="15" t="n">
        <x:v>46131</x:v>
      </x:c>
      <x:c r="G76" s="16" t="str">
        <x:v>SASRAM-SASARAM Dr INT260404DEAL6301802</x:v>
      </x:c>
      <x:c r="H76" s="14" t="str"/>
      <x:c r="I76" s="14" t="str">
        <x:v>Payment</x:v>
      </x:c>
      <x:c r="J76" s="17" t="n">
        <x:v>325.99</x:v>
      </x:c>
      <x:c r="K76" s="17" t="n">
        <x:v>0</x:v>
      </x:c>
      <x:c r="L76" s="17" t="n">
        <x:v>325.99</x:v>
      </x:c>
      <x:c r="M76" s="17" t="n">
        <x:v>-9263439.76</x:v>
      </x:c>
      <x:c r="N76" s="14" t="str">
        <x:v>Other</x:v>
      </x:c>
      <x:c r="O76" s="14" t="str">
        <x:v>No</x:v>
      </x:c>
      <x:c r="P76" s="14" t="str">
        <x:v>SASARAM DR INTDEAL</x:v>
      </x:c>
      <x:c r="Q76" s="14" t="n">
        <x:v>0</x:v>
      </x:c>
      <x:c r="R76" s="14" t="n">
        <x:v>0</x:v>
      </x:c>
      <x:c r="S76" s="14" t="n">
        <x:v>0</x:v>
      </x:c>
      <x:c r="T76" s="14" t="n">
        <x:v>0</x:v>
      </x:c>
      <x:c r="U76" s="14" t="n">
        <x:v>0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46131</x:v>
      </x:c>
    </x:row>
    <x:row r="77">
      <x:c r="A77" s="14" t="n">
        <x:v>76</x:v>
      </x:c>
      <x:c r="B77" s="14" t="str">
        <x:v>273.pdf</x:v>
      </x:c>
      <x:c r="C77" s="15" t="n">
        <x:v>45181</x:v>
      </x:c>
      <x:c r="D77" s="15" t="n">
        <x:v>46146</x:v>
      </x:c>
      <x:c r="E77" s="15" t="n">
        <x:v>46131</x:v>
      </x:c>
      <x:c r="F77" s="15" t="n">
        <x:v>46131</x:v>
      </x:c>
      <x:c r="G77" s="16" t="str">
        <x:v>EBANK:WIB/1504 Dr EBANK:WIB/1504707135/Edfs</x:v>
      </x:c>
      <x:c r="H77" s="14" t="str"/>
      <x:c r="I77" s="14" t="str">
        <x:v>Receipt</x:v>
      </x:c>
      <x:c r="J77" s="17" t="n">
        <x:v>0</x:v>
      </x:c>
      <x:c r="K77" s="17" t="n">
        <x:v>211310.53</x:v>
      </x:c>
      <x:c r="L77" s="17" t="n">
        <x:v>211310.53</x:v>
      </x:c>
      <x:c r="M77" s="17" t="n">
        <x:v>-9052129.23</x:v>
      </x:c>
      <x:c r="N77" s="14" t="str">
        <x:v>High Transaction; Recurring Transaction</x:v>
      </x:c>
      <x:c r="O77" s="14" t="str">
        <x:v>Yes</x:v>
      </x:c>
      <x:c r="P77" s="14" t="str">
        <x:v>EBANKWIB</x:v>
      </x:c>
      <x:c r="Q77" s="14" t="n">
        <x:v>0</x:v>
      </x:c>
      <x:c r="R77" s="14" t="n">
        <x:v>1</x:v>
      </x:c>
      <x:c r="S77" s="14" t="n">
        <x:v>0</x:v>
      </x:c>
      <x:c r="T77" s="14" t="n">
        <x:v>0</x:v>
      </x:c>
      <x:c r="U77" s="14" t="n">
        <x:v>1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46131</x:v>
      </x:c>
    </x:row>
    <x:row r="78">
      <x:c r="A78" s="14" t="n">
        <x:v>77</x:v>
      </x:c>
      <x:c r="B78" s="14" t="str">
        <x:v>273.pdf</x:v>
      </x:c>
      <x:c r="C78" s="15" t="n">
        <x:v>45181</x:v>
      </x:c>
      <x:c r="D78" s="15" t="n">
        <x:v>46146</x:v>
      </x:c>
      <x:c r="E78" s="15" t="n">
        <x:v>46132</x:v>
      </x:c>
      <x:c r="F78" s="15" t="n">
        <x:v>46132</x:v>
      </x:c>
      <x:c r="G78" s="16" t="str">
        <x:v>EBANK:WIB/1504 Dr EBANK:WIB/1504717278/Edfs</x:v>
      </x:c>
      <x:c r="H78" s="14" t="str"/>
      <x:c r="I78" s="14" t="str">
        <x:v>Receipt</x:v>
      </x:c>
      <x:c r="J78" s="17" t="n">
        <x:v>0</x:v>
      </x:c>
      <x:c r="K78" s="17" t="n">
        <x:v>260572.52</x:v>
      </x:c>
      <x:c r="L78" s="17" t="n">
        <x:v>260572.52</x:v>
      </x:c>
      <x:c r="M78" s="17" t="n">
        <x:v>-8791556.71</x:v>
      </x:c>
      <x:c r="N78" s="14" t="str">
        <x:v>High Transaction; Recurring Transaction</x:v>
      </x:c>
      <x:c r="O78" s="14" t="str">
        <x:v>Yes</x:v>
      </x:c>
      <x:c r="P78" s="14" t="str">
        <x:v>EBANKWIB</x:v>
      </x:c>
      <x:c r="Q78" s="14" t="n">
        <x:v>0</x:v>
      </x:c>
      <x:c r="R78" s="14" t="n">
        <x:v>1</x:v>
      </x:c>
      <x:c r="S78" s="14" t="n">
        <x:v>0</x:v>
      </x:c>
      <x:c r="T78" s="14" t="n">
        <x:v>0</x:v>
      </x:c>
      <x:c r="U78" s="14" t="n">
        <x:v>1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46132</x:v>
      </x:c>
    </x:row>
    <x:row r="79">
      <x:c r="A79" s="14" t="n">
        <x:v>78</x:v>
      </x:c>
      <x:c r="B79" s="14" t="str">
        <x:v>273.pdf</x:v>
      </x:c>
      <x:c r="C79" s="15" t="n">
        <x:v>45181</x:v>
      </x:c>
      <x:c r="D79" s="15" t="n">
        <x:v>46146</x:v>
      </x:c>
      <x:c r="E79" s="15" t="n">
        <x:v>46132</x:v>
      </x:c>
      <x:c r="F79" s="15" t="n">
        <x:v>46132</x:v>
      </x:c>
      <x:c r="G79" s="16" t="str">
        <x:v>RISHIK-RISHIKE Dr ---------------------------------------------------------------------------------------------------------------------------------- Page Total: 19,44,748.30 22,50,998.09 87,91,771.86Dr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</x:v>
      </x:c>
      <x:c r="H79" s="14" t="str"/>
      <x:c r="I79" s="14" t="str">
        <x:v>Payment</x:v>
      </x:c>
      <x:c r="J79" s="17" t="n">
        <x:v>215.15</x:v>
      </x:c>
      <x:c r="K79" s="17" t="n">
        <x:v>0</x:v>
      </x:c>
      <x:c r="L79" s="17" t="n">
        <x:v>215.15</x:v>
      </x:c>
      <x:c r="M79" s="17" t="n">
        <x:v>-8791771.86</x:v>
      </x:c>
      <x:c r="N79" s="14" t="str">
        <x:v>Other</x:v>
      </x:c>
      <x:c r="O79" s="14" t="str">
        <x:v>No</x:v>
      </x:c>
      <x:c r="P79" s="14" t="str">
        <x:v>RISHIKE DR</x:v>
      </x:c>
      <x:c r="Q79" s="14" t="n">
        <x:v>0</x:v>
      </x:c>
      <x:c r="R79" s="14" t="n">
        <x:v>0</x:v>
      </x:c>
      <x:c r="S79" s="14" t="n">
        <x:v>0</x:v>
      </x:c>
      <x:c r="T79" s="14" t="n">
        <x:v>0</x:v>
      </x:c>
      <x:c r="U79" s="14" t="n">
        <x:v>0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46132</x:v>
      </x:c>
    </x:row>
    <x:row r="80">
      <x:c r="A80" s="14" t="n">
        <x:v>79</x:v>
      </x:c>
      <x:c r="B80" s="14" t="str">
        <x:v>273.pdf</x:v>
      </x:c>
      <x:c r="C80" s="15" t="n">
        <x:v>45181</x:v>
      </x:c>
      <x:c r="D80" s="15" t="n">
        <x:v>46146</x:v>
      </x:c>
      <x:c r="E80" s="15" t="n">
        <x:v>46132</x:v>
      </x:c>
      <x:c r="F80" s="15" t="n">
        <x:v>46132</x:v>
      </x:c>
      <x:c r="G80" s="16" t="str">
        <x:v>BY CASH Dr BY CASH</x:v>
      </x:c>
      <x:c r="H80" s="14" t="str"/>
      <x:c r="I80" s="14" t="str">
        <x:v>Receipt</x:v>
      </x:c>
      <x:c r="J80" s="17" t="n">
        <x:v>0</x:v>
      </x:c>
      <x:c r="K80" s="17" t="n">
        <x:v>336500</x:v>
      </x:c>
      <x:c r="L80" s="17" t="n">
        <x:v>336500</x:v>
      </x:c>
      <x:c r="M80" s="17" t="n">
        <x:v>-8455271.86</x:v>
      </x:c>
      <x:c r="N80" s="14" t="str">
        <x:v>Cash; High Transaction; Recurring Transaction</x:v>
      </x:c>
      <x:c r="O80" s="14" t="str">
        <x:v>Yes</x:v>
      </x:c>
      <x:c r="P80" s="14" t="str">
        <x:v>BY CASH DR BY CASH</x:v>
      </x:c>
      <x:c r="Q80" s="14" t="n">
        <x:v>1</x:v>
      </x:c>
      <x:c r="R80" s="14" t="n">
        <x:v>1</x:v>
      </x:c>
      <x:c r="S80" s="14" t="n">
        <x:v>0</x:v>
      </x:c>
      <x:c r="T80" s="14" t="n">
        <x:v>0</x:v>
      </x:c>
      <x:c r="U80" s="14" t="n">
        <x:v>1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46132</x:v>
      </x:c>
    </x:row>
    <x:row r="81">
      <x:c r="A81" s="14" t="n">
        <x:v>80</x:v>
      </x:c>
      <x:c r="B81" s="14" t="str">
        <x:v>273.pdf</x:v>
      </x:c>
      <x:c r="C81" s="15" t="n">
        <x:v>45181</x:v>
      </x:c>
      <x:c r="D81" s="15" t="n">
        <x:v>46146</x:v>
      </x:c>
      <x:c r="E81" s="15" t="n">
        <x:v>46132</x:v>
      </x:c>
      <x:c r="F81" s="15" t="n">
        <x:v>46132</x:v>
      </x:c>
      <x:c r="G81" s="16" t="str">
        <x:v>EBANK:WIB/1504 Dr EBANK:WIB/1504868004/Edfs</x:v>
      </x:c>
      <x:c r="H81" s="14" t="str"/>
      <x:c r="I81" s="14" t="str">
        <x:v>Receipt</x:v>
      </x:c>
      <x:c r="J81" s="17" t="n">
        <x:v>0</x:v>
      </x:c>
      <x:c r="K81" s="17" t="n">
        <x:v>287084.78</x:v>
      </x:c>
      <x:c r="L81" s="17" t="n">
        <x:v>287084.78</x:v>
      </x:c>
      <x:c r="M81" s="17" t="n">
        <x:v>-8168187.08</x:v>
      </x:c>
      <x:c r="N81" s="14" t="str">
        <x:v>High Transaction; Recurring Transaction</x:v>
      </x:c>
      <x:c r="O81" s="14" t="str">
        <x:v>Yes</x:v>
      </x:c>
      <x:c r="P81" s="14" t="str">
        <x:v>EBANKWIB</x:v>
      </x:c>
      <x:c r="Q81" s="14" t="n">
        <x:v>0</x:v>
      </x:c>
      <x:c r="R81" s="14" t="n">
        <x:v>1</x:v>
      </x:c>
      <x:c r="S81" s="14" t="n">
        <x:v>0</x:v>
      </x:c>
      <x:c r="T81" s="14" t="n">
        <x:v>0</x:v>
      </x:c>
      <x:c r="U81" s="14" t="n">
        <x:v>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46132</x:v>
      </x:c>
    </x:row>
    <x:row r="82">
      <x:c r="A82" s="14" t="n">
        <x:v>81</x:v>
      </x:c>
      <x:c r="B82" s="14" t="str">
        <x:v>273.pdf</x:v>
      </x:c>
      <x:c r="C82" s="15" t="n">
        <x:v>45181</x:v>
      </x:c>
      <x:c r="D82" s="15" t="n">
        <x:v>46146</x:v>
      </x:c>
      <x:c r="E82" s="15" t="n">
        <x:v>46133</x:v>
      </x:c>
      <x:c r="F82" s="15" t="n">
        <x:v>46133</x:v>
      </x:c>
      <x:c r="G82" s="16" t="str">
        <x:v>EBANK:WIB/1504 Dr EBANK:WIB/1504892301/Edfs</x:v>
      </x:c>
      <x:c r="H82" s="14" t="str"/>
      <x:c r="I82" s="14" t="str">
        <x:v>Receipt</x:v>
      </x:c>
      <x:c r="J82" s="17" t="n">
        <x:v>0</x:v>
      </x:c>
      <x:c r="K82" s="17" t="n">
        <x:v>333445.92</x:v>
      </x:c>
      <x:c r="L82" s="17" t="n">
        <x:v>333445.92</x:v>
      </x:c>
      <x:c r="M82" s="17" t="n">
        <x:v>-7834741.16</x:v>
      </x:c>
      <x:c r="N82" s="14" t="str">
        <x:v>High Transaction; Recurring Transaction</x:v>
      </x:c>
      <x:c r="O82" s="14" t="str">
        <x:v>Yes</x:v>
      </x:c>
      <x:c r="P82" s="14" t="str">
        <x:v>EBANKWIB</x:v>
      </x:c>
      <x:c r="Q82" s="14" t="n">
        <x:v>0</x:v>
      </x:c>
      <x:c r="R82" s="14" t="n">
        <x:v>1</x:v>
      </x:c>
      <x:c r="S82" s="14" t="n">
        <x:v>0</x:v>
      </x:c>
      <x:c r="T82" s="14" t="n">
        <x:v>0</x:v>
      </x:c>
      <x:c r="U82" s="14" t="n">
        <x:v>1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46133</x:v>
      </x:c>
    </x:row>
    <x:row r="83">
      <x:c r="A83" s="14" t="n">
        <x:v>82</x:v>
      </x:c>
      <x:c r="B83" s="14" t="str">
        <x:v>273.pdf</x:v>
      </x:c>
      <x:c r="C83" s="15" t="n">
        <x:v>45181</x:v>
      </x:c>
      <x:c r="D83" s="15" t="n">
        <x:v>46146</x:v>
      </x:c>
      <x:c r="E83" s="15" t="n">
        <x:v>46133</x:v>
      </x:c>
      <x:c r="F83" s="15" t="n">
        <x:v>46133</x:v>
      </x:c>
      <x:c r="G83" s="16" t="str">
        <x:v>MANNAG-NAGPUR/ Dr INT260404DEAL6301802 https://cbdrpt101.bankofbaroda.co.in:22000/finbranch/arjspmorph/INFENG/tran_rpt.jsp?... 04-05-2026</x:v>
      </x:c>
      <x:c r="H83" s="14" t="str"/>
      <x:c r="I83" s="14" t="str">
        <x:v>Payment</x:v>
      </x:c>
      <x:c r="J83" s="17" t="n">
        <x:v>6.88</x:v>
      </x:c>
      <x:c r="K83" s="17" t="n">
        <x:v>0</x:v>
      </x:c>
      <x:c r="L83" s="17" t="n">
        <x:v>6.88</x:v>
      </x:c>
      <x:c r="M83" s="17" t="n">
        <x:v>-7834748.04</x:v>
      </x:c>
      <x:c r="N83" s="14" t="str">
        <x:v>Other</x:v>
      </x:c>
      <x:c r="O83" s="14" t="str">
        <x:v>No</x:v>
      </x:c>
      <x:c r="P83" s="14" t="str">
        <x:v>DR INTDEAL HTTPS</x:v>
      </x:c>
      <x:c r="Q83" s="14" t="n">
        <x:v>0</x:v>
      </x:c>
      <x:c r="R83" s="14" t="n">
        <x:v>0</x:v>
      </x:c>
      <x:c r="S83" s="14" t="n">
        <x:v>0</x:v>
      </x:c>
      <x:c r="T83" s="14" t="n">
        <x:v>0</x:v>
      </x:c>
      <x:c r="U83" s="14" t="n">
        <x:v>0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46133</x:v>
      </x:c>
    </x:row>
    <x:row r="84">
      <x:c r="A84" s="14" t="n">
        <x:v>83</x:v>
      </x:c>
      <x:c r="B84" s="14" t="str">
        <x:v>273.pdf</x:v>
      </x:c>
      <x:c r="C84" s="15" t="n">
        <x:v>45181</x:v>
      </x:c>
      <x:c r="D84" s="15" t="n">
        <x:v>46146</x:v>
      </x:c>
      <x:c r="E84" s="15" t="n">
        <x:v>46133</x:v>
      </x:c>
      <x:c r="F84" s="15" t="n">
        <x:v>46133</x:v>
      </x:c>
      <x:c r="G84" s="16" t="str">
        <x:v>RTGS-BARBR5202 Dr RTGS-BARBR52026042100866436-HINDUSTAN PETROLEUM CO</x:v>
      </x:c>
      <x:c r="H84" s="14" t="str"/>
      <x:c r="I84" s="14" t="str">
        <x:v>Payment</x:v>
      </x:c>
      <x:c r="J84" s="17" t="n">
        <x:v>2042157.6</x:v>
      </x:c>
      <x:c r="K84" s="17" t="n">
        <x:v>0</x:v>
      </x:c>
      <x:c r="L84" s="17" t="n">
        <x:v>2042157.6</x:v>
      </x:c>
      <x:c r="M84" s="17" t="n">
        <x:v>-9876905.64</x:v>
      </x:c>
      <x:c r="N84" s="14" t="str">
        <x:v>High Transaction; Recurring Transaction</x:v>
      </x:c>
      <x:c r="O84" s="14" t="str">
        <x:v>Yes</x:v>
      </x:c>
      <x:c r="P84" s="14" t="str">
        <x:v>BARBR DR RTGS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1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46133</x:v>
      </x:c>
    </x:row>
    <x:row r="85">
      <x:c r="A85" s="14" t="n">
        <x:v>84</x:v>
      </x:c>
      <x:c r="B85" s="14" t="str">
        <x:v>273.pdf</x:v>
      </x:c>
      <x:c r="C85" s="15" t="n">
        <x:v>45181</x:v>
      </x:c>
      <x:c r="D85" s="15" t="n">
        <x:v>46146</x:v>
      </x:c>
      <x:c r="E85" s="15" t="n">
        <x:v>46133</x:v>
      </x:c>
      <x:c r="F85" s="15" t="n">
        <x:v>46133</x:v>
      </x:c>
      <x:c r="G85" s="16" t="str">
        <x:v>BY CASH Dr BY CASH</x:v>
      </x:c>
      <x:c r="H85" s="14" t="str"/>
      <x:c r="I85" s="14" t="str">
        <x:v>Receipt</x:v>
      </x:c>
      <x:c r="J85" s="17" t="n">
        <x:v>0</x:v>
      </x:c>
      <x:c r="K85" s="17" t="n">
        <x:v>150500</x:v>
      </x:c>
      <x:c r="L85" s="17" t="n">
        <x:v>150500</x:v>
      </x:c>
      <x:c r="M85" s="17" t="n">
        <x:v>-9726405.64</x:v>
      </x:c>
      <x:c r="N85" s="14" t="str">
        <x:v>Cash; High Transaction; Recurring Transaction</x:v>
      </x:c>
      <x:c r="O85" s="14" t="str">
        <x:v>Yes</x:v>
      </x:c>
      <x:c r="P85" s="14" t="str">
        <x:v>BY CASH DR BY CASH</x:v>
      </x:c>
      <x:c r="Q85" s="14" t="n">
        <x:v>1</x:v>
      </x:c>
      <x:c r="R85" s="14" t="n">
        <x:v>1</x:v>
      </x:c>
      <x:c r="S85" s="14" t="n">
        <x:v>0</x:v>
      </x:c>
      <x:c r="T85" s="14" t="n">
        <x:v>0</x:v>
      </x:c>
      <x:c r="U85" s="14" t="n">
        <x:v>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46133</x:v>
      </x:c>
    </x:row>
    <x:row r="86">
      <x:c r="A86" s="14" t="n">
        <x:v>85</x:v>
      </x:c>
      <x:c r="B86" s="14" t="str">
        <x:v>273.pdf</x:v>
      </x:c>
      <x:c r="C86" s="15" t="n">
        <x:v>45181</x:v>
      </x:c>
      <x:c r="D86" s="15" t="n">
        <x:v>46146</x:v>
      </x:c>
      <x:c r="E86" s="15" t="n">
        <x:v>46133</x:v>
      </x:c>
      <x:c r="F86" s="15" t="n">
        <x:v>46133</x:v>
      </x:c>
      <x:c r="G86" s="16" t="str">
        <x:v>EBANK:WIB/1505 Dr EBANK:WIB/1505043394/Edfs</x:v>
      </x:c>
      <x:c r="H86" s="14" t="str"/>
      <x:c r="I86" s="14" t="str">
        <x:v>Receipt</x:v>
      </x:c>
      <x:c r="J86" s="17" t="n">
        <x:v>0</x:v>
      </x:c>
      <x:c r="K86" s="17" t="n">
        <x:v>108963.7</x:v>
      </x:c>
      <x:c r="L86" s="17" t="n">
        <x:v>108963.7</x:v>
      </x:c>
      <x:c r="M86" s="17" t="n">
        <x:v>-9617441.94</x:v>
      </x:c>
      <x:c r="N86" s="14" t="str">
        <x:v>High Transaction; Recurring Transaction</x:v>
      </x:c>
      <x:c r="O86" s="14" t="str">
        <x:v>Yes</x:v>
      </x:c>
      <x:c r="P86" s="14" t="str">
        <x:v>EBANKWIB</x:v>
      </x:c>
      <x:c r="Q86" s="14" t="n">
        <x:v>0</x:v>
      </x:c>
      <x:c r="R86" s="14" t="n">
        <x:v>1</x:v>
      </x:c>
      <x:c r="S86" s="14" t="n">
        <x:v>0</x:v>
      </x:c>
      <x:c r="T86" s="14" t="n">
        <x:v>0</x:v>
      </x:c>
      <x:c r="U86" s="14" t="n">
        <x:v>1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46133</x:v>
      </x:c>
    </x:row>
    <x:row r="87">
      <x:c r="A87" s="14" t="n">
        <x:v>86</x:v>
      </x:c>
      <x:c r="B87" s="14" t="str">
        <x:v>273.pdf</x:v>
      </x:c>
      <x:c r="C87" s="15" t="n">
        <x:v>45181</x:v>
      </x:c>
      <x:c r="D87" s="15" t="n">
        <x:v>46146</x:v>
      </x:c>
      <x:c r="E87" s="15" t="n">
        <x:v>46134</x:v>
      </x:c>
      <x:c r="F87" s="15" t="n">
        <x:v>46134</x:v>
      </x:c>
      <x:c r="G87" s="16" t="str">
        <x:v>0000-MUMBAI/IN Dr INT260407DEAL6316451</x:v>
      </x:c>
      <x:c r="H87" s="14" t="str"/>
      <x:c r="I87" s="14" t="str">
        <x:v>Payment</x:v>
      </x:c>
      <x:c r="J87" s="17" t="n">
        <x:v>6617.14</x:v>
      </x:c>
      <x:c r="K87" s="17" t="n">
        <x:v>0</x:v>
      </x:c>
      <x:c r="L87" s="17" t="n">
        <x:v>6617.14</x:v>
      </x:c>
      <x:c r="M87" s="17" t="n">
        <x:v>-9624059.08</x:v>
      </x:c>
      <x:c r="N87" s="14" t="str">
        <x:v>Recurring Transaction</x:v>
      </x:c>
      <x:c r="O87" s="14" t="str">
        <x:v>Yes</x:v>
      </x:c>
      <x:c r="P87" s="14" t="str">
        <x:v>IN DR INTDEAL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0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46134</x:v>
      </x:c>
    </x:row>
    <x:row r="88">
      <x:c r="A88" s="14" t="n">
        <x:v>87</x:v>
      </x:c>
      <x:c r="B88" s="14" t="str">
        <x:v>273.pdf</x:v>
      </x:c>
      <x:c r="C88" s="15" t="n">
        <x:v>45181</x:v>
      </x:c>
      <x:c r="D88" s="15" t="n">
        <x:v>46146</x:v>
      </x:c>
      <x:c r="E88" s="15" t="n">
        <x:v>46134</x:v>
      </x:c>
      <x:c r="F88" s="15" t="n">
        <x:v>46134</x:v>
      </x:c>
      <x:c r="G88" s="16" t="str">
        <x:v>EBANK:WIB/1505 Dr EBANK:WIB/1505048812/Edfs</x:v>
      </x:c>
      <x:c r="H88" s="14" t="str"/>
      <x:c r="I88" s="14" t="str">
        <x:v>Receipt</x:v>
      </x:c>
      <x:c r="J88" s="17" t="n">
        <x:v>0</x:v>
      </x:c>
      <x:c r="K88" s="17" t="n">
        <x:v>259307.24</x:v>
      </x:c>
      <x:c r="L88" s="17" t="n">
        <x:v>259307.24</x:v>
      </x:c>
      <x:c r="M88" s="17" t="n">
        <x:v>-9364751.84</x:v>
      </x:c>
      <x:c r="N88" s="14" t="str">
        <x:v>High Transaction; Recurring Transaction</x:v>
      </x:c>
      <x:c r="O88" s="14" t="str">
        <x:v>Yes</x:v>
      </x:c>
      <x:c r="P88" s="14" t="str">
        <x:v>EBANKWIB</x:v>
      </x:c>
      <x:c r="Q88" s="14" t="n">
        <x:v>0</x:v>
      </x:c>
      <x:c r="R88" s="14" t="n">
        <x:v>1</x:v>
      </x:c>
      <x:c r="S88" s="14" t="n">
        <x:v>0</x:v>
      </x:c>
      <x:c r="T88" s="14" t="n">
        <x:v>0</x:v>
      </x:c>
      <x:c r="U88" s="14" t="n">
        <x:v>1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46134</x:v>
      </x:c>
    </x:row>
    <x:row r="89">
      <x:c r="A89" s="14" t="n">
        <x:v>88</x:v>
      </x:c>
      <x:c r="B89" s="14" t="str">
        <x:v>273.pdf</x:v>
      </x:c>
      <x:c r="C89" s="15" t="n">
        <x:v>45181</x:v>
      </x:c>
      <x:c r="D89" s="15" t="n">
        <x:v>46146</x:v>
      </x:c>
      <x:c r="E89" s="15" t="n">
        <x:v>46134</x:v>
      </x:c>
      <x:c r="F89" s="15" t="n">
        <x:v>46134</x:v>
      </x:c>
      <x:c r="G89" s="16" t="str">
        <x:v>0000-MUMBAI/IN Dr INT260407DEAL6316451</x:v>
      </x:c>
      <x:c r="H89" s="14" t="str"/>
      <x:c r="I89" s="14" t="str">
        <x:v>Receipt</x:v>
      </x:c>
      <x:c r="J89" s="17" t="n">
        <x:v>0</x:v>
      </x:c>
      <x:c r="K89" s="17" t="n">
        <x:v>25.67</x:v>
      </x:c>
      <x:c r="L89" s="17" t="n">
        <x:v>25.67</x:v>
      </x:c>
      <x:c r="M89" s="17" t="n">
        <x:v>-9364726.17</x:v>
      </x:c>
      <x:c r="N89" s="14" t="str">
        <x:v>Recurring Transaction</x:v>
      </x:c>
      <x:c r="O89" s="14" t="str">
        <x:v>Yes</x:v>
      </x:c>
      <x:c r="P89" s="14" t="str">
        <x:v>IN DR INTDEAL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0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46134</x:v>
      </x:c>
    </x:row>
    <x:row r="90">
      <x:c r="A90" s="14" t="n">
        <x:v>89</x:v>
      </x:c>
      <x:c r="B90" s="14" t="str">
        <x:v>273.pdf</x:v>
      </x:c>
      <x:c r="C90" s="15" t="n">
        <x:v>45181</x:v>
      </x:c>
      <x:c r="D90" s="15" t="n">
        <x:v>46146</x:v>
      </x:c>
      <x:c r="E90" s="15" t="n">
        <x:v>46134</x:v>
      </x:c>
      <x:c r="F90" s="15" t="n">
        <x:v>46134</x:v>
      </x:c>
      <x:c r="G90" s="16" t="str">
        <x:v>BY CASH Dr BY CASH</x:v>
      </x:c>
      <x:c r="H90" s="14" t="str"/>
      <x:c r="I90" s="14" t="str">
        <x:v>Receipt</x:v>
      </x:c>
      <x:c r="J90" s="17" t="n">
        <x:v>0</x:v>
      </x:c>
      <x:c r="K90" s="17" t="n">
        <x:v>609000</x:v>
      </x:c>
      <x:c r="L90" s="17" t="n">
        <x:v>609000</x:v>
      </x:c>
      <x:c r="M90" s="17" t="n">
        <x:v>-8755726.17</x:v>
      </x:c>
      <x:c r="N90" s="14" t="str">
        <x:v>Cash; High Transaction; Recurring Transaction</x:v>
      </x:c>
      <x:c r="O90" s="14" t="str">
        <x:v>Yes</x:v>
      </x:c>
      <x:c r="P90" s="14" t="str">
        <x:v>BY CASH DR BY CASH</x:v>
      </x:c>
      <x:c r="Q90" s="14" t="n">
        <x:v>1</x:v>
      </x:c>
      <x:c r="R90" s="14" t="n">
        <x:v>1</x:v>
      </x:c>
      <x:c r="S90" s="14" t="n">
        <x:v>0</x:v>
      </x:c>
      <x:c r="T90" s="14" t="n">
        <x:v>0</x:v>
      </x:c>
      <x:c r="U90" s="14" t="n">
        <x:v>1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46134</x:v>
      </x:c>
    </x:row>
    <x:row r="91">
      <x:c r="A91" s="14" t="n">
        <x:v>90</x:v>
      </x:c>
      <x:c r="B91" s="14" t="str">
        <x:v>273.pdf</x:v>
      </x:c>
      <x:c r="C91" s="15" t="n">
        <x:v>45181</x:v>
      </x:c>
      <x:c r="D91" s="15" t="n">
        <x:v>46146</x:v>
      </x:c>
      <x:c r="E91" s="15" t="n">
        <x:v>46134</x:v>
      </x:c>
      <x:c r="F91" s="15" t="n">
        <x:v>46134</x:v>
      </x:c>
      <x:c r="G91" s="16" t="str">
        <x:v>EBANK:WIB/1505 Dr EBANK:WIB/1505171210/Edfs</x:v>
      </x:c>
      <x:c r="H91" s="14" t="str"/>
      <x:c r="I91" s="14" t="str">
        <x:v>Receipt</x:v>
      </x:c>
      <x:c r="J91" s="17" t="n">
        <x:v>0</x:v>
      </x:c>
      <x:c r="K91" s="17" t="n">
        <x:v>356256.8</x:v>
      </x:c>
      <x:c r="L91" s="17" t="n">
        <x:v>356256.8</x:v>
      </x:c>
      <x:c r="M91" s="17" t="n">
        <x:v>-8399469.37</x:v>
      </x:c>
      <x:c r="N91" s="14" t="str">
        <x:v>High Transaction; Recurring Transaction</x:v>
      </x:c>
      <x:c r="O91" s="14" t="str">
        <x:v>Yes</x:v>
      </x:c>
      <x:c r="P91" s="14" t="str">
        <x:v>EBANKWIB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1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46134</x:v>
      </x:c>
    </x:row>
    <x:row r="92">
      <x:c r="A92" s="14" t="n">
        <x:v>91</x:v>
      </x:c>
      <x:c r="B92" s="14" t="str">
        <x:v>273.pdf</x:v>
      </x:c>
      <x:c r="C92" s="15" t="n">
        <x:v>45181</x:v>
      </x:c>
      <x:c r="D92" s="15" t="n">
        <x:v>46146</x:v>
      </x:c>
      <x:c r="E92" s="15" t="n">
        <x:v>46134</x:v>
      </x:c>
      <x:c r="F92" s="15" t="n">
        <x:v>46134</x:v>
      </x:c>
      <x:c r="G92" s="16" t="str">
        <x:v>RTGS-BARBR5202 Dr RTGS-BARBR52026042200989175-HINDUSTAN PETROLEUM CO</x:v>
      </x:c>
      <x:c r="H92" s="14" t="str"/>
      <x:c r="I92" s="14" t="str">
        <x:v>Payment</x:v>
      </x:c>
      <x:c r="J92" s="17" t="n">
        <x:v>1600530</x:v>
      </x:c>
      <x:c r="K92" s="17" t="n">
        <x:v>0</x:v>
      </x:c>
      <x:c r="L92" s="17" t="n">
        <x:v>1600530</x:v>
      </x:c>
      <x:c r="M92" s="17" t="n">
        <x:v>-9999999.37</x:v>
      </x:c>
      <x:c r="N92" s="14" t="str">
        <x:v>High Transaction; Recurring Transaction</x:v>
      </x:c>
      <x:c r="O92" s="14" t="str">
        <x:v>Yes</x:v>
      </x:c>
      <x:c r="P92" s="14" t="str">
        <x:v>BARBR DR RTGS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1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46134</x:v>
      </x:c>
    </x:row>
    <x:row r="93">
      <x:c r="A93" s="14" t="n">
        <x:v>92</x:v>
      </x:c>
      <x:c r="B93" s="14" t="str">
        <x:v>273.pdf</x:v>
      </x:c>
      <x:c r="C93" s="15" t="n">
        <x:v>45181</x:v>
      </x:c>
      <x:c r="D93" s="15" t="n">
        <x:v>46146</x:v>
      </x:c>
      <x:c r="E93" s="15" t="n">
        <x:v>46134</x:v>
      </x:c>
      <x:c r="F93" s="15" t="n">
        <x:v>46134</x:v>
      </x:c>
      <x:c r="G93" s="16" t="str">
        <x:v>EBANK:WIB/1505 Dr EBANK:WIB/1505187993/Edfs</x:v>
      </x:c>
      <x:c r="H93" s="14" t="str"/>
      <x:c r="I93" s="14" t="str">
        <x:v>Receipt</x:v>
      </x:c>
      <x:c r="J93" s="17" t="n">
        <x:v>0</x:v>
      </x:c>
      <x:c r="K93" s="17" t="n">
        <x:v>50000</x:v>
      </x:c>
      <x:c r="L93" s="17" t="n">
        <x:v>50000</x:v>
      </x:c>
      <x:c r="M93" s="17" t="n">
        <x:v>-9949999.37</x:v>
      </x:c>
      <x:c r="N93" s="14" t="str">
        <x:v>Recurring Transaction</x:v>
      </x:c>
      <x:c r="O93" s="14" t="str">
        <x:v>Yes</x:v>
      </x:c>
      <x:c r="P93" s="14" t="str">
        <x:v>EBANKWIB</x:v>
      </x:c>
      <x:c r="Q93" s="14" t="n">
        <x:v>0</x:v>
      </x:c>
      <x:c r="R93" s="14" t="n">
        <x:v>1</x:v>
      </x:c>
      <x:c r="S93" s="14" t="n">
        <x:v>0</x:v>
      </x:c>
      <x:c r="T93" s="14" t="n">
        <x:v>0</x:v>
      </x:c>
      <x:c r="U93" s="14" t="n">
        <x:v>0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46134</x:v>
      </x:c>
    </x:row>
    <x:row r="94">
      <x:c r="A94" s="14" t="n">
        <x:v>93</x:v>
      </x:c>
      <x:c r="B94" s="14" t="str">
        <x:v>273.pdf</x:v>
      </x:c>
      <x:c r="C94" s="15" t="n">
        <x:v>45181</x:v>
      </x:c>
      <x:c r="D94" s="15" t="n">
        <x:v>46146</x:v>
      </x:c>
      <x:c r="E94" s="15" t="n">
        <x:v>46135</x:v>
      </x:c>
      <x:c r="F94" s="15" t="n">
        <x:v>46135</x:v>
      </x:c>
      <x:c r="G94" s="16" t="str">
        <x:v>EBANK:WIB/1505 Dr EBANK:WIB/1505193929/Edfs</x:v>
      </x:c>
      <x:c r="H94" s="14" t="str"/>
      <x:c r="I94" s="14" t="str">
        <x:v>Receipt</x:v>
      </x:c>
      <x:c r="J94" s="17" t="n">
        <x:v>0</x:v>
      </x:c>
      <x:c r="K94" s="17" t="n">
        <x:v>224683</x:v>
      </x:c>
      <x:c r="L94" s="17" t="n">
        <x:v>224683</x:v>
      </x:c>
      <x:c r="M94" s="17" t="n">
        <x:v>-9725316.37</x:v>
      </x:c>
      <x:c r="N94" s="14" t="str">
        <x:v>High Transaction; Recurring Transaction</x:v>
      </x:c>
      <x:c r="O94" s="14" t="str">
        <x:v>Yes</x:v>
      </x:c>
      <x:c r="P94" s="14" t="str">
        <x:v>EBANKWIB</x:v>
      </x:c>
      <x:c r="Q94" s="14" t="n">
        <x:v>0</x:v>
      </x:c>
      <x:c r="R94" s="14" t="n">
        <x:v>1</x:v>
      </x:c>
      <x:c r="S94" s="14" t="n">
        <x:v>0</x:v>
      </x:c>
      <x:c r="T94" s="14" t="n">
        <x:v>0</x:v>
      </x:c>
      <x:c r="U94" s="14" t="n">
        <x:v>1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46135</x:v>
      </x:c>
    </x:row>
    <x:row r="95">
      <x:c r="A95" s="14" t="n">
        <x:v>94</x:v>
      </x:c>
      <x:c r="B95" s="14" t="str">
        <x:v>273.pdf</x:v>
      </x:c>
      <x:c r="C95" s="15" t="n">
        <x:v>45181</x:v>
      </x:c>
      <x:c r="D95" s="15" t="n">
        <x:v>46146</x:v>
      </x:c>
      <x:c r="E95" s="15" t="n">
        <x:v>46135</x:v>
      </x:c>
      <x:c r="F95" s="15" t="n">
        <x:v>46135</x:v>
      </x:c>
      <x:c r="G95" s="16" t="str">
        <x:v>EBANK:WIB/1505 Dr EBANK:WIB/1505194002/Edfs</x:v>
      </x:c>
      <x:c r="H95" s="14" t="str"/>
      <x:c r="I95" s="14" t="str">
        <x:v>Receipt</x:v>
      </x:c>
      <x:c r="J95" s="17" t="n">
        <x:v>0</x:v>
      </x:c>
      <x:c r="K95" s="17" t="n">
        <x:v>82795.52</x:v>
      </x:c>
      <x:c r="L95" s="17" t="n">
        <x:v>82795.52</x:v>
      </x:c>
      <x:c r="M95" s="17" t="n">
        <x:v>-9642520.85</x:v>
      </x:c>
      <x:c r="N95" s="14" t="str">
        <x:v>Recurring Transaction</x:v>
      </x:c>
      <x:c r="O95" s="14" t="str">
        <x:v>Yes</x:v>
      </x:c>
      <x:c r="P95" s="14" t="str">
        <x:v>EBANKWIB</x:v>
      </x:c>
      <x:c r="Q95" s="14" t="n">
        <x:v>0</x:v>
      </x:c>
      <x:c r="R95" s="14" t="n">
        <x:v>1</x:v>
      </x:c>
      <x:c r="S95" s="14" t="n">
        <x:v>0</x:v>
      </x:c>
      <x:c r="T95" s="14" t="n">
        <x:v>0</x:v>
      </x:c>
      <x:c r="U95" s="14" t="n">
        <x:v>0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46135</x:v>
      </x:c>
    </x:row>
    <x:row r="96">
      <x:c r="A96" s="14" t="n">
        <x:v>95</x:v>
      </x:c>
      <x:c r="B96" s="14" t="str">
        <x:v>273.pdf</x:v>
      </x:c>
      <x:c r="C96" s="15" t="n">
        <x:v>45181</x:v>
      </x:c>
      <x:c r="D96" s="15" t="n">
        <x:v>46146</x:v>
      </x:c>
      <x:c r="E96" s="15" t="n">
        <x:v>46135</x:v>
      </x:c>
      <x:c r="F96" s="15" t="n">
        <x:v>46135</x:v>
      </x:c>
      <x:c r="G96" s="16" t="str">
        <x:v>MAYAJM-AJMER/I Dr ---------------------------------------------------------------------------------------------------------------------------------- Page Total: 36,49,328.33 27,98,562.63 96,42,537.56Dr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</x:v>
      </x:c>
      <x:c r="H96" s="14" t="str"/>
      <x:c r="I96" s="14" t="str">
        <x:v>Payment</x:v>
      </x:c>
      <x:c r="J96" s="17" t="n">
        <x:v>16.71</x:v>
      </x:c>
      <x:c r="K96" s="17" t="n">
        <x:v>0</x:v>
      </x:c>
      <x:c r="L96" s="17" t="n">
        <x:v>16.71</x:v>
      </x:c>
      <x:c r="M96" s="17" t="n">
        <x:v>-9642537.56</x:v>
      </x:c>
      <x:c r="N96" s="14" t="str">
        <x:v>Other</x:v>
      </x:c>
      <x:c r="O96" s="14" t="str">
        <x:v>No</x:v>
      </x:c>
      <x:c r="P96" s="14" t="str">
        <x:v>PAGE TOTAL   DR</x:v>
      </x:c>
      <x:c r="Q96" s="14" t="n">
        <x:v>0</x:v>
      </x:c>
      <x:c r="R96" s="14" t="n">
        <x:v>0</x:v>
      </x:c>
      <x:c r="S96" s="14" t="n">
        <x:v>0</x:v>
      </x:c>
      <x:c r="T96" s="14" t="n">
        <x:v>0</x:v>
      </x:c>
      <x:c r="U96" s="14" t="n">
        <x:v>0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46135</x:v>
      </x:c>
    </x:row>
    <x:row r="97">
      <x:c r="A97" s="14" t="n">
        <x:v>96</x:v>
      </x:c>
      <x:c r="B97" s="14" t="str">
        <x:v>273.pdf</x:v>
      </x:c>
      <x:c r="C97" s="15" t="n">
        <x:v>45181</x:v>
      </x:c>
      <x:c r="D97" s="15" t="n">
        <x:v>46146</x:v>
      </x:c>
      <x:c r="E97" s="15" t="n">
        <x:v>46135</x:v>
      </x:c>
      <x:c r="F97" s="15" t="n">
        <x:v>46135</x:v>
      </x:c>
      <x:c r="G97" s="16" t="str">
        <x:v>EBANK:WIB/1505 Dr EBANK:WIB/1505205959/Edfs</x:v>
      </x:c>
      <x:c r="H97" s="14" t="str"/>
      <x:c r="I97" s="14" t="str">
        <x:v>Receipt</x:v>
      </x:c>
      <x:c r="J97" s="17" t="n">
        <x:v>0</x:v>
      </x:c>
      <x:c r="K97" s="17" t="n">
        <x:v>269000</x:v>
      </x:c>
      <x:c r="L97" s="17" t="n">
        <x:v>269000</x:v>
      </x:c>
      <x:c r="M97" s="17" t="n">
        <x:v>-9373537.56</x:v>
      </x:c>
      <x:c r="N97" s="14" t="str">
        <x:v>High Transaction; Recurring Transaction</x:v>
      </x:c>
      <x:c r="O97" s="14" t="str">
        <x:v>Yes</x:v>
      </x:c>
      <x:c r="P97" s="14" t="str">
        <x:v>EBANKWIB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1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46135</x:v>
      </x:c>
    </x:row>
    <x:row r="98">
      <x:c r="A98" s="14" t="n">
        <x:v>97</x:v>
      </x:c>
      <x:c r="B98" s="14" t="str">
        <x:v>273.pdf</x:v>
      </x:c>
      <x:c r="C98" s="15" t="n">
        <x:v>45181</x:v>
      </x:c>
      <x:c r="D98" s="15" t="n">
        <x:v>46146</x:v>
      </x:c>
      <x:c r="E98" s="15" t="n">
        <x:v>46135</x:v>
      </x:c>
      <x:c r="F98" s="15" t="n">
        <x:v>46135</x:v>
      </x:c>
      <x:c r="G98" s="16" t="str">
        <x:v>RTGS-BARBR5202 Dr RTGS-BARBR52026042300993365-HINDUSTAN PETROLEUM CO</x:v>
      </x:c>
      <x:c r="H98" s="14" t="str"/>
      <x:c r="I98" s="14" t="str">
        <x:v>Payment</x:v>
      </x:c>
      <x:c r="J98" s="17" t="n">
        <x:v>428234.82</x:v>
      </x:c>
      <x:c r="K98" s="17" t="n">
        <x:v>0</x:v>
      </x:c>
      <x:c r="L98" s="17" t="n">
        <x:v>428234.82</x:v>
      </x:c>
      <x:c r="M98" s="17" t="n">
        <x:v>-9801772.38</x:v>
      </x:c>
      <x:c r="N98" s="14" t="str">
        <x:v>High Transaction; Recurring Transaction</x:v>
      </x:c>
      <x:c r="O98" s="14" t="str">
        <x:v>Yes</x:v>
      </x:c>
      <x:c r="P98" s="14" t="str">
        <x:v>BARBR DR RTGS</x:v>
      </x:c>
      <x:c r="Q98" s="14" t="n">
        <x:v>0</x:v>
      </x:c>
      <x:c r="R98" s="14" t="n">
        <x:v>1</x:v>
      </x:c>
      <x:c r="S98" s="14" t="n">
        <x:v>0</x:v>
      </x:c>
      <x:c r="T98" s="14" t="n">
        <x:v>0</x:v>
      </x:c>
      <x:c r="U98" s="14" t="n">
        <x:v>1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46135</x:v>
      </x:c>
    </x:row>
    <x:row r="99">
      <x:c r="A99" s="14" t="n">
        <x:v>98</x:v>
      </x:c>
      <x:c r="B99" s="14" t="str">
        <x:v>273.pdf</x:v>
      </x:c>
      <x:c r="C99" s="15" t="n">
        <x:v>45181</x:v>
      </x:c>
      <x:c r="D99" s="15" t="n">
        <x:v>46146</x:v>
      </x:c>
      <x:c r="E99" s="15" t="n">
        <x:v>46135</x:v>
      </x:c>
      <x:c r="F99" s="15" t="n">
        <x:v>46135</x:v>
      </x:c>
      <x:c r="G99" s="16" t="str">
        <x:v>BY CASH Dr BY CASH</x:v>
      </x:c>
      <x:c r="H99" s="14" t="str"/>
      <x:c r="I99" s="14" t="str">
        <x:v>Receipt</x:v>
      </x:c>
      <x:c r="J99" s="17" t="n">
        <x:v>0</x:v>
      </x:c>
      <x:c r="K99" s="17" t="n">
        <x:v>253500</x:v>
      </x:c>
      <x:c r="L99" s="17" t="n">
        <x:v>253500</x:v>
      </x:c>
      <x:c r="M99" s="17" t="n">
        <x:v>-9548272.38</x:v>
      </x:c>
      <x:c r="N99" s="14" t="str">
        <x:v>Cash; High Transaction; Recurring Transaction</x:v>
      </x:c>
      <x:c r="O99" s="14" t="str">
        <x:v>Yes</x:v>
      </x:c>
      <x:c r="P99" s="14" t="str">
        <x:v>BY CASH DR BY CASH</x:v>
      </x:c>
      <x:c r="Q99" s="14" t="n">
        <x:v>1</x:v>
      </x:c>
      <x:c r="R99" s="14" t="n">
        <x:v>1</x:v>
      </x:c>
      <x:c r="S99" s="14" t="n">
        <x:v>0</x:v>
      </x:c>
      <x:c r="T99" s="14" t="n">
        <x:v>0</x:v>
      </x:c>
      <x:c r="U99" s="14" t="n">
        <x:v>1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46135</x:v>
      </x:c>
    </x:row>
    <x:row r="100">
      <x:c r="A100" s="14" t="n">
        <x:v>99</x:v>
      </x:c>
      <x:c r="B100" s="14" t="str">
        <x:v>273.pdf</x:v>
      </x:c>
      <x:c r="C100" s="15" t="n">
        <x:v>45181</x:v>
      </x:c>
      <x:c r="D100" s="15" t="n">
        <x:v>46146</x:v>
      </x:c>
      <x:c r="E100" s="15" t="n">
        <x:v>46135</x:v>
      </x:c>
      <x:c r="F100" s="15" t="n">
        <x:v>46135</x:v>
      </x:c>
      <x:c r="G100" s="16" t="str">
        <x:v>RTGS-BARBR5202 Dr RTGS-BARBR52026042300772587-HINDUSTAN PETROLEUM CO</x:v>
      </x:c>
      <x:c r="H100" s="14" t="str"/>
      <x:c r="I100" s="14" t="str">
        <x:v>Payment</x:v>
      </x:c>
      <x:c r="J100" s="17" t="n">
        <x:v>451000</x:v>
      </x:c>
      <x:c r="K100" s="17" t="n">
        <x:v>0</x:v>
      </x:c>
      <x:c r="L100" s="17" t="n">
        <x:v>451000</x:v>
      </x:c>
      <x:c r="M100" s="17" t="n">
        <x:v>-9999272.38</x:v>
      </x:c>
      <x:c r="N100" s="14" t="str">
        <x:v>High Transaction; Recurring Transaction</x:v>
      </x:c>
      <x:c r="O100" s="14" t="str">
        <x:v>Yes</x:v>
      </x:c>
      <x:c r="P100" s="14" t="str">
        <x:v>BARBR DR RTGS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1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46135</x:v>
      </x:c>
    </x:row>
    <x:row r="101">
      <x:c r="A101" s="14" t="n">
        <x:v>100</x:v>
      </x:c>
      <x:c r="B101" s="14" t="str">
        <x:v>273.pdf</x:v>
      </x:c>
      <x:c r="C101" s="15" t="n">
        <x:v>45181</x:v>
      </x:c>
      <x:c r="D101" s="15" t="n">
        <x:v>46146</x:v>
      </x:c>
      <x:c r="E101" s="15" t="n">
        <x:v>46135</x:v>
      </x:c>
      <x:c r="F101" s="15" t="n">
        <x:v>46135</x:v>
      </x:c>
      <x:c r="G101" s="16" t="str">
        <x:v>EBANK:WIB/1505 Dr EBANK:WIB/1505315722/Edfs</x:v>
      </x:c>
      <x:c r="H101" s="14" t="str"/>
      <x:c r="I101" s="14" t="str">
        <x:v>Receipt</x:v>
      </x:c>
      <x:c r="J101" s="17" t="n">
        <x:v>0</x:v>
      </x:c>
      <x:c r="K101" s="17" t="n">
        <x:v>222635.35</x:v>
      </x:c>
      <x:c r="L101" s="17" t="n">
        <x:v>222635.35</x:v>
      </x:c>
      <x:c r="M101" s="17" t="n">
        <x:v>-9776637.03</x:v>
      </x:c>
      <x:c r="N101" s="14" t="str">
        <x:v>High Transaction; Recurring Transaction</x:v>
      </x:c>
      <x:c r="O101" s="14" t="str">
        <x:v>Yes</x:v>
      </x:c>
      <x:c r="P101" s="14" t="str">
        <x:v>EBANKWIB</x:v>
      </x:c>
      <x:c r="Q101" s="14" t="n">
        <x:v>0</x:v>
      </x:c>
      <x:c r="R101" s="14" t="n">
        <x:v>1</x:v>
      </x:c>
      <x:c r="S101" s="14" t="n">
        <x:v>0</x:v>
      </x:c>
      <x:c r="T101" s="14" t="n">
        <x:v>0</x:v>
      </x:c>
      <x:c r="U101" s="14" t="n">
        <x:v>1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46135</x:v>
      </x:c>
    </x:row>
    <x:row r="102">
      <x:c r="A102" s="14" t="n">
        <x:v>101</x:v>
      </x:c>
      <x:c r="B102" s="14" t="str">
        <x:v>273.pdf</x:v>
      </x:c>
      <x:c r="C102" s="15" t="n">
        <x:v>45181</x:v>
      </x:c>
      <x:c r="D102" s="15" t="n">
        <x:v>46146</x:v>
      </x:c>
      <x:c r="E102" s="15" t="n">
        <x:v>46136</x:v>
      </x:c>
      <x:c r="F102" s="15" t="n">
        <x:v>46136</x:v>
      </x:c>
      <x:c r="G102" s="16" t="str">
        <x:v>EBANK:WIB/1505 Dr EBANK:WIB/1505337172/Edfs</x:v>
      </x:c>
      <x:c r="H102" s="14" t="str"/>
      <x:c r="I102" s="14" t="str">
        <x:v>Receipt</x:v>
      </x:c>
      <x:c r="J102" s="17" t="n">
        <x:v>0</x:v>
      </x:c>
      <x:c r="K102" s="17" t="n">
        <x:v>400403</x:v>
      </x:c>
      <x:c r="L102" s="17" t="n">
        <x:v>400403</x:v>
      </x:c>
      <x:c r="M102" s="17" t="n">
        <x:v>-9376234.03</x:v>
      </x:c>
      <x:c r="N102" s="14" t="str">
        <x:v>High Transaction; Recurring Transaction</x:v>
      </x:c>
      <x:c r="O102" s="14" t="str">
        <x:v>Yes</x:v>
      </x:c>
      <x:c r="P102" s="14" t="str">
        <x:v>EBANKWIB</x:v>
      </x:c>
      <x:c r="Q102" s="14" t="n">
        <x:v>0</x:v>
      </x:c>
      <x:c r="R102" s="14" t="n">
        <x:v>1</x:v>
      </x:c>
      <x:c r="S102" s="14" t="n">
        <x:v>0</x:v>
      </x:c>
      <x:c r="T102" s="14" t="n">
        <x:v>0</x:v>
      </x:c>
      <x:c r="U102" s="14" t="n">
        <x:v>1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46136</x:v>
      </x:c>
    </x:row>
    <x:row r="103">
      <x:c r="A103" s="14" t="n">
        <x:v>102</x:v>
      </x:c>
      <x:c r="B103" s="14" t="str">
        <x:v>273.pdf</x:v>
      </x:c>
      <x:c r="C103" s="15" t="n">
        <x:v>45181</x:v>
      </x:c>
      <x:c r="D103" s="15" t="n">
        <x:v>46146</x:v>
      </x:c>
      <x:c r="E103" s="15" t="n">
        <x:v>46136</x:v>
      </x:c>
      <x:c r="F103" s="15" t="n">
        <x:v>46136</x:v>
      </x:c>
      <x:c r="G103" s="16" t="str">
        <x:v>BY CASH Dr BY CASH</x:v>
      </x:c>
      <x:c r="H103" s="14" t="str"/>
      <x:c r="I103" s="14" t="str">
        <x:v>Receipt</x:v>
      </x:c>
      <x:c r="J103" s="17" t="n">
        <x:v>0</x:v>
      </x:c>
      <x:c r="K103" s="17" t="n">
        <x:v>281000</x:v>
      </x:c>
      <x:c r="L103" s="17" t="n">
        <x:v>281000</x:v>
      </x:c>
      <x:c r="M103" s="17" t="n">
        <x:v>-9095234.03</x:v>
      </x:c>
      <x:c r="N103" s="14" t="str">
        <x:v>Cash; High Transaction; Recurring Transaction</x:v>
      </x:c>
      <x:c r="O103" s="14" t="str">
        <x:v>Yes</x:v>
      </x:c>
      <x:c r="P103" s="14" t="str">
        <x:v>BY CASH DR BY CASH</x:v>
      </x:c>
      <x:c r="Q103" s="14" t="n">
        <x:v>1</x:v>
      </x:c>
      <x:c r="R103" s="14" t="n">
        <x:v>1</x:v>
      </x:c>
      <x:c r="S103" s="14" t="n">
        <x:v>0</x:v>
      </x:c>
      <x:c r="T103" s="14" t="n">
        <x:v>0</x:v>
      </x:c>
      <x:c r="U103" s="14" t="n">
        <x:v>1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46136</x:v>
      </x:c>
    </x:row>
    <x:row r="104">
      <x:c r="A104" s="14" t="n">
        <x:v>103</x:v>
      </x:c>
      <x:c r="B104" s="14" t="str">
        <x:v>273.pdf</x:v>
      </x:c>
      <x:c r="C104" s="15" t="n">
        <x:v>45181</x:v>
      </x:c>
      <x:c r="D104" s="15" t="n">
        <x:v>46146</x:v>
      </x:c>
      <x:c r="E104" s="15" t="n">
        <x:v>46136</x:v>
      </x:c>
      <x:c r="F104" s="15" t="n">
        <x:v>46136</x:v>
      </x:c>
      <x:c r="G104" s="16" t="str">
        <x:v>VIRARW-THANE/B Dr BY CASH</x:v>
      </x:c>
      <x:c r="H104" s="14" t="str"/>
      <x:c r="I104" s="14" t="str">
        <x:v>Receipt</x:v>
      </x:c>
      <x:c r="J104" s="17" t="n">
        <x:v>0</x:v>
      </x:c>
      <x:c r="K104" s="17" t="n">
        <x:v>250000</x:v>
      </x:c>
      <x:c r="L104" s="17" t="n">
        <x:v>250000</x:v>
      </x:c>
      <x:c r="M104" s="17" t="n">
        <x:v>-8845234.03</x:v>
      </x:c>
      <x:c r="N104" s="14" t="str">
        <x:v>Cash; High Transaction; Recurring Transaction</x:v>
      </x:c>
      <x:c r="O104" s="14" t="str">
        <x:v>Yes</x:v>
      </x:c>
      <x:c r="P104" s="14" t="str">
        <x:v>B DR BY CASH</x:v>
      </x:c>
      <x:c r="Q104" s="14" t="n">
        <x:v>1</x:v>
      </x:c>
      <x:c r="R104" s="14" t="n">
        <x:v>1</x:v>
      </x:c>
      <x:c r="S104" s="14" t="n">
        <x:v>0</x:v>
      </x:c>
      <x:c r="T104" s="14" t="n">
        <x:v>0</x:v>
      </x:c>
      <x:c r="U104" s="14" t="n">
        <x:v>1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46136</x:v>
      </x:c>
    </x:row>
    <x:row r="105">
      <x:c r="A105" s="14" t="n">
        <x:v>104</x:v>
      </x:c>
      <x:c r="B105" s="14" t="str">
        <x:v>273.pdf</x:v>
      </x:c>
      <x:c r="C105" s="15" t="n">
        <x:v>45181</x:v>
      </x:c>
      <x:c r="D105" s="15" t="n">
        <x:v>46146</x:v>
      </x:c>
      <x:c r="E105" s="15" t="n">
        <x:v>46136</x:v>
      </x:c>
      <x:c r="F105" s="15" t="n">
        <x:v>46136</x:v>
      </x:c>
      <x:c r="G105" s="16" t="str">
        <x:v>BAGBAH-BAGBAHR Dr INT260410DEAL6330158</x:v>
      </x:c>
      <x:c r="H105" s="14" t="str"/>
      <x:c r="I105" s="14" t="str">
        <x:v>Payment</x:v>
      </x:c>
      <x:c r="J105" s="17" t="n">
        <x:v>5712.82</x:v>
      </x:c>
      <x:c r="K105" s="17" t="n">
        <x:v>0</x:v>
      </x:c>
      <x:c r="L105" s="17" t="n">
        <x:v>5712.82</x:v>
      </x:c>
      <x:c r="M105" s="17" t="n">
        <x:v>-8850946.85</x:v>
      </x:c>
      <x:c r="N105" s="14" t="str">
        <x:v>Other</x:v>
      </x:c>
      <x:c r="O105" s="14" t="str">
        <x:v>No</x:v>
      </x:c>
      <x:c r="P105" s="14" t="str">
        <x:v>BAGBAHR DR INTDEAL</x:v>
      </x:c>
      <x:c r="Q105" s="14" t="n">
        <x:v>0</x:v>
      </x:c>
      <x:c r="R105" s="14" t="n">
        <x:v>0</x:v>
      </x:c>
      <x:c r="S105" s="14" t="n">
        <x:v>0</x:v>
      </x:c>
      <x:c r="T105" s="14" t="n">
        <x:v>0</x:v>
      </x:c>
      <x:c r="U105" s="14" t="n">
        <x:v>0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46136</x:v>
      </x:c>
    </x:row>
    <x:row r="106">
      <x:c r="A106" s="14" t="n">
        <x:v>105</x:v>
      </x:c>
      <x:c r="B106" s="14" t="str">
        <x:v>273.pdf</x:v>
      </x:c>
      <x:c r="C106" s="15" t="n">
        <x:v>45181</x:v>
      </x:c>
      <x:c r="D106" s="15" t="n">
        <x:v>46146</x:v>
      </x:c>
      <x:c r="E106" s="15" t="n">
        <x:v>46136</x:v>
      </x:c>
      <x:c r="F106" s="15" t="n">
        <x:v>46136</x:v>
      </x:c>
      <x:c r="G106" s="16" t="str">
        <x:v>VJARDI-ARDI,KA Dr INT260410DEAL6333836</x:v>
      </x:c>
      <x:c r="H106" s="14" t="str"/>
      <x:c r="I106" s="14" t="str">
        <x:v>Payment</x:v>
      </x:c>
      <x:c r="J106" s="17" t="n">
        <x:v>67.48</x:v>
      </x:c>
      <x:c r="K106" s="17" t="n">
        <x:v>0</x:v>
      </x:c>
      <x:c r="L106" s="17" t="n">
        <x:v>67.48</x:v>
      </x:c>
      <x:c r="M106" s="17" t="n">
        <x:v>-8851014.33</x:v>
      </x:c>
      <x:c r="N106" s="14" t="str">
        <x:v>Other</x:v>
      </x:c>
      <x:c r="O106" s="14" t="str">
        <x:v>No</x:v>
      </x:c>
      <x:c r="P106" s="14" t="str">
        <x:v>ARDIKA DR INTDEAL</x:v>
      </x:c>
      <x:c r="Q106" s="14" t="n">
        <x:v>0</x:v>
      </x:c>
      <x:c r="R106" s="14" t="n">
        <x:v>0</x:v>
      </x:c>
      <x:c r="S106" s="14" t="n">
        <x:v>0</x:v>
      </x:c>
      <x:c r="T106" s="14" t="n">
        <x:v>0</x:v>
      </x:c>
      <x:c r="U106" s="14" t="n">
        <x:v>0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46136</x:v>
      </x:c>
    </x:row>
    <x:row r="107">
      <x:c r="A107" s="14" t="n">
        <x:v>106</x:v>
      </x:c>
      <x:c r="B107" s="14" t="str">
        <x:v>273.pdf</x:v>
      </x:c>
      <x:c r="C107" s="15" t="n">
        <x:v>45181</x:v>
      </x:c>
      <x:c r="D107" s="15" t="n">
        <x:v>46146</x:v>
      </x:c>
      <x:c r="E107" s="15" t="n">
        <x:v>46136</x:v>
      </x:c>
      <x:c r="F107" s="15" t="n">
        <x:v>46136</x:v>
      </x:c>
      <x:c r="G107" s="16" t="str">
        <x:v>RTGS-BARBR5202 Dr RTGS-BARBR52026042400851908-HINDUSTAN PETROLEUM CO</x:v>
      </x:c>
      <x:c r="H107" s="14" t="str"/>
      <x:c r="I107" s="14" t="str">
        <x:v>Payment</x:v>
      </x:c>
      <x:c r="J107" s="17" t="n">
        <x:v>1148985</x:v>
      </x:c>
      <x:c r="K107" s="17" t="n">
        <x:v>0</x:v>
      </x:c>
      <x:c r="L107" s="17" t="n">
        <x:v>1148985</x:v>
      </x:c>
      <x:c r="M107" s="17" t="n">
        <x:v>-9999999.33</x:v>
      </x:c>
      <x:c r="N107" s="14" t="str">
        <x:v>High Transaction; Recurring Transaction</x:v>
      </x:c>
      <x:c r="O107" s="14" t="str">
        <x:v>Yes</x:v>
      </x:c>
      <x:c r="P107" s="14" t="str">
        <x:v>BARBR DR RTGS</x:v>
      </x:c>
      <x:c r="Q107" s="14" t="n">
        <x:v>0</x:v>
      </x:c>
      <x:c r="R107" s="14" t="n">
        <x:v>1</x:v>
      </x:c>
      <x:c r="S107" s="14" t="n">
        <x:v>0</x:v>
      </x:c>
      <x:c r="T107" s="14" t="n">
        <x:v>0</x:v>
      </x:c>
      <x:c r="U107" s="14" t="n">
        <x:v>1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5" t="n">
        <x:v>46136</x:v>
      </x:c>
    </x:row>
    <x:row r="108">
      <x:c r="A108" s="14" t="n">
        <x:v>107</x:v>
      </x:c>
      <x:c r="B108" s="14" t="str">
        <x:v>273.pdf</x:v>
      </x:c>
      <x:c r="C108" s="15" t="n">
        <x:v>45181</x:v>
      </x:c>
      <x:c r="D108" s="15" t="n">
        <x:v>46146</x:v>
      </x:c>
      <x:c r="E108" s="15" t="n">
        <x:v>46136</x:v>
      </x:c>
      <x:c r="F108" s="15" t="n">
        <x:v>46136</x:v>
      </x:c>
      <x:c r="G108" s="16" t="str">
        <x:v>EBANK:WIB/1505 Dr EBANK:WIB/1505452714/Edfs https://cbdrpt101.bankofbaroda.co.in:22000/finbranch/arjspmorph/INFENG/tran_rpt.jsp?... 04-05-2026</x:v>
      </x:c>
      <x:c r="H108" s="14" t="str"/>
      <x:c r="I108" s="14" t="str">
        <x:v>Receipt</x:v>
      </x:c>
      <x:c r="J108" s="17" t="n">
        <x:v>0</x:v>
      </x:c>
      <x:c r="K108" s="17" t="n">
        <x:v>115069</x:v>
      </x:c>
      <x:c r="L108" s="17" t="n">
        <x:v>115069</x:v>
      </x:c>
      <x:c r="M108" s="17" t="n">
        <x:v>-9884930.33</x:v>
      </x:c>
      <x:c r="N108" s="14" t="str">
        <x:v>High Transaction; Recurring Transaction</x:v>
      </x:c>
      <x:c r="O108" s="14" t="str">
        <x:v>Yes</x:v>
      </x:c>
      <x:c r="P108" s="14" t="str">
        <x:v>EBANKWIB</x:v>
      </x:c>
      <x:c r="Q108" s="14" t="n">
        <x:v>0</x:v>
      </x:c>
      <x:c r="R108" s="14" t="n">
        <x:v>1</x:v>
      </x:c>
      <x:c r="S108" s="14" t="n">
        <x:v>0</x:v>
      </x:c>
      <x:c r="T108" s="14" t="n">
        <x:v>0</x:v>
      </x:c>
      <x:c r="U108" s="14" t="n">
        <x:v>1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46136</x:v>
      </x:c>
    </x:row>
    <x:row r="109">
      <x:c r="A109" s="14" t="n">
        <x:v>108</x:v>
      </x:c>
      <x:c r="B109" s="14" t="str">
        <x:v>273.pdf</x:v>
      </x:c>
      <x:c r="C109" s="15" t="n">
        <x:v>45181</x:v>
      </x:c>
      <x:c r="D109" s="15" t="n">
        <x:v>46146</x:v>
      </x:c>
      <x:c r="E109" s="15" t="n">
        <x:v>46136</x:v>
      </x:c>
      <x:c r="F109" s="15" t="n">
        <x:v>46136</x:v>
      </x:c>
      <x:c r="G109" s="16" t="str">
        <x:v>NEFT-BARBY2611 Dr NEFT-BARBY26114821805-HINDUSTAN PETROLEUM CORPORAT</x:v>
      </x:c>
      <x:c r="H109" s="14" t="str"/>
      <x:c r="I109" s="14" t="str">
        <x:v>Payment</x:v>
      </x:c>
      <x:c r="J109" s="17" t="n">
        <x:v>115069</x:v>
      </x:c>
      <x:c r="K109" s="17" t="n">
        <x:v>0</x:v>
      </x:c>
      <x:c r="L109" s="17" t="n">
        <x:v>115069</x:v>
      </x:c>
      <x:c r="M109" s="17" t="n">
        <x:v>-9999999.33</x:v>
      </x:c>
      <x:c r="N109" s="14" t="str">
        <x:v>High Transaction</x:v>
      </x:c>
      <x:c r="O109" s="14" t="str">
        <x:v>No</x:v>
      </x:c>
      <x:c r="P109" s="14" t="str">
        <x:v>BARBY DR NEFT</x:v>
      </x:c>
      <x:c r="Q109" s="14" t="n">
        <x:v>0</x:v>
      </x:c>
      <x:c r="R109" s="14" t="n">
        <x:v>0</x:v>
      </x:c>
      <x:c r="S109" s="14" t="n">
        <x:v>0</x:v>
      </x:c>
      <x:c r="T109" s="14" t="n">
        <x:v>0</x:v>
      </x:c>
      <x:c r="U109" s="14" t="n">
        <x:v>1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46136</x:v>
      </x:c>
    </x:row>
    <x:row r="110">
      <x:c r="A110" s="14" t="n">
        <x:v>109</x:v>
      </x:c>
      <x:c r="B110" s="14" t="str">
        <x:v>273.pdf</x:v>
      </x:c>
      <x:c r="C110" s="15" t="n">
        <x:v>45181</x:v>
      </x:c>
      <x:c r="D110" s="15" t="n">
        <x:v>46146</x:v>
      </x:c>
      <x:c r="E110" s="15" t="n">
        <x:v>46137</x:v>
      </x:c>
      <x:c r="F110" s="15" t="n">
        <x:v>46137</x:v>
      </x:c>
      <x:c r="G110" s="16" t="str">
        <x:v>EBANK:WIB/1505 Dr EBANK:WIB/1505471306/Edfs</x:v>
      </x:c>
      <x:c r="H110" s="14" t="str"/>
      <x:c r="I110" s="14" t="str">
        <x:v>Receipt</x:v>
      </x:c>
      <x:c r="J110" s="17" t="n">
        <x:v>0</x:v>
      </x:c>
      <x:c r="K110" s="17" t="n">
        <x:v>273418</x:v>
      </x:c>
      <x:c r="L110" s="17" t="n">
        <x:v>273418</x:v>
      </x:c>
      <x:c r="M110" s="17" t="n">
        <x:v>-9726581.33</x:v>
      </x:c>
      <x:c r="N110" s="14" t="str">
        <x:v>High Transaction; Recurring Transaction</x:v>
      </x:c>
      <x:c r="O110" s="14" t="str">
        <x:v>Yes</x:v>
      </x:c>
      <x:c r="P110" s="14" t="str">
        <x:v>EBANKWIB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1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46137</x:v>
      </x:c>
    </x:row>
    <x:row r="111">
      <x:c r="A111" s="14" t="n">
        <x:v>110</x:v>
      </x:c>
      <x:c r="B111" s="14" t="str">
        <x:v>273.pdf</x:v>
      </x:c>
      <x:c r="C111" s="15" t="n">
        <x:v>45181</x:v>
      </x:c>
      <x:c r="D111" s="15" t="n">
        <x:v>46146</x:v>
      </x:c>
      <x:c r="E111" s="15" t="n">
        <x:v>46137</x:v>
      </x:c>
      <x:c r="F111" s="15" t="n">
        <x:v>46137</x:v>
      </x:c>
      <x:c r="G111" s="16" t="str">
        <x:v>EBANK:WIB/1505 Dr EBANK:WIB/1505471386/Edfs</x:v>
      </x:c>
      <x:c r="H111" s="14" t="str"/>
      <x:c r="I111" s="14" t="str">
        <x:v>Receipt</x:v>
      </x:c>
      <x:c r="J111" s="17" t="n">
        <x:v>0</x:v>
      </x:c>
      <x:c r="K111" s="17" t="n">
        <x:v>72545.93</x:v>
      </x:c>
      <x:c r="L111" s="17" t="n">
        <x:v>72545.93</x:v>
      </x:c>
      <x:c r="M111" s="17" t="n">
        <x:v>-9654035.4</x:v>
      </x:c>
      <x:c r="N111" s="14" t="str">
        <x:v>Recurring Transaction</x:v>
      </x:c>
      <x:c r="O111" s="14" t="str">
        <x:v>Yes</x:v>
      </x:c>
      <x:c r="P111" s="14" t="str">
        <x:v>EBANKWIB</x:v>
      </x:c>
      <x:c r="Q111" s="14" t="n">
        <x:v>0</x:v>
      </x:c>
      <x:c r="R111" s="14" t="n">
        <x:v>1</x:v>
      </x:c>
      <x:c r="S111" s="14" t="n">
        <x:v>0</x:v>
      </x:c>
      <x:c r="T111" s="14" t="n">
        <x:v>0</x:v>
      </x:c>
      <x:c r="U111" s="14" t="n">
        <x:v>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46137</x:v>
      </x:c>
    </x:row>
    <x:row r="112">
      <x:c r="A112" s="14" t="n">
        <x:v>111</x:v>
      </x:c>
      <x:c r="B112" s="14" t="str">
        <x:v>273.pdf</x:v>
      </x:c>
      <x:c r="C112" s="15" t="n">
        <x:v>45181</x:v>
      </x:c>
      <x:c r="D112" s="15" t="n">
        <x:v>46146</x:v>
      </x:c>
      <x:c r="E112" s="15" t="n">
        <x:v>46137</x:v>
      </x:c>
      <x:c r="F112" s="15" t="n">
        <x:v>46137</x:v>
      </x:c>
      <x:c r="G112" s="16" t="str">
        <x:v>RTGS-BARBR5202 Dr ---------------------------------------------------------------------------------------------------------------------------------- Page Total: 24,78,719.12 21,37,571.28 99,83,685.40Dr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</x:v>
      </x:c>
      <x:c r="H112" s="14" t="str"/>
      <x:c r="I112" s="14" t="str">
        <x:v>Payment</x:v>
      </x:c>
      <x:c r="J112" s="17" t="n">
        <x:v>329650</x:v>
      </x:c>
      <x:c r="K112" s="17" t="n">
        <x:v>0</x:v>
      </x:c>
      <x:c r="L112" s="17" t="n">
        <x:v>329650</x:v>
      </x:c>
      <x:c r="M112" s="17" t="n">
        <x:v>-9983685.4</x:v>
      </x:c>
      <x:c r="N112" s="14" t="str">
        <x:v>High Transaction</x:v>
      </x:c>
      <x:c r="O112" s="14" t="str">
        <x:v>No</x:v>
      </x:c>
      <x:c r="P112" s="14" t="str">
        <x:v>BARBR DR</x:v>
      </x:c>
      <x:c r="Q112" s="14" t="n">
        <x:v>0</x:v>
      </x:c>
      <x:c r="R112" s="14" t="n">
        <x:v>0</x:v>
      </x:c>
      <x:c r="S112" s="14" t="n">
        <x:v>0</x:v>
      </x:c>
      <x:c r="T112" s="14" t="n">
        <x:v>0</x:v>
      </x:c>
      <x:c r="U112" s="14" t="n">
        <x:v>1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46137</x:v>
      </x:c>
    </x:row>
    <x:row r="113">
      <x:c r="A113" s="14" t="n">
        <x:v>112</x:v>
      </x:c>
      <x:c r="B113" s="14" t="str">
        <x:v>273.pdf</x:v>
      </x:c>
      <x:c r="C113" s="15" t="n">
        <x:v>45181</x:v>
      </x:c>
      <x:c r="D113" s="15" t="n">
        <x:v>46146</x:v>
      </x:c>
      <x:c r="E113" s="15" t="n">
        <x:v>46137</x:v>
      </x:c>
      <x:c r="F113" s="15" t="n">
        <x:v>46137</x:v>
      </x:c>
      <x:c r="G113" s="16" t="str">
        <x:v>EBANK:WIB/1505 Dr EBANK:WIB/1505585919/Edfs</x:v>
      </x:c>
      <x:c r="H113" s="14" t="str"/>
      <x:c r="I113" s="14" t="str">
        <x:v>Receipt</x:v>
      </x:c>
      <x:c r="J113" s="17" t="n">
        <x:v>0</x:v>
      </x:c>
      <x:c r="K113" s="17" t="n">
        <x:v>172247.15</x:v>
      </x:c>
      <x:c r="L113" s="17" t="n">
        <x:v>172247.15</x:v>
      </x:c>
      <x:c r="M113" s="17" t="n">
        <x:v>-9811438.25</x:v>
      </x:c>
      <x:c r="N113" s="14" t="str">
        <x:v>High Transaction; Recurring Transaction</x:v>
      </x:c>
      <x:c r="O113" s="14" t="str">
        <x:v>Yes</x:v>
      </x:c>
      <x:c r="P113" s="14" t="str">
        <x:v>EBANKWIB</x:v>
      </x:c>
      <x:c r="Q113" s="14" t="n">
        <x:v>0</x:v>
      </x:c>
      <x:c r="R113" s="14" t="n">
        <x:v>1</x:v>
      </x:c>
      <x:c r="S113" s="14" t="n">
        <x:v>0</x:v>
      </x:c>
      <x:c r="T113" s="14" t="n">
        <x:v>0</x:v>
      </x:c>
      <x:c r="U113" s="14" t="n">
        <x:v>1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46137</x:v>
      </x:c>
    </x:row>
    <x:row r="114">
      <x:c r="A114" s="14" t="n">
        <x:v>113</x:v>
      </x:c>
      <x:c r="B114" s="14" t="str">
        <x:v>273.pdf</x:v>
      </x:c>
      <x:c r="C114" s="15" t="n">
        <x:v>45181</x:v>
      </x:c>
      <x:c r="D114" s="15" t="n">
        <x:v>46146</x:v>
      </x:c>
      <x:c r="E114" s="15" t="n">
        <x:v>46138</x:v>
      </x:c>
      <x:c r="F114" s="15" t="n">
        <x:v>46138</x:v>
      </x:c>
      <x:c r="G114" s="16" t="str">
        <x:v>EBANK:WIB/1505 Dr EBANK:WIB/1505590344/Edfs</x:v>
      </x:c>
      <x:c r="H114" s="14" t="str"/>
      <x:c r="I114" s="14" t="str">
        <x:v>Receipt</x:v>
      </x:c>
      <x:c r="J114" s="17" t="n">
        <x:v>0</x:v>
      </x:c>
      <x:c r="K114" s="17" t="n">
        <x:v>300990.79</x:v>
      </x:c>
      <x:c r="L114" s="17" t="n">
        <x:v>300990.79</x:v>
      </x:c>
      <x:c r="M114" s="17" t="n">
        <x:v>-9510447.46</x:v>
      </x:c>
      <x:c r="N114" s="14" t="str">
        <x:v>High Transaction; Recurring Transaction</x:v>
      </x:c>
      <x:c r="O114" s="14" t="str">
        <x:v>Yes</x:v>
      </x:c>
      <x:c r="P114" s="14" t="str">
        <x:v>EBANKWIB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1</x:v>
      </x:c>
      <x:c r="V114" s="14" t="n">
        <x:v>0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46138</x:v>
      </x:c>
    </x:row>
    <x:row r="115">
      <x:c r="A115" s="14" t="n">
        <x:v>114</x:v>
      </x:c>
      <x:c r="B115" s="14" t="str">
        <x:v>273.pdf</x:v>
      </x:c>
      <x:c r="C115" s="15" t="n">
        <x:v>45181</x:v>
      </x:c>
      <x:c r="D115" s="15" t="n">
        <x:v>46146</x:v>
      </x:c>
      <x:c r="E115" s="15" t="n">
        <x:v>46138</x:v>
      </x:c>
      <x:c r="F115" s="15" t="n">
        <x:v>46138</x:v>
      </x:c>
      <x:c r="G115" s="16" t="str">
        <x:v>EBANK:WIB/1505 Dr EBANK:WIB/1505633295/Edfs</x:v>
      </x:c>
      <x:c r="H115" s="14" t="str"/>
      <x:c r="I115" s="14" t="str">
        <x:v>Receipt</x:v>
      </x:c>
      <x:c r="J115" s="17" t="n">
        <x:v>0</x:v>
      </x:c>
      <x:c r="K115" s="17" t="n">
        <x:v>114728</x:v>
      </x:c>
      <x:c r="L115" s="17" t="n">
        <x:v>114728</x:v>
      </x:c>
      <x:c r="M115" s="17" t="n">
        <x:v>-9395719.46</x:v>
      </x:c>
      <x:c r="N115" s="14" t="str">
        <x:v>High Transaction; Recurring Transaction</x:v>
      </x:c>
      <x:c r="O115" s="14" t="str">
        <x:v>Yes</x:v>
      </x:c>
      <x:c r="P115" s="14" t="str">
        <x:v>EBANKWIB</x:v>
      </x:c>
      <x:c r="Q115" s="14" t="n">
        <x:v>0</x:v>
      </x:c>
      <x:c r="R115" s="14" t="n">
        <x:v>1</x:v>
      </x:c>
      <x:c r="S115" s="14" t="n">
        <x:v>0</x:v>
      </x:c>
      <x:c r="T115" s="14" t="n">
        <x:v>0</x:v>
      </x:c>
      <x:c r="U115" s="14" t="n">
        <x:v>1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46138</x:v>
      </x:c>
    </x:row>
    <x:row r="116">
      <x:c r="A116" s="14" t="n">
        <x:v>115</x:v>
      </x:c>
      <x:c r="B116" s="14" t="str">
        <x:v>273.pdf</x:v>
      </x:c>
      <x:c r="C116" s="15" t="n">
        <x:v>45181</x:v>
      </x:c>
      <x:c r="D116" s="15" t="n">
        <x:v>46146</x:v>
      </x:c>
      <x:c r="E116" s="15" t="n">
        <x:v>46139</x:v>
      </x:c>
      <x:c r="F116" s="15" t="n">
        <x:v>46139</x:v>
      </x:c>
      <x:c r="G116" s="16" t="str">
        <x:v>EBANK:WIB/1505 Dr EBANK:WIB/1505672686/Edfs</x:v>
      </x:c>
      <x:c r="H116" s="14" t="str"/>
      <x:c r="I116" s="14" t="str">
        <x:v>Receipt</x:v>
      </x:c>
      <x:c r="J116" s="17" t="n">
        <x:v>0</x:v>
      </x:c>
      <x:c r="K116" s="17" t="n">
        <x:v>460000.8</x:v>
      </x:c>
      <x:c r="L116" s="17" t="n">
        <x:v>460000.8</x:v>
      </x:c>
      <x:c r="M116" s="17" t="n">
        <x:v>-8935718.66</x:v>
      </x:c>
      <x:c r="N116" s="14" t="str">
        <x:v>High Transaction; Recurring Transaction</x:v>
      </x:c>
      <x:c r="O116" s="14" t="str">
        <x:v>Yes</x:v>
      </x:c>
      <x:c r="P116" s="14" t="str">
        <x:v>EBANKWIB</x:v>
      </x:c>
      <x:c r="Q116" s="14" t="n">
        <x:v>0</x:v>
      </x:c>
      <x:c r="R116" s="14" t="n">
        <x:v>1</x:v>
      </x:c>
      <x:c r="S116" s="14" t="n">
        <x:v>0</x:v>
      </x:c>
      <x:c r="T116" s="14" t="n">
        <x:v>0</x:v>
      </x:c>
      <x:c r="U116" s="14" t="n">
        <x:v>1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46139</x:v>
      </x:c>
    </x:row>
    <x:row r="117">
      <x:c r="A117" s="14" t="n">
        <x:v>116</x:v>
      </x:c>
      <x:c r="B117" s="14" t="str">
        <x:v>273.pdf</x:v>
      </x:c>
      <x:c r="C117" s="15" t="n">
        <x:v>45181</x:v>
      </x:c>
      <x:c r="D117" s="15" t="n">
        <x:v>46146</x:v>
      </x:c>
      <x:c r="E117" s="15" t="n">
        <x:v>46139</x:v>
      </x:c>
      <x:c r="F117" s="15" t="n">
        <x:v>46139</x:v>
      </x:c>
      <x:c r="G117" s="16" t="str">
        <x:v>BY CASH Dr BY CASH</x:v>
      </x:c>
      <x:c r="H117" s="14" t="str"/>
      <x:c r="I117" s="14" t="str">
        <x:v>Receipt</x:v>
      </x:c>
      <x:c r="J117" s="17" t="n">
        <x:v>0</x:v>
      </x:c>
      <x:c r="K117" s="17" t="n">
        <x:v>774500</x:v>
      </x:c>
      <x:c r="L117" s="17" t="n">
        <x:v>774500</x:v>
      </x:c>
      <x:c r="M117" s="17" t="n">
        <x:v>-8161218.66</x:v>
      </x:c>
      <x:c r="N117" s="14" t="str">
        <x:v>Cash; High Transaction; Recurring Transaction</x:v>
      </x:c>
      <x:c r="O117" s="14" t="str">
        <x:v>Yes</x:v>
      </x:c>
      <x:c r="P117" s="14" t="str">
        <x:v>BY CASH DR BY CASH</x:v>
      </x:c>
      <x:c r="Q117" s="14" t="n">
        <x:v>1</x:v>
      </x:c>
      <x:c r="R117" s="14" t="n">
        <x:v>1</x:v>
      </x:c>
      <x:c r="S117" s="14" t="n">
        <x:v>0</x:v>
      </x:c>
      <x:c r="T117" s="14" t="n">
        <x:v>0</x:v>
      </x:c>
      <x:c r="U117" s="14" t="n">
        <x:v>1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5" t="n">
        <x:v>46139</x:v>
      </x:c>
    </x:row>
    <x:row r="118">
      <x:c r="A118" s="14" t="n">
        <x:v>117</x:v>
      </x:c>
      <x:c r="B118" s="14" t="str">
        <x:v>273.pdf</x:v>
      </x:c>
      <x:c r="C118" s="15" t="n">
        <x:v>45181</x:v>
      </x:c>
      <x:c r="D118" s="15" t="n">
        <x:v>46146</x:v>
      </x:c>
      <x:c r="E118" s="15" t="n">
        <x:v>46139</x:v>
      </x:c>
      <x:c r="F118" s="15" t="n">
        <x:v>46139</x:v>
      </x:c>
      <x:c r="G118" s="16" t="str">
        <x:v>DIGITA-MUMBAI/ Dr INT260413DEAL6345818</x:v>
      </x:c>
      <x:c r="H118" s="14" t="str"/>
      <x:c r="I118" s="14" t="str">
        <x:v>Payment</x:v>
      </x:c>
      <x:c r="J118" s="17" t="n">
        <x:v>5991.69</x:v>
      </x:c>
      <x:c r="K118" s="17" t="n">
        <x:v>0</x:v>
      </x:c>
      <x:c r="L118" s="17" t="n">
        <x:v>5991.69</x:v>
      </x:c>
      <x:c r="M118" s="17" t="n">
        <x:v>-8167210.35</x:v>
      </x:c>
      <x:c r="N118" s="14" t="str">
        <x:v>Recurring Transaction</x:v>
      </x:c>
      <x:c r="O118" s="14" t="str">
        <x:v>Yes</x:v>
      </x:c>
      <x:c r="P118" s="14" t="str">
        <x:v>DR INTDEAL</x:v>
      </x:c>
      <x:c r="Q118" s="14" t="n">
        <x:v>0</x:v>
      </x:c>
      <x:c r="R118" s="14" t="n">
        <x:v>1</x:v>
      </x:c>
      <x:c r="S118" s="14" t="n">
        <x:v>0</x:v>
      </x:c>
      <x:c r="T118" s="14" t="n">
        <x:v>0</x:v>
      </x:c>
      <x:c r="U118" s="14" t="n">
        <x:v>0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5" t="n">
        <x:v>46139</x:v>
      </x:c>
    </x:row>
    <x:row r="119">
      <x:c r="A119" s="14" t="n">
        <x:v>118</x:v>
      </x:c>
      <x:c r="B119" s="14" t="str">
        <x:v>273.pdf</x:v>
      </x:c>
      <x:c r="C119" s="15" t="n">
        <x:v>45181</x:v>
      </x:c>
      <x:c r="D119" s="15" t="n">
        <x:v>46146</x:v>
      </x:c>
      <x:c r="E119" s="15" t="n">
        <x:v>46139</x:v>
      </x:c>
      <x:c r="F119" s="15" t="n">
        <x:v>46139</x:v>
      </x:c>
      <x:c r="G119" s="16" t="str">
        <x:v>EBANK:WIB/1505 Dr EBANK:WIB/1505752441/Edfs</x:v>
      </x:c>
      <x:c r="H119" s="14" t="str"/>
      <x:c r="I119" s="14" t="str">
        <x:v>Receipt</x:v>
      </x:c>
      <x:c r="J119" s="17" t="n">
        <x:v>0</x:v>
      </x:c>
      <x:c r="K119" s="17" t="n">
        <x:v>365005</x:v>
      </x:c>
      <x:c r="L119" s="17" t="n">
        <x:v>365005</x:v>
      </x:c>
      <x:c r="M119" s="17" t="n">
        <x:v>-7802205.35</x:v>
      </x:c>
      <x:c r="N119" s="14" t="str">
        <x:v>High Transaction; Recurring Transaction</x:v>
      </x:c>
      <x:c r="O119" s="14" t="str">
        <x:v>Yes</x:v>
      </x:c>
      <x:c r="P119" s="14" t="str">
        <x:v>EBANKWIB</x:v>
      </x:c>
      <x:c r="Q119" s="14" t="n">
        <x:v>0</x:v>
      </x:c>
      <x:c r="R119" s="14" t="n">
        <x:v>1</x:v>
      </x:c>
      <x:c r="S119" s="14" t="n">
        <x:v>0</x:v>
      </x:c>
      <x:c r="T119" s="14" t="n">
        <x:v>0</x:v>
      </x:c>
      <x:c r="U119" s="14" t="n">
        <x:v>1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5" t="n">
        <x:v>46139</x:v>
      </x:c>
    </x:row>
    <x:row r="120">
      <x:c r="A120" s="14" t="n">
        <x:v>119</x:v>
      </x:c>
      <x:c r="B120" s="14" t="str">
        <x:v>273.pdf</x:v>
      </x:c>
      <x:c r="C120" s="15" t="n">
        <x:v>45181</x:v>
      </x:c>
      <x:c r="D120" s="15" t="n">
        <x:v>46146</x:v>
      </x:c>
      <x:c r="E120" s="15" t="n">
        <x:v>46139</x:v>
      </x:c>
      <x:c r="F120" s="15" t="n">
        <x:v>46139</x:v>
      </x:c>
      <x:c r="G120" s="16" t="str">
        <x:v>RTGS-BARBR5202 Dr RTGS-BARBR52026042700952483-HINDUSTAN PETROLEUM CO</x:v>
      </x:c>
      <x:c r="H120" s="14" t="str"/>
      <x:c r="I120" s="14" t="str">
        <x:v>Payment</x:v>
      </x:c>
      <x:c r="J120" s="17" t="n">
        <x:v>1064000</x:v>
      </x:c>
      <x:c r="K120" s="17" t="n">
        <x:v>0</x:v>
      </x:c>
      <x:c r="L120" s="17" t="n">
        <x:v>1064000</x:v>
      </x:c>
      <x:c r="M120" s="17" t="n">
        <x:v>-8866205.35</x:v>
      </x:c>
      <x:c r="N120" s="14" t="str">
        <x:v>High Transaction; Recurring Transaction</x:v>
      </x:c>
      <x:c r="O120" s="14" t="str">
        <x:v>Yes</x:v>
      </x:c>
      <x:c r="P120" s="14" t="str">
        <x:v>BARBR DR RTGS</x:v>
      </x:c>
      <x:c r="Q120" s="14" t="n">
        <x:v>0</x:v>
      </x:c>
      <x:c r="R120" s="14" t="n">
        <x:v>1</x:v>
      </x:c>
      <x:c r="S120" s="14" t="n">
        <x:v>0</x:v>
      </x:c>
      <x:c r="T120" s="14" t="n">
        <x:v>0</x:v>
      </x:c>
      <x:c r="U120" s="14" t="n">
        <x:v>1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5" t="n">
        <x:v>46139</x:v>
      </x:c>
    </x:row>
    <x:row r="121">
      <x:c r="A121" s="14" t="n">
        <x:v>120</x:v>
      </x:c>
      <x:c r="B121" s="14" t="str">
        <x:v>273.pdf</x:v>
      </x:c>
      <x:c r="C121" s="15" t="n">
        <x:v>45181</x:v>
      </x:c>
      <x:c r="D121" s="15" t="n">
        <x:v>46146</x:v>
      </x:c>
      <x:c r="E121" s="15" t="n">
        <x:v>46139</x:v>
      </x:c>
      <x:c r="F121" s="15" t="n">
        <x:v>46139</x:v>
      </x:c>
      <x:c r="G121" s="16" t="str">
        <x:v>RTGS-BARBR5202 Dr RTGS-BARBR52026042700958299-HINDUSTAN PETROLEUM CO</x:v>
      </x:c>
      <x:c r="H121" s="14" t="str"/>
      <x:c r="I121" s="14" t="str">
        <x:v>Payment</x:v>
      </x:c>
      <x:c r="J121" s="17" t="n">
        <x:v>768789</x:v>
      </x:c>
      <x:c r="K121" s="17" t="n">
        <x:v>0</x:v>
      </x:c>
      <x:c r="L121" s="17" t="n">
        <x:v>768789</x:v>
      </x:c>
      <x:c r="M121" s="17" t="n">
        <x:v>-9634994.35</x:v>
      </x:c>
      <x:c r="N121" s="14" t="str">
        <x:v>High Transaction; Recurring Transaction</x:v>
      </x:c>
      <x:c r="O121" s="14" t="str">
        <x:v>Yes</x:v>
      </x:c>
      <x:c r="P121" s="14" t="str">
        <x:v>BARBR DR RTGS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1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5" t="n">
        <x:v>46139</x:v>
      </x:c>
    </x:row>
    <x:row r="122">
      <x:c r="A122" s="14" t="n">
        <x:v>121</x:v>
      </x:c>
      <x:c r="B122" s="14" t="str">
        <x:v>273.pdf</x:v>
      </x:c>
      <x:c r="C122" s="15" t="n">
        <x:v>45181</x:v>
      </x:c>
      <x:c r="D122" s="15" t="n">
        <x:v>46146</x:v>
      </x:c>
      <x:c r="E122" s="15" t="n">
        <x:v>46140</x:v>
      </x:c>
      <x:c r="F122" s="15" t="n">
        <x:v>46140</x:v>
      </x:c>
      <x:c r="G122" s="16" t="str">
        <x:v>BY CASH Dr BY CASH</x:v>
      </x:c>
      <x:c r="H122" s="14" t="str"/>
      <x:c r="I122" s="14" t="str">
        <x:v>Receipt</x:v>
      </x:c>
      <x:c r="J122" s="17" t="n">
        <x:v>0</x:v>
      </x:c>
      <x:c r="K122" s="17" t="n">
        <x:v>246500</x:v>
      </x:c>
      <x:c r="L122" s="17" t="n">
        <x:v>246500</x:v>
      </x:c>
      <x:c r="M122" s="17" t="n">
        <x:v>-9388494.35</x:v>
      </x:c>
      <x:c r="N122" s="14" t="str">
        <x:v>Cash; High Transaction; Recurring Transaction</x:v>
      </x:c>
      <x:c r="O122" s="14" t="str">
        <x:v>Yes</x:v>
      </x:c>
      <x:c r="P122" s="14" t="str">
        <x:v>BY CASH DR BY CASH</x:v>
      </x:c>
      <x:c r="Q122" s="14" t="n">
        <x:v>1</x:v>
      </x:c>
      <x:c r="R122" s="14" t="n">
        <x:v>1</x:v>
      </x:c>
      <x:c r="S122" s="14" t="n">
        <x:v>0</x:v>
      </x:c>
      <x:c r="T122" s="14" t="n">
        <x:v>0</x:v>
      </x:c>
      <x:c r="U122" s="14" t="n">
        <x:v>1</x:v>
      </x:c>
      <x:c r="V122" s="14" t="n">
        <x:v>0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5" t="n">
        <x:v>46140</x:v>
      </x:c>
    </x:row>
    <x:row r="123">
      <x:c r="A123" s="14" t="n">
        <x:v>122</x:v>
      </x:c>
      <x:c r="B123" s="14" t="str">
        <x:v>273.pdf</x:v>
      </x:c>
      <x:c r="C123" s="15" t="n">
        <x:v>45181</x:v>
      </x:c>
      <x:c r="D123" s="15" t="n">
        <x:v>46146</x:v>
      </x:c>
      <x:c r="E123" s="15" t="n">
        <x:v>46140</x:v>
      </x:c>
      <x:c r="F123" s="15" t="n">
        <x:v>46140</x:v>
      </x:c>
      <x:c r="G123" s="16" t="str">
        <x:v>EBANK:WIB/1505 Dr EBANK:WIB/1505883831/Edfs</x:v>
      </x:c>
      <x:c r="H123" s="14" t="str"/>
      <x:c r="I123" s="14" t="str">
        <x:v>Receipt</x:v>
      </x:c>
      <x:c r="J123" s="17" t="n">
        <x:v>0</x:v>
      </x:c>
      <x:c r="K123" s="17" t="n">
        <x:v>402798.6</x:v>
      </x:c>
      <x:c r="L123" s="17" t="n">
        <x:v>402798.6</x:v>
      </x:c>
      <x:c r="M123" s="17" t="n">
        <x:v>-8985695.75</x:v>
      </x:c>
      <x:c r="N123" s="14" t="str">
        <x:v>High Transaction; Recurring Transaction</x:v>
      </x:c>
      <x:c r="O123" s="14" t="str">
        <x:v>Yes</x:v>
      </x:c>
      <x:c r="P123" s="14" t="str">
        <x:v>EBANKWIB</x:v>
      </x:c>
      <x:c r="Q123" s="14" t="n">
        <x:v>0</x:v>
      </x:c>
      <x:c r="R123" s="14" t="n">
        <x:v>1</x:v>
      </x:c>
      <x:c r="S123" s="14" t="n">
        <x:v>0</x:v>
      </x:c>
      <x:c r="T123" s="14" t="n">
        <x:v>0</x:v>
      </x:c>
      <x:c r="U123" s="14" t="n">
        <x:v>1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5" t="n">
        <x:v>46140</x:v>
      </x:c>
    </x:row>
    <x:row r="124">
      <x:c r="A124" s="14" t="n">
        <x:v>123</x:v>
      </x:c>
      <x:c r="B124" s="14" t="str">
        <x:v>273.pdf</x:v>
      </x:c>
      <x:c r="C124" s="15" t="n">
        <x:v>45181</x:v>
      </x:c>
      <x:c r="D124" s="15" t="n">
        <x:v>46146</x:v>
      </x:c>
      <x:c r="E124" s="15" t="n">
        <x:v>46140</x:v>
      </x:c>
      <x:c r="F124" s="15" t="n">
        <x:v>46140</x:v>
      </x:c>
      <x:c r="G124" s="16" t="str">
        <x:v>EBANK:WIB/1505 Dr EBANK:WIB/1505948506/Edfs</x:v>
      </x:c>
      <x:c r="H124" s="14" t="str"/>
      <x:c r="I124" s="14" t="str">
        <x:v>Receipt</x:v>
      </x:c>
      <x:c r="J124" s="17" t="n">
        <x:v>0</x:v>
      </x:c>
      <x:c r="K124" s="17" t="n">
        <x:v>192251.79</x:v>
      </x:c>
      <x:c r="L124" s="17" t="n">
        <x:v>192251.79</x:v>
      </x:c>
      <x:c r="M124" s="17" t="n">
        <x:v>-8793443.96</x:v>
      </x:c>
      <x:c r="N124" s="14" t="str">
        <x:v>High Transaction; Recurring Transaction</x:v>
      </x:c>
      <x:c r="O124" s="14" t="str">
        <x:v>Yes</x:v>
      </x:c>
      <x:c r="P124" s="14" t="str">
        <x:v>EBANKWIB</x:v>
      </x:c>
      <x:c r="Q124" s="14" t="n">
        <x:v>0</x:v>
      </x:c>
      <x:c r="R124" s="14" t="n">
        <x:v>1</x:v>
      </x:c>
      <x:c r="S124" s="14" t="n">
        <x:v>0</x:v>
      </x:c>
      <x:c r="T124" s="14" t="n">
        <x:v>0</x:v>
      </x:c>
      <x:c r="U124" s="14" t="n">
        <x:v>1</x:v>
      </x:c>
      <x:c r="V124" s="14" t="n">
        <x:v>0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5" t="n">
        <x:v>46140</x:v>
      </x:c>
    </x:row>
    <x:row r="125">
      <x:c r="A125" s="14" t="n">
        <x:v>124</x:v>
      </x:c>
      <x:c r="B125" s="14" t="str">
        <x:v>273.pdf</x:v>
      </x:c>
      <x:c r="C125" s="15" t="n">
        <x:v>45181</x:v>
      </x:c>
      <x:c r="D125" s="15" t="n">
        <x:v>46146</x:v>
      </x:c>
      <x:c r="E125" s="15" t="n">
        <x:v>46141</x:v>
      </x:c>
      <x:c r="F125" s="15" t="n">
        <x:v>46141</x:v>
      </x:c>
      <x:c r="G125" s="16" t="str">
        <x:v>EBANK:WIB/1505 Dr EBANK:WIB/1505959390/Edfs</x:v>
      </x:c>
      <x:c r="H125" s="14" t="str"/>
      <x:c r="I125" s="14" t="str">
        <x:v>Receipt</x:v>
      </x:c>
      <x:c r="J125" s="17" t="n">
        <x:v>0</x:v>
      </x:c>
      <x:c r="K125" s="17" t="n">
        <x:v>383365.33</x:v>
      </x:c>
      <x:c r="L125" s="17" t="n">
        <x:v>383365.33</x:v>
      </x:c>
      <x:c r="M125" s="17" t="n">
        <x:v>-8410078.63</x:v>
      </x:c>
      <x:c r="N125" s="14" t="str">
        <x:v>High Transaction; Recurring Transaction</x:v>
      </x:c>
      <x:c r="O125" s="14" t="str">
        <x:v>Yes</x:v>
      </x:c>
      <x:c r="P125" s="14" t="str">
        <x:v>EBANKWIB</x:v>
      </x:c>
      <x:c r="Q125" s="14" t="n">
        <x:v>0</x:v>
      </x:c>
      <x:c r="R125" s="14" t="n">
        <x:v>1</x:v>
      </x:c>
      <x:c r="S125" s="14" t="n">
        <x:v>0</x:v>
      </x:c>
      <x:c r="T125" s="14" t="n">
        <x:v>0</x:v>
      </x:c>
      <x:c r="U125" s="14" t="n">
        <x:v>1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5" t="n">
        <x:v>46141</x:v>
      </x:c>
    </x:row>
    <x:row r="126">
      <x:c r="A126" s="14" t="n">
        <x:v>125</x:v>
      </x:c>
      <x:c r="B126" s="14" t="str">
        <x:v>273.pdf</x:v>
      </x:c>
      <x:c r="C126" s="15" t="n">
        <x:v>45181</x:v>
      </x:c>
      <x:c r="D126" s="15" t="n">
        <x:v>46146</x:v>
      </x:c>
      <x:c r="E126" s="15" t="n">
        <x:v>46141</x:v>
      </x:c>
      <x:c r="F126" s="15" t="n">
        <x:v>46141</x:v>
      </x:c>
      <x:c r="G126" s="16" t="str">
        <x:v>PEENYA-BANGALO Dr INT260415DEAL6357250</x:v>
      </x:c>
      <x:c r="H126" s="14" t="str"/>
      <x:c r="I126" s="14" t="str">
        <x:v>Payment</x:v>
      </x:c>
      <x:c r="J126" s="17" t="n">
        <x:v>5675.17</x:v>
      </x:c>
      <x:c r="K126" s="17" t="n">
        <x:v>0</x:v>
      </x:c>
      <x:c r="L126" s="17" t="n">
        <x:v>5675.17</x:v>
      </x:c>
      <x:c r="M126" s="17" t="n">
        <x:v>-8415753.8</x:v>
      </x:c>
      <x:c r="N126" s="14" t="str">
        <x:v>Other</x:v>
      </x:c>
      <x:c r="O126" s="14" t="str">
        <x:v>No</x:v>
      </x:c>
      <x:c r="P126" s="14" t="str">
        <x:v>BANGALO DR INTDEAL</x:v>
      </x:c>
      <x:c r="Q126" s="14" t="n">
        <x:v>0</x:v>
      </x:c>
      <x:c r="R126" s="14" t="n">
        <x:v>0</x:v>
      </x:c>
      <x:c r="S126" s="14" t="n">
        <x:v>0</x:v>
      </x:c>
      <x:c r="T126" s="14" t="n">
        <x:v>0</x:v>
      </x:c>
      <x:c r="U126" s="14" t="n">
        <x:v>0</x:v>
      </x:c>
      <x:c r="V126" s="14" t="n">
        <x:v>0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5" t="n">
        <x:v>46141</x:v>
      </x:c>
    </x:row>
    <x:row r="127">
      <x:c r="A127" s="14" t="n">
        <x:v>126</x:v>
      </x:c>
      <x:c r="B127" s="14" t="str">
        <x:v>273.pdf</x:v>
      </x:c>
      <x:c r="C127" s="15" t="n">
        <x:v>45181</x:v>
      </x:c>
      <x:c r="D127" s="15" t="n">
        <x:v>46146</x:v>
      </x:c>
      <x:c r="E127" s="15" t="n">
        <x:v>46141</x:v>
      </x:c>
      <x:c r="F127" s="15" t="n">
        <x:v>46141</x:v>
      </x:c>
      <x:c r="G127" s="16" t="str">
        <x:v>VJJAVA-JAVAGAL Dr INT260415DEAL6357445</x:v>
      </x:c>
      <x:c r="H127" s="14" t="str"/>
      <x:c r="I127" s="14" t="str">
        <x:v>Payment</x:v>
      </x:c>
      <x:c r="J127" s="17" t="n">
        <x:v>224.28</x:v>
      </x:c>
      <x:c r="K127" s="17" t="n">
        <x:v>0</x:v>
      </x:c>
      <x:c r="L127" s="17" t="n">
        <x:v>224.28</x:v>
      </x:c>
      <x:c r="M127" s="17" t="n">
        <x:v>-8415978.08</x:v>
      </x:c>
      <x:c r="N127" s="14" t="str">
        <x:v>Other</x:v>
      </x:c>
      <x:c r="O127" s="14" t="str">
        <x:v>No</x:v>
      </x:c>
      <x:c r="P127" s="14" t="str">
        <x:v>JAVAGAL DR INTDEAL</x:v>
      </x:c>
      <x:c r="Q127" s="14" t="n">
        <x:v>0</x:v>
      </x:c>
      <x:c r="R127" s="14" t="n">
        <x:v>0</x:v>
      </x:c>
      <x:c r="S127" s="14" t="n">
        <x:v>0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5" t="n">
        <x:v>46141</x:v>
      </x:c>
    </x:row>
    <x:row r="128">
      <x:c r="A128" s="14" t="n">
        <x:v>127</x:v>
      </x:c>
      <x:c r="B128" s="14" t="str">
        <x:v>273.pdf</x:v>
      </x:c>
      <x:c r="C128" s="15" t="n">
        <x:v>45181</x:v>
      </x:c>
      <x:c r="D128" s="15" t="n">
        <x:v>46146</x:v>
      </x:c>
      <x:c r="E128" s="15" t="n">
        <x:v>46141</x:v>
      </x:c>
      <x:c r="F128" s="15" t="n">
        <x:v>46141</x:v>
      </x:c>
      <x:c r="G128" s="16" t="str">
        <x:v>EBANK:WIB/1505 Dr EBANK:WIB/1505997293/Edfs ---------------------------------------------------------------------------------------------------------------------------------- Page Total: 18,44,680.14 35,74,340.46 82,54,025.08Dr ---------------------------------------------------------------------------------------------------------------------------------- Note: Cheques received in inward clearing will be considered for debiting/ returning on the basis opening balance in account Unless the const</x:v>
      </x:c>
      <x:c r="H128" s="14" t="str"/>
      <x:c r="I128" s="14" t="str">
        <x:v>Receipt</x:v>
      </x:c>
      <x:c r="J128" s="17" t="n">
        <x:v>0</x:v>
      </x:c>
      <x:c r="K128" s="17" t="n">
        <x:v>161953</x:v>
      </x:c>
      <x:c r="L128" s="17" t="n">
        <x:v>161953</x:v>
      </x:c>
      <x:c r="M128" s="17" t="n">
        <x:v>-8254025.08</x:v>
      </x:c>
      <x:c r="N128" s="14" t="str">
        <x:v>High Transaction; Recurring Transaction</x:v>
      </x:c>
      <x:c r="O128" s="14" t="str">
        <x:v>Yes</x:v>
      </x:c>
      <x:c r="P128" s="14" t="str">
        <x:v>EBANKWIB</x:v>
      </x:c>
      <x:c r="Q128" s="14" t="n">
        <x:v>0</x:v>
      </x:c>
      <x:c r="R128" s="14" t="n">
        <x:v>1</x:v>
      </x:c>
      <x:c r="S128" s="14" t="n">
        <x:v>0</x:v>
      </x:c>
      <x:c r="T128" s="14" t="n">
        <x:v>0</x:v>
      </x:c>
      <x:c r="U128" s="14" t="n">
        <x:v>1</x:v>
      </x:c>
      <x:c r="V128" s="14" t="n">
        <x:v>0</x:v>
      </x:c>
      <x:c r="W128" s="14" t="n">
        <x:v>0</x:v>
      </x:c>
      <x:c r="X128" s="14" t="n">
        <x:v>0</x:v>
      </x:c>
      <x:c r="Y128" s="14" t="n">
        <x:v>0</x:v>
      </x:c>
      <x:c r="Z128" s="14" t="n">
        <x:v>0</x:v>
      </x:c>
      <x:c r="AA128" s="15" t="n">
        <x:v>46141</x:v>
      </x:c>
    </x:row>
    <x:row r="129">
      <x:c r="A129" s="14" t="n">
        <x:v>128</x:v>
      </x:c>
      <x:c r="B129" s="14" t="str">
        <x:v>273.pdf</x:v>
      </x:c>
      <x:c r="C129" s="15" t="n">
        <x:v>45181</x:v>
      </x:c>
      <x:c r="D129" s="15" t="n">
        <x:v>46146</x:v>
      </x:c>
      <x:c r="E129" s="15" t="n">
        <x:v>46141</x:v>
      </x:c>
      <x:c r="F129" s="15" t="n">
        <x:v>46141</x:v>
      </x:c>
      <x:c r="G129" s="16" t="str">
        <x:v>BAREIL-BAREILL Dr INT260416DEAL6357960</x:v>
      </x:c>
      <x:c r="H129" s="14" t="str"/>
      <x:c r="I129" s="14" t="str">
        <x:v>Payment</x:v>
      </x:c>
      <x:c r="J129" s="17" t="n">
        <x:v>124.67</x:v>
      </x:c>
      <x:c r="K129" s="17" t="n">
        <x:v>0</x:v>
      </x:c>
      <x:c r="L129" s="17" t="n">
        <x:v>124.67</x:v>
      </x:c>
      <x:c r="M129" s="17" t="n">
        <x:v>-8254149.75</x:v>
      </x:c>
      <x:c r="N129" s="14" t="str">
        <x:v>Other</x:v>
      </x:c>
      <x:c r="O129" s="14" t="str">
        <x:v>No</x:v>
      </x:c>
      <x:c r="P129" s="14" t="str">
        <x:v>BAREILL DR INTDEAL</x:v>
      </x:c>
      <x:c r="Q129" s="14" t="n">
        <x:v>0</x:v>
      </x:c>
      <x:c r="R129" s="14" t="n">
        <x:v>0</x:v>
      </x:c>
      <x:c r="S129" s="14" t="n">
        <x:v>0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  <x:c r="AA129" s="15" t="n">
        <x:v>46141</x:v>
      </x:c>
    </x:row>
    <x:row r="130">
      <x:c r="A130" s="14" t="n">
        <x:v>129</x:v>
      </x:c>
      <x:c r="B130" s="14" t="str">
        <x:v>273.pdf</x:v>
      </x:c>
      <x:c r="C130" s="15" t="n">
        <x:v>45181</x:v>
      </x:c>
      <x:c r="D130" s="15" t="n">
        <x:v>46146</x:v>
      </x:c>
      <x:c r="E130" s="15" t="n">
        <x:v>46141</x:v>
      </x:c>
      <x:c r="F130" s="15" t="n">
        <x:v>46141</x:v>
      </x:c>
      <x:c r="G130" s="16" t="str">
        <x:v>BY CASH Dr BY CASH</x:v>
      </x:c>
      <x:c r="H130" s="14" t="str"/>
      <x:c r="I130" s="14" t="str">
        <x:v>Receipt</x:v>
      </x:c>
      <x:c r="J130" s="17" t="n">
        <x:v>0</x:v>
      </x:c>
      <x:c r="K130" s="17" t="n">
        <x:v>116500</x:v>
      </x:c>
      <x:c r="L130" s="17" t="n">
        <x:v>116500</x:v>
      </x:c>
      <x:c r="M130" s="17" t="n">
        <x:v>-8137649.75</x:v>
      </x:c>
      <x:c r="N130" s="14" t="str">
        <x:v>Cash; High Transaction; Recurring Transaction</x:v>
      </x:c>
      <x:c r="O130" s="14" t="str">
        <x:v>Yes</x:v>
      </x:c>
      <x:c r="P130" s="14" t="str">
        <x:v>BY CASH DR BY CASH</x:v>
      </x:c>
      <x:c r="Q130" s="14" t="n">
        <x:v>1</x:v>
      </x:c>
      <x:c r="R130" s="14" t="n">
        <x:v>1</x:v>
      </x:c>
      <x:c r="S130" s="14" t="n">
        <x:v>0</x:v>
      </x:c>
      <x:c r="T130" s="14" t="n">
        <x:v>0</x:v>
      </x:c>
      <x:c r="U130" s="14" t="n">
        <x:v>1</x:v>
      </x:c>
      <x:c r="V130" s="14" t="n">
        <x:v>0</x:v>
      </x:c>
      <x:c r="W130" s="14" t="n">
        <x:v>0</x:v>
      </x:c>
      <x:c r="X130" s="14" t="n">
        <x:v>0</x:v>
      </x:c>
      <x:c r="Y130" s="14" t="n">
        <x:v>0</x:v>
      </x:c>
      <x:c r="Z130" s="14" t="n">
        <x:v>0</x:v>
      </x:c>
      <x:c r="AA130" s="15" t="n">
        <x:v>46141</x:v>
      </x:c>
    </x:row>
    <x:row r="131">
      <x:c r="A131" s="14" t="n">
        <x:v>130</x:v>
      </x:c>
      <x:c r="B131" s="14" t="str">
        <x:v>273.pdf</x:v>
      </x:c>
      <x:c r="C131" s="15" t="n">
        <x:v>45181</x:v>
      </x:c>
      <x:c r="D131" s="15" t="n">
        <x:v>46146</x:v>
      </x:c>
      <x:c r="E131" s="15" t="n">
        <x:v>46141</x:v>
      </x:c>
      <x:c r="F131" s="15" t="n">
        <x:v>46141</x:v>
      </x:c>
      <x:c r="G131" s="16" t="str">
        <x:v>RTGS-BARBR5202 Dr RTGS-BARBR52026042900818962-HINDUSTAN PETROLEUM CO</x:v>
      </x:c>
      <x:c r="H131" s="14" t="str"/>
      <x:c r="I131" s="14" t="str">
        <x:v>Payment</x:v>
      </x:c>
      <x:c r="J131" s="17" t="n">
        <x:v>1745850</x:v>
      </x:c>
      <x:c r="K131" s="17" t="n">
        <x:v>0</x:v>
      </x:c>
      <x:c r="L131" s="17" t="n">
        <x:v>1745850</x:v>
      </x:c>
      <x:c r="M131" s="17" t="n">
        <x:v>-9883499.75</x:v>
      </x:c>
      <x:c r="N131" s="14" t="str">
        <x:v>High Transaction; Recurring Transaction</x:v>
      </x:c>
      <x:c r="O131" s="14" t="str">
        <x:v>Yes</x:v>
      </x:c>
      <x:c r="P131" s="14" t="str">
        <x:v>BARBR DR RTGS</x:v>
      </x:c>
      <x:c r="Q131" s="14" t="n">
        <x:v>0</x:v>
      </x:c>
      <x:c r="R131" s="14" t="n">
        <x:v>1</x:v>
      </x:c>
      <x:c r="S131" s="14" t="n">
        <x:v>0</x:v>
      </x:c>
      <x:c r="T131" s="14" t="n">
        <x:v>0</x:v>
      </x:c>
      <x:c r="U131" s="14" t="n">
        <x:v>1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5" t="n">
        <x:v>46141</x:v>
      </x:c>
    </x:row>
    <x:row r="132">
      <x:c r="A132" s="14" t="n">
        <x:v>131</x:v>
      </x:c>
      <x:c r="B132" s="14" t="str">
        <x:v>273.pdf</x:v>
      </x:c>
      <x:c r="C132" s="15" t="n">
        <x:v>45181</x:v>
      </x:c>
      <x:c r="D132" s="15" t="n">
        <x:v>46146</x:v>
      </x:c>
      <x:c r="E132" s="15" t="n">
        <x:v>46141</x:v>
      </x:c>
      <x:c r="F132" s="15" t="n">
        <x:v>46141</x:v>
      </x:c>
      <x:c r="G132" s="16" t="str">
        <x:v>EBANK:WIB/1506 Dr EBANK:WIB/1506085309/Edfs</x:v>
      </x:c>
      <x:c r="H132" s="14" t="str"/>
      <x:c r="I132" s="14" t="str">
        <x:v>Receipt</x:v>
      </x:c>
      <x:c r="J132" s="17" t="n">
        <x:v>0</x:v>
      </x:c>
      <x:c r="K132" s="17" t="n">
        <x:v>93264</x:v>
      </x:c>
      <x:c r="L132" s="17" t="n">
        <x:v>93264</x:v>
      </x:c>
      <x:c r="M132" s="17" t="n">
        <x:v>-9790235.75</x:v>
      </x:c>
      <x:c r="N132" s="14" t="str">
        <x:v>Recurring Transaction</x:v>
      </x:c>
      <x:c r="O132" s="14" t="str">
        <x:v>Yes</x:v>
      </x:c>
      <x:c r="P132" s="14" t="str">
        <x:v>EBANKWIB</x:v>
      </x:c>
      <x:c r="Q132" s="14" t="n">
        <x:v>0</x:v>
      </x:c>
      <x:c r="R132" s="14" t="n">
        <x:v>1</x:v>
      </x:c>
      <x:c r="S132" s="14" t="n">
        <x:v>0</x:v>
      </x:c>
      <x:c r="T132" s="14" t="n">
        <x:v>0</x:v>
      </x:c>
      <x:c r="U132" s="14" t="n">
        <x:v>0</x:v>
      </x:c>
      <x:c r="V132" s="14" t="n">
        <x:v>0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5" t="n">
        <x:v>46141</x:v>
      </x:c>
    </x:row>
    <x:row r="133">
      <x:c r="A133" s="14" t="n">
        <x:v>132</x:v>
      </x:c>
      <x:c r="B133" s="14" t="str">
        <x:v>273.pdf</x:v>
      </x:c>
      <x:c r="C133" s="15" t="n">
        <x:v>45181</x:v>
      </x:c>
      <x:c r="D133" s="15" t="n">
        <x:v>46146</x:v>
      </x:c>
      <x:c r="E133" s="15" t="n">
        <x:v>46141</x:v>
      </x:c>
      <x:c r="F133" s="15" t="n">
        <x:v>46141</x:v>
      </x:c>
      <x:c r="G133" s="16" t="str">
        <x:v>NEFT-BARBV2611 Dr NEFT-BARBV26119745454-HINDUSTAN PETROLEUM CORPORAT</x:v>
      </x:c>
      <x:c r="H133" s="14" t="str"/>
      <x:c r="I133" s="14" t="str">
        <x:v>Payment</x:v>
      </x:c>
      <x:c r="J133" s="17" t="n">
        <x:v>116500</x:v>
      </x:c>
      <x:c r="K133" s="17" t="n">
        <x:v>0</x:v>
      </x:c>
      <x:c r="L133" s="17" t="n">
        <x:v>116500</x:v>
      </x:c>
      <x:c r="M133" s="17" t="n">
        <x:v>-9906735.75</x:v>
      </x:c>
      <x:c r="N133" s="14" t="str">
        <x:v>High Transaction</x:v>
      </x:c>
      <x:c r="O133" s="14" t="str">
        <x:v>No</x:v>
      </x:c>
      <x:c r="P133" s="14" t="str">
        <x:v>BARBV DR NEFT</x:v>
      </x:c>
      <x:c r="Q133" s="14" t="n">
        <x:v>0</x:v>
      </x:c>
      <x:c r="R133" s="14" t="n">
        <x:v>0</x:v>
      </x:c>
      <x:c r="S133" s="14" t="n">
        <x:v>0</x:v>
      </x:c>
      <x:c r="T133" s="14" t="n">
        <x:v>0</x:v>
      </x:c>
      <x:c r="U133" s="14" t="n">
        <x:v>1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0</x:v>
      </x:c>
      <x:c r="AA133" s="15" t="n">
        <x:v>46141</x:v>
      </x:c>
    </x:row>
    <x:row r="134">
      <x:c r="A134" s="14" t="n">
        <x:v>133</x:v>
      </x:c>
      <x:c r="B134" s="14" t="str">
        <x:v>273.pdf</x:v>
      </x:c>
      <x:c r="C134" s="15" t="n">
        <x:v>45181</x:v>
      </x:c>
      <x:c r="D134" s="15" t="n">
        <x:v>46146</x:v>
      </x:c>
      <x:c r="E134" s="15" t="n">
        <x:v>46141</x:v>
      </x:c>
      <x:c r="F134" s="15" t="n">
        <x:v>46141</x:v>
      </x:c>
      <x:c r="G134" s="16" t="str">
        <x:v>EBANK:WIB/1506 Dr EBANK:WIB/1506102762/Edfs</x:v>
      </x:c>
      <x:c r="H134" s="14" t="str"/>
      <x:c r="I134" s="14" t="str">
        <x:v>Receipt</x:v>
      </x:c>
      <x:c r="J134" s="17" t="n">
        <x:v>0</x:v>
      </x:c>
      <x:c r="K134" s="17" t="n">
        <x:v>92240</x:v>
      </x:c>
      <x:c r="L134" s="17" t="n">
        <x:v>92240</x:v>
      </x:c>
      <x:c r="M134" s="17" t="n">
        <x:v>-9814495.75</x:v>
      </x:c>
      <x:c r="N134" s="14" t="str">
        <x:v>Recurring Transaction</x:v>
      </x:c>
      <x:c r="O134" s="14" t="str">
        <x:v>Yes</x:v>
      </x:c>
      <x:c r="P134" s="14" t="str">
        <x:v>EBANKWIB</x:v>
      </x:c>
      <x:c r="Q134" s="14" t="n">
        <x:v>0</x:v>
      </x:c>
      <x:c r="R134" s="14" t="n">
        <x:v>1</x:v>
      </x:c>
      <x:c r="S134" s="14" t="n">
        <x:v>0</x:v>
      </x:c>
      <x:c r="T134" s="14" t="n">
        <x:v>0</x:v>
      </x:c>
      <x:c r="U134" s="14" t="n">
        <x:v>0</x:v>
      </x:c>
      <x:c r="V134" s="14" t="n">
        <x:v>0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5" t="n">
        <x:v>46141</x:v>
      </x:c>
    </x:row>
    <x:row r="135">
      <x:c r="A135" s="14" t="n">
        <x:v>134</x:v>
      </x:c>
      <x:c r="B135" s="14" t="str">
        <x:v>273.pdf</x:v>
      </x:c>
      <x:c r="C135" s="15" t="n">
        <x:v>45181</x:v>
      </x:c>
      <x:c r="D135" s="15" t="n">
        <x:v>46146</x:v>
      </x:c>
      <x:c r="E135" s="15" t="n">
        <x:v>46142</x:v>
      </x:c>
      <x:c r="F135" s="15" t="n">
        <x:v>46142</x:v>
      </x:c>
      <x:c r="G135" s="16" t="str">
        <x:v>EBANK:WIB/1506 Dr EBANK:WIB/1506112730/Edfs</x:v>
      </x:c>
      <x:c r="H135" s="14" t="str"/>
      <x:c r="I135" s="14" t="str">
        <x:v>Receipt</x:v>
      </x:c>
      <x:c r="J135" s="17" t="n">
        <x:v>0</x:v>
      </x:c>
      <x:c r="K135" s="17" t="n">
        <x:v>44070</x:v>
      </x:c>
      <x:c r="L135" s="17" t="n">
        <x:v>44070</x:v>
      </x:c>
      <x:c r="M135" s="17" t="n">
        <x:v>-9770425.75</x:v>
      </x:c>
      <x:c r="N135" s="14" t="str">
        <x:v>Recurring Transaction</x:v>
      </x:c>
      <x:c r="O135" s="14" t="str">
        <x:v>Yes</x:v>
      </x:c>
      <x:c r="P135" s="14" t="str">
        <x:v>EBANKWIB</x:v>
      </x:c>
      <x:c r="Q135" s="14" t="n">
        <x:v>0</x:v>
      </x:c>
      <x:c r="R135" s="14" t="n">
        <x:v>1</x:v>
      </x:c>
      <x:c r="S135" s="14" t="n">
        <x:v>0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0</x:v>
      </x:c>
      <x:c r="AA135" s="15" t="n">
        <x:v>46142</x:v>
      </x:c>
    </x:row>
    <x:row r="136">
      <x:c r="A136" s="14" t="n">
        <x:v>135</x:v>
      </x:c>
      <x:c r="B136" s="14" t="str">
        <x:v>273.pdf</x:v>
      </x:c>
      <x:c r="C136" s="15" t="n">
        <x:v>45181</x:v>
      </x:c>
      <x:c r="D136" s="15" t="n">
        <x:v>46146</x:v>
      </x:c>
      <x:c r="E136" s="15" t="n">
        <x:v>46142</x:v>
      </x:c>
      <x:c r="F136" s="15" t="n">
        <x:v>46142</x:v>
      </x:c>
      <x:c r="G136" s="16" t="str">
        <x:v>EBANK:WIB/1506 Dr EBANK:WIB/1506112904/Edfs</x:v>
      </x:c>
      <x:c r="H136" s="14" t="str"/>
      <x:c r="I136" s="14" t="str">
        <x:v>Receipt</x:v>
      </x:c>
      <x:c r="J136" s="17" t="n">
        <x:v>0</x:v>
      </x:c>
      <x:c r="K136" s="17" t="n">
        <x:v>429587.11</x:v>
      </x:c>
      <x:c r="L136" s="17" t="n">
        <x:v>429587.11</x:v>
      </x:c>
      <x:c r="M136" s="17" t="n">
        <x:v>-9340838.64</x:v>
      </x:c>
      <x:c r="N136" s="14" t="str">
        <x:v>High Transaction; Recurring Transaction</x:v>
      </x:c>
      <x:c r="O136" s="14" t="str">
        <x:v>Yes</x:v>
      </x:c>
      <x:c r="P136" s="14" t="str">
        <x:v>EBANKWIB</x:v>
      </x:c>
      <x:c r="Q136" s="14" t="n">
        <x:v>0</x:v>
      </x:c>
      <x:c r="R136" s="14" t="n">
        <x:v>1</x:v>
      </x:c>
      <x:c r="S136" s="14" t="n">
        <x:v>0</x:v>
      </x:c>
      <x:c r="T136" s="14" t="n">
        <x:v>0</x:v>
      </x:c>
      <x:c r="U136" s="14" t="n">
        <x:v>1</x:v>
      </x:c>
      <x:c r="V136" s="14" t="n">
        <x:v>0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5" t="n">
        <x:v>46142</x:v>
      </x:c>
    </x:row>
    <x:row r="137">
      <x:c r="A137" s="14" t="n">
        <x:v>136</x:v>
      </x:c>
      <x:c r="B137" s="14" t="str">
        <x:v>273.pdf</x:v>
      </x:c>
      <x:c r="C137" s="15" t="n">
        <x:v>45181</x:v>
      </x:c>
      <x:c r="D137" s="15" t="n">
        <x:v>46146</x:v>
      </x:c>
      <x:c r="E137" s="15" t="n">
        <x:v>46142</x:v>
      </x:c>
      <x:c r="F137" s="15" t="n">
        <x:v>46142</x:v>
      </x:c>
      <x:c r="G137" s="16" t="str">
        <x:v>NEFT-BARBX2612 Dr NEFT-BARBX26120048957-HINDUSTAN PETROLEUM CORPORAT</x:v>
      </x:c>
      <x:c r="H137" s="14" t="str"/>
      <x:c r="I137" s="14" t="str">
        <x:v>Payment</x:v>
      </x:c>
      <x:c r="J137" s="17" t="n">
        <x:v>93264</x:v>
      </x:c>
      <x:c r="K137" s="17" t="n">
        <x:v>0</x:v>
      </x:c>
      <x:c r="L137" s="17" t="n">
        <x:v>93264</x:v>
      </x:c>
      <x:c r="M137" s="17" t="n">
        <x:v>-9434102.64</x:v>
      </x:c>
      <x:c r="N137" s="14" t="str">
        <x:v>Other</x:v>
      </x:c>
      <x:c r="O137" s="14" t="str">
        <x:v>No</x:v>
      </x:c>
      <x:c r="P137" s="14" t="str">
        <x:v>BARBX DR NEFT</x:v>
      </x:c>
      <x:c r="Q137" s="14" t="n">
        <x:v>0</x:v>
      </x:c>
      <x:c r="R137" s="14" t="n">
        <x:v>0</x:v>
      </x:c>
      <x:c r="S137" s="14" t="n">
        <x:v>0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5" t="n">
        <x:v>46142</x:v>
      </x:c>
    </x:row>
    <x:row r="138">
      <x:c r="A138" s="14" t="n">
        <x:v>137</x:v>
      </x:c>
      <x:c r="B138" s="14" t="str">
        <x:v>273.pdf</x:v>
      </x:c>
      <x:c r="C138" s="15" t="n">
        <x:v>45181</x:v>
      </x:c>
      <x:c r="D138" s="15" t="n">
        <x:v>46146</x:v>
      </x:c>
      <x:c r="E138" s="15" t="n">
        <x:v>46142</x:v>
      </x:c>
      <x:c r="F138" s="15" t="n">
        <x:v>46142</x:v>
      </x:c>
      <x:c r="G138" s="16" t="str">
        <x:v>RTGS-BARBR5202 Dr RTGS-BARBR52026043000849921-HINDUSTAN PETROLEUM CO</x:v>
      </x:c>
      <x:c r="H138" s="14" t="str"/>
      <x:c r="I138" s="14" t="str">
        <x:v>Payment</x:v>
      </x:c>
      <x:c r="J138" s="17" t="n">
        <x:v>229000</x:v>
      </x:c>
      <x:c r="K138" s="17" t="n">
        <x:v>0</x:v>
      </x:c>
      <x:c r="L138" s="17" t="n">
        <x:v>229000</x:v>
      </x:c>
      <x:c r="M138" s="17" t="n">
        <x:v>-9663102.64</x:v>
      </x:c>
      <x:c r="N138" s="14" t="str">
        <x:v>High Transaction; Recurring Transaction</x:v>
      </x:c>
      <x:c r="O138" s="14" t="str">
        <x:v>Yes</x:v>
      </x:c>
      <x:c r="P138" s="14" t="str">
        <x:v>BARBR DR RTGS</x:v>
      </x:c>
      <x:c r="Q138" s="14" t="n">
        <x:v>0</x:v>
      </x:c>
      <x:c r="R138" s="14" t="n">
        <x:v>1</x:v>
      </x:c>
      <x:c r="S138" s="14" t="n">
        <x:v>0</x:v>
      </x:c>
      <x:c r="T138" s="14" t="n">
        <x:v>0</x:v>
      </x:c>
      <x:c r="U138" s="14" t="n">
        <x:v>1</x:v>
      </x:c>
      <x:c r="V138" s="14" t="n">
        <x:v>0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  <x:c r="AA138" s="15" t="n">
        <x:v>46142</x:v>
      </x:c>
    </x:row>
    <x:row r="139">
      <x:c r="A139" s="14" t="n">
        <x:v>138</x:v>
      </x:c>
      <x:c r="B139" s="14" t="str">
        <x:v>273.pdf</x:v>
      </x:c>
      <x:c r="C139" s="15" t="n">
        <x:v>45181</x:v>
      </x:c>
      <x:c r="D139" s="15" t="n">
        <x:v>46146</x:v>
      </x:c>
      <x:c r="E139" s="15" t="n">
        <x:v>46142</x:v>
      </x:c>
      <x:c r="F139" s="15" t="n">
        <x:v>46142</x:v>
      </x:c>
      <x:c r="G139" s="16" t="str">
        <x:v>BY CASH Dr BY CASH</x:v>
      </x:c>
      <x:c r="H139" s="14" t="str"/>
      <x:c r="I139" s="14" t="str">
        <x:v>Receipt</x:v>
      </x:c>
      <x:c r="J139" s="17" t="n">
        <x:v>0</x:v>
      </x:c>
      <x:c r="K139" s="17" t="n">
        <x:v>273000</x:v>
      </x:c>
      <x:c r="L139" s="17" t="n">
        <x:v>273000</x:v>
      </x:c>
      <x:c r="M139" s="17" t="n">
        <x:v>-9390102.64</x:v>
      </x:c>
      <x:c r="N139" s="14" t="str">
        <x:v>Cash; High Transaction; Recurring Transaction</x:v>
      </x:c>
      <x:c r="O139" s="14" t="str">
        <x:v>Yes</x:v>
      </x:c>
      <x:c r="P139" s="14" t="str">
        <x:v>BY CASH DR BY CASH</x:v>
      </x:c>
      <x:c r="Q139" s="14" t="n">
        <x:v>1</x:v>
      </x:c>
      <x:c r="R139" s="14" t="n">
        <x:v>1</x:v>
      </x:c>
      <x:c r="S139" s="14" t="n">
        <x:v>0</x:v>
      </x:c>
      <x:c r="T139" s="14" t="n">
        <x:v>0</x:v>
      </x:c>
      <x:c r="U139" s="14" t="n">
        <x:v>1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  <x:c r="AA139" s="15" t="n">
        <x:v>46142</x:v>
      </x:c>
    </x:row>
    <x:row r="140">
      <x:c r="A140" s="14" t="n">
        <x:v>139</x:v>
      </x:c>
      <x:c r="B140" s="14" t="str">
        <x:v>273.pdf</x:v>
      </x:c>
      <x:c r="C140" s="15" t="n">
        <x:v>45181</x:v>
      </x:c>
      <x:c r="D140" s="15" t="n">
        <x:v>46146</x:v>
      </x:c>
      <x:c r="E140" s="15" t="n">
        <x:v>46142</x:v>
      </x:c>
      <x:c r="F140" s="15" t="n">
        <x:v>46142</x:v>
      </x:c>
      <x:c r="G140" s="16" t="str">
        <x:v>EBANK:WIB/1506 Dr EBANK:WIB/1506237357/Edfs</x:v>
      </x:c>
      <x:c r="H140" s="14" t="str"/>
      <x:c r="I140" s="14" t="str">
        <x:v>Receipt</x:v>
      </x:c>
      <x:c r="J140" s="17" t="n">
        <x:v>0</x:v>
      </x:c>
      <x:c r="K140" s="17" t="n">
        <x:v>307440.05</x:v>
      </x:c>
      <x:c r="L140" s="17" t="n">
        <x:v>307440.05</x:v>
      </x:c>
      <x:c r="M140" s="17" t="n">
        <x:v>-9082662.59</x:v>
      </x:c>
      <x:c r="N140" s="14" t="str">
        <x:v>High Transaction; Recurring Transaction</x:v>
      </x:c>
      <x:c r="O140" s="14" t="str">
        <x:v>Yes</x:v>
      </x:c>
      <x:c r="P140" s="14" t="str">
        <x:v>EBANKWIB</x:v>
      </x:c>
      <x:c r="Q140" s="14" t="n">
        <x:v>0</x:v>
      </x:c>
      <x:c r="R140" s="14" t="n">
        <x:v>1</x:v>
      </x:c>
      <x:c r="S140" s="14" t="n">
        <x:v>0</x:v>
      </x:c>
      <x:c r="T140" s="14" t="n">
        <x:v>0</x:v>
      </x:c>
      <x:c r="U140" s="14" t="n">
        <x:v>1</x:v>
      </x:c>
      <x:c r="V140" s="14" t="n">
        <x:v>0</x:v>
      </x:c>
      <x:c r="W140" s="14" t="n">
        <x:v>0</x:v>
      </x:c>
      <x:c r="X140" s="14" t="n">
        <x:v>0</x:v>
      </x:c>
      <x:c r="Y140" s="14" t="n">
        <x:v>0</x:v>
      </x:c>
      <x:c r="Z140" s="14" t="n">
        <x:v>0</x:v>
      </x:c>
      <x:c r="AA140" s="15" t="n">
        <x:v>46142</x:v>
      </x:c>
    </x:row>
    <x:row r="141">
      <x:c r="A141" s="14" t="n">
        <x:v>140</x:v>
      </x:c>
      <x:c r="B141" s="14" t="str">
        <x:v>273.pdf</x:v>
      </x:c>
      <x:c r="C141" s="15" t="n">
        <x:v>45181</x:v>
      </x:c>
      <x:c r="D141" s="15" t="n">
        <x:v>46146</x:v>
      </x:c>
      <x:c r="E141" s="15" t="n">
        <x:v>46142</x:v>
      </x:c>
      <x:c r="F141" s="15" t="n">
        <x:v>46142</x:v>
      </x:c>
      <x:c r="G141" s="16" t="str">
        <x:v>EBANK:WIB/1506 Dr EBANK:WIB/1506303993/Edfs ---------------------------------------------------------------------------------------------------------------------------------- Page Total: 21,84,738.67 14,84,724.36 89,54,039.39Dr ---------------------------------------------------------------------------------------------------------------------------------- Grand Total: 2,30,94,114.44 2,41,39,693.85 89,54,039.39Dr -----------------------------------------------------------------------------------</x:v>
      </x:c>
      <x:c r="H141" s="14" t="str"/>
      <x:c r="I141" s="14" t="str">
        <x:v>Receipt</x:v>
      </x:c>
      <x:c r="J141" s="17" t="n">
        <x:v>0</x:v>
      </x:c>
      <x:c r="K141" s="17" t="n">
        <x:v>128623.2</x:v>
      </x:c>
      <x:c r="L141" s="17" t="n">
        <x:v>128623.2</x:v>
      </x:c>
      <x:c r="M141" s="17" t="n">
        <x:v>-8954039.39</x:v>
      </x:c>
      <x:c r="N141" s="14" t="str">
        <x:v>High Transaction; Recurring Transaction</x:v>
      </x:c>
      <x:c r="O141" s="14" t="str">
        <x:v>Yes</x:v>
      </x:c>
      <x:c r="P141" s="14" t="str">
        <x:v>EBANKWIB</x:v>
      </x:c>
      <x:c r="Q141" s="14" t="n">
        <x:v>0</x:v>
      </x:c>
      <x:c r="R141" s="14" t="n">
        <x:v>1</x:v>
      </x:c>
      <x:c r="S141" s="14" t="n">
        <x:v>0</x:v>
      </x:c>
      <x:c r="T141" s="14" t="n">
        <x:v>0</x:v>
      </x:c>
      <x:c r="U141" s="14" t="n">
        <x:v>1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  <x:c r="AA141" s="15" t="n">
        <x:v>46142</x:v>
      </x:c>
    </x:row>
  </x:sheetData>
  <x:pageMargins left="0.7" right="0.7" top="0.75" bottom="0.75" header="0.3" footer="0.3"/>
  <x:tableParts count="1">
    <x:tablePart xmlns:r="http://schemas.openxmlformats.org/officeDocument/2006/relationships" r:id="Rf25ddd0b07a541d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Total Transactions</x:v>
      </x:c>
      <x:c r="B1" s="25" t="str">
        <x:v>Total Transactions</x:v>
      </x:c>
      <x:c r="C1" s="25" t="str">
        <x:v>Total Transactions</x:v>
      </x:c>
      <x:c r="D1" s="25" t="str">
        <x:v>Total Transactions</x:v>
      </x:c>
      <x:c r="E1" s="25" t="str">
        <x:v>Total Transactions</x:v>
      </x:c>
      <x:c r="F1" s="25" t="str">
        <x:v>Total Transactions</x:v>
      </x:c>
      <x:c r="G1" s="25" t="str">
        <x:v>Total Transactions</x:v>
      </x:c>
      <x:c r="H1" s="25" t="str">
        <x:v>Total Transactions</x:v>
      </x:c>
      <x:c r="I1" s="25" t="str">
        <x:v>Total Transactions</x:v>
      </x:c>
      <x:c r="J1" s="25" t="str">
        <x:v>Total Transactions</x:v>
      </x:c>
      <x:c r="K1" s="25" t="str">
        <x:v>Total Transactions</x:v>
      </x:c>
      <x:c r="L1" s="25" t="str">
        <x:v>Total Transactions</x:v>
      </x:c>
      <x:c r="M1" s="25" t="str">
        <x:v>Total Transactions</x:v>
      </x:c>
      <x:c r="N1" s="25" t="str">
        <x:v>Total Transactions</x:v>
      </x:c>
      <x:c r="O1" s="25" t="str">
        <x:v>Total Transactions</x:v>
      </x:c>
      <x:c r="P1" s="25" t="str">
        <x:v>Total Transactions</x:v>
      </x:c>
      <x:c r="Q1" s="25" t="str">
        <x:v>Total Transactions</x:v>
      </x:c>
      <x:c r="R1" s="25" t="str">
        <x:v>Total Transactions</x:v>
      </x:c>
      <x:c r="S1" s="25" t="str">
        <x:v>Total Transactions</x:v>
      </x:c>
      <x:c r="T1" s="25" t="str">
        <x:v>Total Transactions</x:v>
      </x:c>
      <x:c r="U1" s="25" t="str">
        <x:v>Total Transactions</x:v>
      </x:c>
      <x:c r="V1" s="25" t="str">
        <x:v>Total Transactions</x:v>
      </x:c>
      <x:c r="W1" s="25" t="str">
        <x:v>Total Transactions</x:v>
      </x:c>
      <x:c r="X1" s="25" t="str">
        <x:v>Total Transactions</x:v>
      </x:c>
      <x:c r="Y1" s="25" t="str">
        <x:v>Total Transactions</x:v>
      </x:c>
      <x:c r="Z1" s="25" t="str">
        <x:v>Total Transactions</x:v>
      </x:c>
      <x:c r="AA1" s="25" t="str">
        <x:v>Total Transactions</x:v>
      </x:c>
    </x:row>
    <x:row r="2">
      <x:c r="A2" s="26" t="str">
        <x:v>Rows</x:v>
      </x:c>
      <x:c r="B2" s="26" t="n">
        <x:v>140</x:v>
      </x:c>
      <x:c r="C2" s="26" t="str">
        <x:v>Match</x:v>
      </x:c>
      <x:c r="D2" s="26" t="str">
        <x:v>All transactions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1</x:v>
      </x:c>
      <x:c r="B5" s="14" t="str">
        <x:v>273.pdf</x:v>
      </x:c>
      <x:c r="C5" s="15" t="n">
        <x:v>45181</x:v>
      </x:c>
      <x:c r="D5" s="15" t="n">
        <x:v>46146</x:v>
      </x:c>
      <x:c r="E5" s="15" t="n">
        <x:v>46114</x:v>
      </x:c>
      <x:c r="F5" s="15" t="n">
        <x:v>46114</x:v>
      </x:c>
      <x:c r="G5" s="16" t="str">
        <x:v>EBANK:WIB/1502 Dr EBANK:WIB/1502021829/Edfs</x:v>
      </x:c>
      <x:c r="H5" s="14" t="str"/>
      <x:c r="I5" s="14" t="str">
        <x:v>Payment</x:v>
      </x:c>
      <x:c r="J5" s="17" t="n">
        <x:v>681881.6</x:v>
      </x:c>
      <x:c r="K5" s="17" t="n">
        <x:v>0</x:v>
      </x:c>
      <x:c r="L5" s="17" t="n">
        <x:v>681881.6</x:v>
      </x:c>
      <x:c r="M5" s="17" t="n">
        <x:v>-9317737.2</x:v>
      </x:c>
      <x:c r="N5" s="14" t="str">
        <x:v>High Transaction</x:v>
      </x:c>
      <x:c r="O5" s="14" t="str">
        <x:v>No</x:v>
      </x:c>
      <x:c r="P5" s="14" t="str">
        <x:v>EBANKWIB</x:v>
      </x:c>
      <x:c r="Q5" s="14" t="n">
        <x:v>0</x:v>
      </x:c>
      <x:c r="R5" s="14" t="n">
        <x:v>0</x:v>
      </x:c>
      <x:c r="S5" s="14" t="n">
        <x:v>0</x:v>
      </x:c>
      <x:c r="T5" s="14" t="n">
        <x:v>0</x:v>
      </x:c>
      <x:c r="U5" s="14" t="n">
        <x:v>1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</x:row>
    <x:row r="6">
      <x:c r="A6" s="14" t="n">
        <x:v>2</x:v>
      </x:c>
      <x:c r="B6" s="14" t="str">
        <x:v>273.pdf</x:v>
      </x:c>
      <x:c r="C6" s="15" t="n">
        <x:v>45181</x:v>
      </x:c>
      <x:c r="D6" s="15" t="n">
        <x:v>46146</x:v>
      </x:c>
      <x:c r="E6" s="15" t="n">
        <x:v>46114</x:v>
      </x:c>
      <x:c r="F6" s="15" t="n">
        <x:v>46114</x:v>
      </x:c>
      <x:c r="G6" s="16" t="str">
        <x:v>AMBATT-CHENNAI Dr INT260319DEAL6205053</x:v>
      </x:c>
      <x:c r="H6" s="14" t="str"/>
      <x:c r="I6" s="14" t="str">
        <x:v>Payment</x:v>
      </x:c>
      <x:c r="J6" s="17" t="n">
        <x:v>5246.6</x:v>
      </x:c>
      <x:c r="K6" s="17" t="n">
        <x:v>0</x:v>
      </x:c>
      <x:c r="L6" s="17" t="n">
        <x:v>5246.6</x:v>
      </x:c>
      <x:c r="M6" s="17" t="n">
        <x:v>-9322983.8</x:v>
      </x:c>
      <x:c r="N6" s="14" t="str">
        <x:v>Other</x:v>
      </x:c>
      <x:c r="O6" s="14" t="str">
        <x:v>No</x:v>
      </x:c>
      <x:c r="P6" s="14" t="str">
        <x:v>CHENNAI DR INTDEAL</x:v>
      </x:c>
      <x:c r="Q6" s="14" t="n">
        <x:v>0</x:v>
      </x:c>
      <x:c r="R6" s="14" t="n">
        <x:v>0</x:v>
      </x:c>
      <x:c r="S6" s="14" t="n">
        <x:v>0</x:v>
      </x:c>
      <x:c r="T6" s="14" t="n">
        <x:v>0</x:v>
      </x:c>
      <x:c r="U6" s="14" t="n">
        <x:v>0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</x:row>
    <x:row r="7">
      <x:c r="A7" s="14" t="n">
        <x:v>3</x:v>
      </x:c>
      <x:c r="B7" s="14" t="str">
        <x:v>273.pdf</x:v>
      </x:c>
      <x:c r="C7" s="15" t="n">
        <x:v>45181</x:v>
      </x:c>
      <x:c r="D7" s="15" t="n">
        <x:v>46146</x:v>
      </x:c>
      <x:c r="E7" s="15" t="n">
        <x:v>46114</x:v>
      </x:c>
      <x:c r="F7" s="15" t="n">
        <x:v>46114</x:v>
      </x:c>
      <x:c r="G7" s="16" t="str">
        <x:v>EBANK:WIB/1502 Dr EBANK:WIB/1502110539/Edfs</x:v>
      </x:c>
      <x:c r="H7" s="14" t="str"/>
      <x:c r="I7" s="14" t="str">
        <x:v>Receipt</x:v>
      </x:c>
      <x:c r="J7" s="17" t="n">
        <x:v>0</x:v>
      </x:c>
      <x:c r="K7" s="17" t="n">
        <x:v>248340</x:v>
      </x:c>
      <x:c r="L7" s="17" t="n">
        <x:v>248340</x:v>
      </x:c>
      <x:c r="M7" s="17" t="n">
        <x:v>-9074643.8</x:v>
      </x:c>
      <x:c r="N7" s="14" t="str">
        <x:v>High Transaction; Recurring Transaction</x:v>
      </x:c>
      <x:c r="O7" s="14" t="str">
        <x:v>Yes</x:v>
      </x:c>
      <x:c r="P7" s="14" t="str">
        <x:v>EBANKWIB</x:v>
      </x:c>
      <x:c r="Q7" s="14" t="n">
        <x:v>0</x:v>
      </x:c>
      <x:c r="R7" s="14" t="n">
        <x:v>1</x:v>
      </x:c>
      <x:c r="S7" s="14" t="n">
        <x:v>0</x:v>
      </x:c>
      <x:c r="T7" s="14" t="n">
        <x:v>0</x:v>
      </x:c>
      <x:c r="U7" s="14" t="n">
        <x:v>1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46114</x:v>
      </x:c>
    </x:row>
    <x:row r="8">
      <x:c r="A8" s="14" t="n">
        <x:v>4</x:v>
      </x:c>
      <x:c r="B8" s="14" t="str">
        <x:v>273.pdf</x:v>
      </x:c>
      <x:c r="C8" s="15" t="n">
        <x:v>45181</x:v>
      </x:c>
      <x:c r="D8" s="15" t="n">
        <x:v>46146</x:v>
      </x:c>
      <x:c r="E8" s="15" t="n">
        <x:v>46114</x:v>
      </x:c>
      <x:c r="F8" s="15" t="n">
        <x:v>46114</x:v>
      </x:c>
      <x:c r="G8" s="16" t="str">
        <x:v>BY CASH Dr BY CASH</x:v>
      </x:c>
      <x:c r="H8" s="14" t="str"/>
      <x:c r="I8" s="14" t="str">
        <x:v>Receipt</x:v>
      </x:c>
      <x:c r="J8" s="17" t="n">
        <x:v>0</x:v>
      </x:c>
      <x:c r="K8" s="17" t="n">
        <x:v>67500</x:v>
      </x:c>
      <x:c r="L8" s="17" t="n">
        <x:v>67500</x:v>
      </x:c>
      <x:c r="M8" s="17" t="n">
        <x:v>-9007143.8</x:v>
      </x:c>
      <x:c r="N8" s="14" t="str">
        <x:v>Cash; Recurring Transaction</x:v>
      </x:c>
      <x:c r="O8" s="14" t="str">
        <x:v>Yes</x:v>
      </x:c>
      <x:c r="P8" s="14" t="str">
        <x:v>BY CASH DR BY CASH</x:v>
      </x:c>
      <x:c r="Q8" s="14" t="n">
        <x:v>1</x:v>
      </x:c>
      <x:c r="R8" s="14" t="n">
        <x:v>1</x:v>
      </x:c>
      <x:c r="S8" s="14" t="n">
        <x:v>0</x:v>
      </x:c>
      <x:c r="T8" s="14" t="n">
        <x:v>0</x:v>
      </x:c>
      <x:c r="U8" s="14" t="n">
        <x:v>0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46114</x:v>
      </x:c>
    </x:row>
    <x:row r="9">
      <x:c r="A9" s="14" t="n">
        <x:v>5</x:v>
      </x:c>
      <x:c r="B9" s="14" t="str">
        <x:v>273.pdf</x:v>
      </x:c>
      <x:c r="C9" s="15" t="n">
        <x:v>45181</x:v>
      </x:c>
      <x:c r="D9" s="15" t="n">
        <x:v>46146</x:v>
      </x:c>
      <x:c r="E9" s="15" t="n">
        <x:v>46114</x:v>
      </x:c>
      <x:c r="F9" s="15" t="n">
        <x:v>46114</x:v>
      </x:c>
      <x:c r="G9" s="16" t="str">
        <x:v>VIRARW-THANE/B Dr BY CASH</x:v>
      </x:c>
      <x:c r="H9" s="14" t="str"/>
      <x:c r="I9" s="14" t="str">
        <x:v>Receipt</x:v>
      </x:c>
      <x:c r="J9" s="17" t="n">
        <x:v>0</x:v>
      </x:c>
      <x:c r="K9" s="17" t="n">
        <x:v>426000</x:v>
      </x:c>
      <x:c r="L9" s="17" t="n">
        <x:v>426000</x:v>
      </x:c>
      <x:c r="M9" s="17" t="n">
        <x:v>-8581143.8</x:v>
      </x:c>
      <x:c r="N9" s="14" t="str">
        <x:v>Cash; High Transaction; Recurring Transaction</x:v>
      </x:c>
      <x:c r="O9" s="14" t="str">
        <x:v>Yes</x:v>
      </x:c>
      <x:c r="P9" s="14" t="str">
        <x:v>B DR BY CASH</x:v>
      </x:c>
      <x:c r="Q9" s="14" t="n">
        <x:v>1</x:v>
      </x:c>
      <x:c r="R9" s="14" t="n">
        <x:v>1</x:v>
      </x:c>
      <x:c r="S9" s="14" t="n">
        <x:v>0</x:v>
      </x:c>
      <x:c r="T9" s="14" t="n">
        <x:v>0</x:v>
      </x:c>
      <x:c r="U9" s="14" t="n">
        <x:v>1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46114</x:v>
      </x:c>
    </x:row>
    <x:row r="10">
      <x:c r="A10" s="14" t="n">
        <x:v>6</x:v>
      </x:c>
      <x:c r="B10" s="14" t="str">
        <x:v>273.pdf</x:v>
      </x:c>
      <x:c r="C10" s="15" t="n">
        <x:v>45181</x:v>
      </x:c>
      <x:c r="D10" s="15" t="n">
        <x:v>46146</x:v>
      </x:c>
      <x:c r="E10" s="15" t="n">
        <x:v>46114</x:v>
      </x:c>
      <x:c r="F10" s="15" t="n">
        <x:v>46114</x:v>
      </x:c>
      <x:c r="G10" s="16" t="str">
        <x:v>EBANK:WIB/1502 Dr EBANK:WIB/1502234210/Edfs</x:v>
      </x:c>
      <x:c r="H10" s="14" t="str"/>
      <x:c r="I10" s="14" t="str">
        <x:v>Receipt</x:v>
      </x:c>
      <x:c r="J10" s="17" t="n">
        <x:v>0</x:v>
      </x:c>
      <x:c r="K10" s="17" t="n">
        <x:v>791482.5</x:v>
      </x:c>
      <x:c r="L10" s="17" t="n">
        <x:v>791482.5</x:v>
      </x:c>
      <x:c r="M10" s="17" t="n">
        <x:v>-7789661.3</x:v>
      </x:c>
      <x:c r="N10" s="14" t="str">
        <x:v>High Transaction; Recurring Transaction</x:v>
      </x:c>
      <x:c r="O10" s="14" t="str">
        <x:v>Yes</x:v>
      </x:c>
      <x:c r="P10" s="14" t="str">
        <x:v>EBANKWIB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1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46114</x:v>
      </x:c>
    </x:row>
    <x:row r="11">
      <x:c r="A11" s="14" t="n">
        <x:v>7</x:v>
      </x:c>
      <x:c r="B11" s="14" t="str">
        <x:v>273.pdf</x:v>
      </x:c>
      <x:c r="C11" s="15" t="n">
        <x:v>45181</x:v>
      </x:c>
      <x:c r="D11" s="15" t="n">
        <x:v>46146</x:v>
      </x:c>
      <x:c r="E11" s="15" t="n">
        <x:v>46114</x:v>
      </x:c>
      <x:c r="F11" s="15" t="n">
        <x:v>46114</x:v>
      </x:c>
      <x:c r="G11" s="16" t="str">
        <x:v>RTGS-BARBR5202 Dr RTGS-BARBR52026040200930050-HINDUSTAN PETROLEUM CO</x:v>
      </x:c>
      <x:c r="H11" s="14" t="str"/>
      <x:c r="I11" s="14" t="str">
        <x:v>Payment</x:v>
      </x:c>
      <x:c r="J11" s="17" t="n">
        <x:v>1410247.26</x:v>
      </x:c>
      <x:c r="K11" s="17" t="n">
        <x:v>0</x:v>
      </x:c>
      <x:c r="L11" s="17" t="n">
        <x:v>1410247.26</x:v>
      </x:c>
      <x:c r="M11" s="17" t="n">
        <x:v>-9199908.56</x:v>
      </x:c>
      <x:c r="N11" s="14" t="str">
        <x:v>High Transaction; Recurring Transaction</x:v>
      </x:c>
      <x:c r="O11" s="14" t="str">
        <x:v>Yes</x:v>
      </x:c>
      <x:c r="P11" s="14" t="str">
        <x:v>BARBR DR RTGS</x:v>
      </x:c>
      <x:c r="Q11" s="14" t="n">
        <x:v>0</x:v>
      </x:c>
      <x:c r="R11" s="14" t="n">
        <x:v>1</x:v>
      </x:c>
      <x:c r="S11" s="14" t="n">
        <x:v>0</x:v>
      </x:c>
      <x:c r="T11" s="14" t="n">
        <x:v>0</x:v>
      </x:c>
      <x:c r="U11" s="14" t="n">
        <x:v>1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46114</x:v>
      </x:c>
    </x:row>
    <x:row r="12">
      <x:c r="A12" s="14" t="n">
        <x:v>8</x:v>
      </x:c>
      <x:c r="B12" s="14" t="str">
        <x:v>273.pdf</x:v>
      </x:c>
      <x:c r="C12" s="15" t="n">
        <x:v>45181</x:v>
      </x:c>
      <x:c r="D12" s="15" t="n">
        <x:v>46146</x:v>
      </x:c>
      <x:c r="E12" s="15" t="n">
        <x:v>46115</x:v>
      </x:c>
      <x:c r="F12" s="15" t="n">
        <x:v>46115</x:v>
      </x:c>
      <x:c r="G12" s="16" t="str">
        <x:v>EBANK:WIB/1502 Dr EBANK:WIB/1502413595/Edfs</x:v>
      </x:c>
      <x:c r="H12" s="14" t="str"/>
      <x:c r="I12" s="14" t="str">
        <x:v>Receipt</x:v>
      </x:c>
      <x:c r="J12" s="17" t="n">
        <x:v>0</x:v>
      </x:c>
      <x:c r="K12" s="17" t="n">
        <x:v>790104.58</x:v>
      </x:c>
      <x:c r="L12" s="17" t="n">
        <x:v>790104.58</x:v>
      </x:c>
      <x:c r="M12" s="17" t="n">
        <x:v>-8409803.98</x:v>
      </x:c>
      <x:c r="N12" s="14" t="str">
        <x:v>High Transaction; Recurring Transaction</x:v>
      </x:c>
      <x:c r="O12" s="14" t="str">
        <x:v>Yes</x:v>
      </x:c>
      <x:c r="P12" s="14" t="str">
        <x:v>EBANKWIB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1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46115</x:v>
      </x:c>
    </x:row>
    <x:row r="13">
      <x:c r="A13" s="14" t="n">
        <x:v>9</x:v>
      </x:c>
      <x:c r="B13" s="14" t="str">
        <x:v>273.pdf</x:v>
      </x:c>
      <x:c r="C13" s="15" t="n">
        <x:v>45181</x:v>
      </x:c>
      <x:c r="D13" s="15" t="n">
        <x:v>46146</x:v>
      </x:c>
      <x:c r="E13" s="15" t="n">
        <x:v>46116</x:v>
      </x:c>
      <x:c r="F13" s="15" t="n">
        <x:v>46116</x:v>
      </x:c>
      <x:c r="G13" s="16" t="str">
        <x:v>0000-MUMBAI/IN Dr INT260322DEAL6217382</x:v>
      </x:c>
      <x:c r="H13" s="14" t="str"/>
      <x:c r="I13" s="14" t="str">
        <x:v>Payment</x:v>
      </x:c>
      <x:c r="J13" s="17" t="n">
        <x:v>5204.27</x:v>
      </x:c>
      <x:c r="K13" s="17" t="n">
        <x:v>0</x:v>
      </x:c>
      <x:c r="L13" s="17" t="n">
        <x:v>5204.27</x:v>
      </x:c>
      <x:c r="M13" s="17" t="n">
        <x:v>-8415008.25</x:v>
      </x:c>
      <x:c r="N13" s="14" t="str">
        <x:v>Recurring Transaction</x:v>
      </x:c>
      <x:c r="O13" s="14" t="str">
        <x:v>Yes</x:v>
      </x:c>
      <x:c r="P13" s="14" t="str">
        <x:v>IN DR INTDEAL</x:v>
      </x:c>
      <x:c r="Q13" s="14" t="n">
        <x:v>0</x:v>
      </x:c>
      <x:c r="R13" s="14" t="n">
        <x:v>1</x:v>
      </x:c>
      <x:c r="S13" s="14" t="n">
        <x:v>0</x:v>
      </x:c>
      <x:c r="T13" s="14" t="n">
        <x:v>0</x:v>
      </x:c>
      <x:c r="U13" s="14" t="n">
        <x:v>0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46116</x:v>
      </x:c>
    </x:row>
    <x:row r="14">
      <x:c r="A14" s="14" t="n">
        <x:v>10</x:v>
      </x:c>
      <x:c r="B14" s="14" t="str">
        <x:v>273.pdf</x:v>
      </x:c>
      <x:c r="C14" s="15" t="n">
        <x:v>45181</x:v>
      </x:c>
      <x:c r="D14" s="15" t="n">
        <x:v>46146</x:v>
      </x:c>
      <x:c r="E14" s="15" t="n">
        <x:v>46116</x:v>
      </x:c>
      <x:c r="F14" s="15" t="n">
        <x:v>46116</x:v>
      </x:c>
      <x:c r="G14" s="16" t="str">
        <x:v>MOGHBS-MOGHALS Dr INT260323DEAL6218681</x:v>
      </x:c>
      <x:c r="H14" s="14" t="str"/>
      <x:c r="I14" s="14" t="str">
        <x:v>Payment</x:v>
      </x:c>
      <x:c r="J14" s="17" t="n">
        <x:v>54.45</x:v>
      </x:c>
      <x:c r="K14" s="17" t="n">
        <x:v>0</x:v>
      </x:c>
      <x:c r="L14" s="17" t="n">
        <x:v>54.45</x:v>
      </x:c>
      <x:c r="M14" s="17" t="n">
        <x:v>-8415062.7</x:v>
      </x:c>
      <x:c r="N14" s="14" t="str">
        <x:v>Other</x:v>
      </x:c>
      <x:c r="O14" s="14" t="str">
        <x:v>No</x:v>
      </x:c>
      <x:c r="P14" s="14" t="str">
        <x:v>MOGHALS DR INTDEAL</x:v>
      </x:c>
      <x:c r="Q14" s="14" t="n">
        <x:v>0</x:v>
      </x:c>
      <x:c r="R14" s="14" t="n">
        <x:v>0</x:v>
      </x:c>
      <x:c r="S14" s="14" t="n">
        <x:v>0</x:v>
      </x:c>
      <x:c r="T14" s="14" t="n">
        <x:v>0</x:v>
      </x:c>
      <x:c r="U14" s="14" t="n">
        <x:v>0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46116</x:v>
      </x:c>
    </x:row>
    <x:row r="15">
      <x:c r="A15" s="14" t="n">
        <x:v>11</x:v>
      </x:c>
      <x:c r="B15" s="14" t="str">
        <x:v>273.pdf</x:v>
      </x:c>
      <x:c r="C15" s="15" t="n">
        <x:v>45181</x:v>
      </x:c>
      <x:c r="D15" s="15" t="n">
        <x:v>46146</x:v>
      </x:c>
      <x:c r="E15" s="15" t="n">
        <x:v>46116</x:v>
      </x:c>
      <x:c r="F15" s="15" t="n">
        <x:v>46116</x:v>
      </x:c>
      <x:c r="G15" s="16" t="str">
        <x:v>EBANK:WIB/1502 Dr EBANK:WIB/1502423934/Edfs</x:v>
      </x:c>
      <x:c r="H15" s="14" t="str"/>
      <x:c r="I15" s="14" t="str">
        <x:v>Receipt</x:v>
      </x:c>
      <x:c r="J15" s="17" t="n">
        <x:v>0</x:v>
      </x:c>
      <x:c r="K15" s="17" t="n">
        <x:v>240091</x:v>
      </x:c>
      <x:c r="L15" s="17" t="n">
        <x:v>240091</x:v>
      </x:c>
      <x:c r="M15" s="17" t="n">
        <x:v>-8174971.7</x:v>
      </x:c>
      <x:c r="N15" s="14" t="str">
        <x:v>High Transaction; Recurring Transaction</x:v>
      </x:c>
      <x:c r="O15" s="14" t="str">
        <x:v>Yes</x:v>
      </x:c>
      <x:c r="P15" s="14" t="str">
        <x:v>EBANKWIB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1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46116</x:v>
      </x:c>
    </x:row>
    <x:row r="16">
      <x:c r="A16" s="14" t="n">
        <x:v>12</x:v>
      </x:c>
      <x:c r="B16" s="14" t="str">
        <x:v>273.pdf</x:v>
      </x:c>
      <x:c r="C16" s="15" t="n">
        <x:v>45181</x:v>
      </x:c>
      <x:c r="D16" s="15" t="n">
        <x:v>46146</x:v>
      </x:c>
      <x:c r="E16" s="15" t="n">
        <x:v>46116</x:v>
      </x:c>
      <x:c r="F16" s="15" t="n">
        <x:v>46116</x:v>
      </x:c>
      <x:c r="G16" s="16" t="str">
        <x:v>BY CASH Dr BY CASH</x:v>
      </x:c>
      <x:c r="H16" s="14" t="str"/>
      <x:c r="I16" s="14" t="str">
        <x:v>Receipt</x:v>
      </x:c>
      <x:c r="J16" s="17" t="n">
        <x:v>0</x:v>
      </x:c>
      <x:c r="K16" s="17" t="n">
        <x:v>423500</x:v>
      </x:c>
      <x:c r="L16" s="17" t="n">
        <x:v>423500</x:v>
      </x:c>
      <x:c r="M16" s="17" t="n">
        <x:v>-7751471.7</x:v>
      </x:c>
      <x:c r="N16" s="14" t="str">
        <x:v>Cash; High Transaction; Recurring Transaction</x:v>
      </x:c>
      <x:c r="O16" s="14" t="str">
        <x:v>Yes</x:v>
      </x:c>
      <x:c r="P16" s="14" t="str">
        <x:v>BY CASH DR BY CASH</x:v>
      </x:c>
      <x:c r="Q16" s="14" t="n">
        <x:v>1</x:v>
      </x:c>
      <x:c r="R16" s="14" t="n">
        <x:v>1</x:v>
      </x:c>
      <x:c r="S16" s="14" t="n">
        <x:v>0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46116</x:v>
      </x:c>
    </x:row>
    <x:row r="17">
      <x:c r="A17" s="14" t="n">
        <x:v>13</x:v>
      </x:c>
      <x:c r="B17" s="14" t="str">
        <x:v>273.pdf</x:v>
      </x:c>
      <x:c r="C17" s="15" t="n">
        <x:v>45181</x:v>
      </x:c>
      <x:c r="D17" s="15" t="n">
        <x:v>46146</x:v>
      </x:c>
      <x:c r="E17" s="15" t="n">
        <x:v>46116</x:v>
      </x:c>
      <x:c r="F17" s="15" t="n">
        <x:v>46116</x:v>
      </x:c>
      <x:c r="G17" s="16" t="str">
        <x:v>EBANK:WIB/1502 Dr ---------------------------------------------------------------------------------------------------------------------------------- Page Total: 14,20,752.58 37,89,230.05 76,31,141.33Dr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</x:v>
      </x:c>
      <x:c r="H17" s="14" t="str"/>
      <x:c r="I17" s="14" t="str">
        <x:v>Receipt</x:v>
      </x:c>
      <x:c r="J17" s="17" t="n">
        <x:v>0</x:v>
      </x:c>
      <x:c r="K17" s="17" t="n">
        <x:v>120330.37</x:v>
      </x:c>
      <x:c r="L17" s="17" t="n">
        <x:v>120330.37</x:v>
      </x:c>
      <x:c r="M17" s="17" t="n">
        <x:v>-7631141.33</x:v>
      </x:c>
      <x:c r="N17" s="14" t="str">
        <x:v>High Transaction; Recurring Transaction</x:v>
      </x:c>
      <x:c r="O17" s="14" t="str">
        <x:v>Yes</x:v>
      </x:c>
      <x:c r="P17" s="14" t="str">
        <x:v>EBANKWIB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1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46116</x:v>
      </x:c>
    </x:row>
    <x:row r="18">
      <x:c r="A18" s="14" t="n">
        <x:v>14</x:v>
      </x:c>
      <x:c r="B18" s="14" t="str">
        <x:v>273.pdf</x:v>
      </x:c>
      <x:c r="C18" s="15" t="n">
        <x:v>45181</x:v>
      </x:c>
      <x:c r="D18" s="15" t="n">
        <x:v>46146</x:v>
      </x:c>
      <x:c r="E18" s="15" t="n">
        <x:v>46116</x:v>
      </x:c>
      <x:c r="F18" s="15" t="n">
        <x:v>46116</x:v>
      </x:c>
      <x:c r="G18" s="16" t="str">
        <x:v>RTGS-BARBR5202 Dr RTGS-BARBR52026040400789528-HINDUSTAN PETROLEUM CO</x:v>
      </x:c>
      <x:c r="H18" s="14" t="str"/>
      <x:c r="I18" s="14" t="str">
        <x:v>Payment</x:v>
      </x:c>
      <x:c r="J18" s="17" t="n">
        <x:v>1854884.36</x:v>
      </x:c>
      <x:c r="K18" s="17" t="n">
        <x:v>0</x:v>
      </x:c>
      <x:c r="L18" s="17" t="n">
        <x:v>1854884.36</x:v>
      </x:c>
      <x:c r="M18" s="17" t="n">
        <x:v>-9486025.69</x:v>
      </x:c>
      <x:c r="N18" s="14" t="str">
        <x:v>High Transaction; Recurring Transaction</x:v>
      </x:c>
      <x:c r="O18" s="14" t="str">
        <x:v>Yes</x:v>
      </x:c>
      <x:c r="P18" s="14" t="str">
        <x:v>BARBR DR RTGS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1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46116</x:v>
      </x:c>
    </x:row>
    <x:row r="19">
      <x:c r="A19" s="14" t="n">
        <x:v>15</x:v>
      </x:c>
      <x:c r="B19" s="14" t="str">
        <x:v>273.pdf</x:v>
      </x:c>
      <x:c r="C19" s="15" t="n">
        <x:v>45181</x:v>
      </x:c>
      <x:c r="D19" s="15" t="n">
        <x:v>46146</x:v>
      </x:c>
      <x:c r="E19" s="15" t="n">
        <x:v>46117</x:v>
      </x:c>
      <x:c r="F19" s="15" t="n">
        <x:v>46117</x:v>
      </x:c>
      <x:c r="G19" s="16" t="str">
        <x:v>EBANK:WIB/1502 Dr EBANK:WIB/1502577386/Edfs</x:v>
      </x:c>
      <x:c r="H19" s="14" t="str"/>
      <x:c r="I19" s="14" t="str">
        <x:v>Receipt</x:v>
      </x:c>
      <x:c r="J19" s="17" t="n">
        <x:v>0</x:v>
      </x:c>
      <x:c r="K19" s="17" t="n">
        <x:v>300403.36</x:v>
      </x:c>
      <x:c r="L19" s="17" t="n">
        <x:v>300403.36</x:v>
      </x:c>
      <x:c r="M19" s="17" t="n">
        <x:v>-9185622.33</x:v>
      </x:c>
      <x:c r="N19" s="14" t="str">
        <x:v>High Transaction; Recurring Transaction</x:v>
      </x:c>
      <x:c r="O19" s="14" t="str">
        <x:v>Yes</x:v>
      </x:c>
      <x:c r="P19" s="14" t="str">
        <x:v>EBANKWIB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1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46117</x:v>
      </x:c>
    </x:row>
    <x:row r="20">
      <x:c r="A20" s="14" t="n">
        <x:v>16</x:v>
      </x:c>
      <x:c r="B20" s="14" t="str">
        <x:v>273.pdf</x:v>
      </x:c>
      <x:c r="C20" s="15" t="n">
        <x:v>45181</x:v>
      </x:c>
      <x:c r="D20" s="15" t="n">
        <x:v>46146</x:v>
      </x:c>
      <x:c r="E20" s="15" t="n">
        <x:v>46118</x:v>
      </x:c>
      <x:c r="F20" s="15" t="n">
        <x:v>46118</x:v>
      </x:c>
      <x:c r="G20" s="16" t="str">
        <x:v>EBANK:WIB/1502 Dr https://cbdrpt101.bankofbaroda.co.in:22000/finbranch/arjspmorph/INFENG/tran_rpt.jsp?... 04-05-2026 EBANK:WIB/1502642025/Edfs</x:v>
      </x:c>
      <x:c r="H20" s="14" t="str"/>
      <x:c r="I20" s="14" t="str">
        <x:v>Receipt</x:v>
      </x:c>
      <x:c r="J20" s="17" t="n">
        <x:v>0</x:v>
      </x:c>
      <x:c r="K20" s="17" t="n">
        <x:v>365780.21</x:v>
      </x:c>
      <x:c r="L20" s="17" t="n">
        <x:v>365780.21</x:v>
      </x:c>
      <x:c r="M20" s="17" t="n">
        <x:v>-8819842.12</x:v>
      </x:c>
      <x:c r="N20" s="14" t="str">
        <x:v>High Transaction; Recurring Transaction</x:v>
      </x:c>
      <x:c r="O20" s="14" t="str">
        <x:v>Yes</x:v>
      </x:c>
      <x:c r="P20" s="14" t="str">
        <x:v>EBANKWIB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1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46118</x:v>
      </x:c>
    </x:row>
    <x:row r="21">
      <x:c r="A21" s="14" t="n">
        <x:v>17</x:v>
      </x:c>
      <x:c r="B21" s="14" t="str">
        <x:v>273.pdf</x:v>
      </x:c>
      <x:c r="C21" s="15" t="n">
        <x:v>45181</x:v>
      </x:c>
      <x:c r="D21" s="15" t="n">
        <x:v>46146</x:v>
      </x:c>
      <x:c r="E21" s="15" t="n">
        <x:v>46118</x:v>
      </x:c>
      <x:c r="F21" s="15" t="n">
        <x:v>46118</x:v>
      </x:c>
      <x:c r="G21" s="16" t="str">
        <x:v>BY CASH Dr BY CASH</x:v>
      </x:c>
      <x:c r="H21" s="14" t="str"/>
      <x:c r="I21" s="14" t="str">
        <x:v>Receipt</x:v>
      </x:c>
      <x:c r="J21" s="17" t="n">
        <x:v>0</x:v>
      </x:c>
      <x:c r="K21" s="17" t="n">
        <x:v>273000</x:v>
      </x:c>
      <x:c r="L21" s="17" t="n">
        <x:v>273000</x:v>
      </x:c>
      <x:c r="M21" s="17" t="n">
        <x:v>-8546842.12</x:v>
      </x:c>
      <x:c r="N21" s="14" t="str">
        <x:v>Cash; High Transaction; Recurring Transaction</x:v>
      </x:c>
      <x:c r="O21" s="14" t="str">
        <x:v>Yes</x:v>
      </x:c>
      <x:c r="P21" s="14" t="str">
        <x:v>BY CASH DR BY CASH</x:v>
      </x:c>
      <x:c r="Q21" s="14" t="n">
        <x:v>1</x:v>
      </x:c>
      <x:c r="R21" s="14" t="n">
        <x:v>1</x:v>
      </x:c>
      <x:c r="S21" s="14" t="n">
        <x:v>0</x:v>
      </x:c>
      <x:c r="T21" s="14" t="n">
        <x:v>0</x:v>
      </x:c>
      <x:c r="U21" s="14" t="n">
        <x:v>1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46118</x:v>
      </x:c>
    </x:row>
    <x:row r="22">
      <x:c r="A22" s="14" t="n">
        <x:v>18</x:v>
      </x:c>
      <x:c r="B22" s="14" t="str">
        <x:v>273.pdf</x:v>
      </x:c>
      <x:c r="C22" s="15" t="n">
        <x:v>45181</x:v>
      </x:c>
      <x:c r="D22" s="15" t="n">
        <x:v>46146</x:v>
      </x:c>
      <x:c r="E22" s="15" t="n">
        <x:v>46118</x:v>
      </x:c>
      <x:c r="F22" s="15" t="n">
        <x:v>46118</x:v>
      </x:c>
      <x:c r="G22" s="16" t="str">
        <x:v>EBANK:WIB/1502 Dr EBANK:WIB/1502790855/Edfs</x:v>
      </x:c>
      <x:c r="H22" s="14" t="str"/>
      <x:c r="I22" s="14" t="str">
        <x:v>Receipt</x:v>
      </x:c>
      <x:c r="J22" s="17" t="n">
        <x:v>0</x:v>
      </x:c>
      <x:c r="K22" s="17" t="n">
        <x:v>198114</x:v>
      </x:c>
      <x:c r="L22" s="17" t="n">
        <x:v>198114</x:v>
      </x:c>
      <x:c r="M22" s="17" t="n">
        <x:v>-8348728.12</x:v>
      </x:c>
      <x:c r="N22" s="14" t="str">
        <x:v>High Transaction; Recurring Transaction</x:v>
      </x:c>
      <x:c r="O22" s="14" t="str">
        <x:v>Yes</x:v>
      </x:c>
      <x:c r="P22" s="14" t="str">
        <x:v>EBANKWIB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1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46118</x:v>
      </x:c>
    </x:row>
    <x:row r="23">
      <x:c r="A23" s="14" t="n">
        <x:v>19</x:v>
      </x:c>
      <x:c r="B23" s="14" t="str">
        <x:v>273.pdf</x:v>
      </x:c>
      <x:c r="C23" s="15" t="n">
        <x:v>45181</x:v>
      </x:c>
      <x:c r="D23" s="15" t="n">
        <x:v>46146</x:v>
      </x:c>
      <x:c r="E23" s="15" t="n">
        <x:v>46118</x:v>
      </x:c>
      <x:c r="F23" s="15" t="n">
        <x:v>46118</x:v>
      </x:c>
      <x:c r="G23" s="16" t="str">
        <x:v>BASGUR-GURGAON Dr INT260324DEAL6234708</x:v>
      </x:c>
      <x:c r="H23" s="14" t="str"/>
      <x:c r="I23" s="14" t="str">
        <x:v>Payment</x:v>
      </x:c>
      <x:c r="J23" s="17" t="n">
        <x:v>5732.4</x:v>
      </x:c>
      <x:c r="K23" s="17" t="n">
        <x:v>0</x:v>
      </x:c>
      <x:c r="L23" s="17" t="n">
        <x:v>5732.4</x:v>
      </x:c>
      <x:c r="M23" s="17" t="n">
        <x:v>-8354460.52</x:v>
      </x:c>
      <x:c r="N23" s="14" t="str">
        <x:v>Other</x:v>
      </x:c>
      <x:c r="O23" s="14" t="str">
        <x:v>No</x:v>
      </x:c>
      <x:c r="P23" s="14" t="str">
        <x:v>GURGAON DR INTDEAL</x:v>
      </x:c>
      <x:c r="Q23" s="14" t="n">
        <x:v>0</x:v>
      </x:c>
      <x:c r="R23" s="14" t="n">
        <x:v>0</x:v>
      </x:c>
      <x:c r="S23" s="14" t="n">
        <x:v>0</x:v>
      </x:c>
      <x:c r="T23" s="14" t="n">
        <x:v>0</x:v>
      </x:c>
      <x:c r="U23" s="14" t="n">
        <x:v>0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46118</x:v>
      </x:c>
    </x:row>
    <x:row r="24">
      <x:c r="A24" s="14" t="n">
        <x:v>20</x:v>
      </x:c>
      <x:c r="B24" s="14" t="str">
        <x:v>273.pdf</x:v>
      </x:c>
      <x:c r="C24" s="15" t="n">
        <x:v>45181</x:v>
      </x:c>
      <x:c r="D24" s="15" t="n">
        <x:v>46146</x:v>
      </x:c>
      <x:c r="E24" s="15" t="n">
        <x:v>46119</x:v>
      </x:c>
      <x:c r="F24" s="15" t="n">
        <x:v>46119</x:v>
      </x:c>
      <x:c r="G24" s="16" t="str">
        <x:v>EBANK:WIB/1502 Dr EBANK:WIB/1502821939/Edfs</x:v>
      </x:c>
      <x:c r="H24" s="14" t="str"/>
      <x:c r="I24" s="14" t="str">
        <x:v>Receipt</x:v>
      </x:c>
      <x:c r="J24" s="17" t="n">
        <x:v>0</x:v>
      </x:c>
      <x:c r="K24" s="17" t="n">
        <x:v>330493.07</x:v>
      </x:c>
      <x:c r="L24" s="17" t="n">
        <x:v>330493.07</x:v>
      </x:c>
      <x:c r="M24" s="17" t="n">
        <x:v>-8023967.45</x:v>
      </x:c>
      <x:c r="N24" s="14" t="str">
        <x:v>High Transaction; Recurring Transaction</x:v>
      </x:c>
      <x:c r="O24" s="14" t="str">
        <x:v>Yes</x:v>
      </x:c>
      <x:c r="P24" s="14" t="str">
        <x:v>EBANKWIB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1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46119</x:v>
      </x:c>
    </x:row>
    <x:row r="25">
      <x:c r="A25" s="14" t="n">
        <x:v>21</x:v>
      </x:c>
      <x:c r="B25" s="14" t="str">
        <x:v>273.pdf</x:v>
      </x:c>
      <x:c r="C25" s="15" t="n">
        <x:v>45181</x:v>
      </x:c>
      <x:c r="D25" s="15" t="n">
        <x:v>46146</x:v>
      </x:c>
      <x:c r="E25" s="15" t="n">
        <x:v>46119</x:v>
      </x:c>
      <x:c r="F25" s="15" t="n">
        <x:v>46119</x:v>
      </x:c>
      <x:c r="G25" s="16" t="str">
        <x:v>EBANK:WIB/1502 Dr EBANK:WIB/1502986421/Edfs</x:v>
      </x:c>
      <x:c r="H25" s="14" t="str"/>
      <x:c r="I25" s="14" t="str">
        <x:v>Receipt</x:v>
      </x:c>
      <x:c r="J25" s="17" t="n">
        <x:v>0</x:v>
      </x:c>
      <x:c r="K25" s="17" t="n">
        <x:v>137582.35</x:v>
      </x:c>
      <x:c r="L25" s="17" t="n">
        <x:v>137582.35</x:v>
      </x:c>
      <x:c r="M25" s="17" t="n">
        <x:v>-7886385.1</x:v>
      </x:c>
      <x:c r="N25" s="14" t="str">
        <x:v>High Transaction; Recurring Transaction</x:v>
      </x:c>
      <x:c r="O25" s="14" t="str">
        <x:v>Yes</x:v>
      </x:c>
      <x:c r="P25" s="14" t="str">
        <x:v>EBANKWIB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1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46119</x:v>
      </x:c>
    </x:row>
    <x:row r="26">
      <x:c r="A26" s="14" t="n">
        <x:v>22</x:v>
      </x:c>
      <x:c r="B26" s="14" t="str">
        <x:v>273.pdf</x:v>
      </x:c>
      <x:c r="C26" s="15" t="n">
        <x:v>45181</x:v>
      </x:c>
      <x:c r="D26" s="15" t="n">
        <x:v>46146</x:v>
      </x:c>
      <x:c r="E26" s="15" t="n">
        <x:v>46119</x:v>
      </x:c>
      <x:c r="F26" s="15" t="n">
        <x:v>46119</x:v>
      </x:c>
      <x:c r="G26" s="16" t="str">
        <x:v>RTGS-BARBR5202 Dr RTGS-BARBR52026040700945156-HINDUSTAN PETROLEUM CO</x:v>
      </x:c>
      <x:c r="H26" s="14" t="str"/>
      <x:c r="I26" s="14" t="str">
        <x:v>Payment</x:v>
      </x:c>
      <x:c r="J26" s="17" t="n">
        <x:v>1902609.28</x:v>
      </x:c>
      <x:c r="K26" s="17" t="n">
        <x:v>0</x:v>
      </x:c>
      <x:c r="L26" s="17" t="n">
        <x:v>1902609.28</x:v>
      </x:c>
      <x:c r="M26" s="17" t="n">
        <x:v>-9788994.38</x:v>
      </x:c>
      <x:c r="N26" s="14" t="str">
        <x:v>High Transaction; Recurring Transaction</x:v>
      </x:c>
      <x:c r="O26" s="14" t="str">
        <x:v>Yes</x:v>
      </x:c>
      <x:c r="P26" s="14" t="str">
        <x:v>BARBR DR RTGS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1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46119</x:v>
      </x:c>
    </x:row>
    <x:row r="27">
      <x:c r="A27" s="14" t="n">
        <x:v>23</x:v>
      </x:c>
      <x:c r="B27" s="14" t="str">
        <x:v>273.pdf</x:v>
      </x:c>
      <x:c r="C27" s="15" t="n">
        <x:v>45181</x:v>
      </x:c>
      <x:c r="D27" s="15" t="n">
        <x:v>46146</x:v>
      </x:c>
      <x:c r="E27" s="15" t="n">
        <x:v>46120</x:v>
      </x:c>
      <x:c r="F27" s="15" t="n">
        <x:v>46120</x:v>
      </x:c>
      <x:c r="G27" s="16" t="str">
        <x:v>EBANK:WIB/1503 Dr EBANK:WIB/1503050809/Edfs</x:v>
      </x:c>
      <x:c r="H27" s="14" t="str"/>
      <x:c r="I27" s="14" t="str">
        <x:v>Receipt</x:v>
      </x:c>
      <x:c r="J27" s="17" t="n">
        <x:v>0</x:v>
      </x:c>
      <x:c r="K27" s="17" t="n">
        <x:v>381113</x:v>
      </x:c>
      <x:c r="L27" s="17" t="n">
        <x:v>381113</x:v>
      </x:c>
      <x:c r="M27" s="17" t="n">
        <x:v>-9407881.38</x:v>
      </x:c>
      <x:c r="N27" s="14" t="str">
        <x:v>High Transaction; Recurring Transaction</x:v>
      </x:c>
      <x:c r="O27" s="14" t="str">
        <x:v>Yes</x:v>
      </x:c>
      <x:c r="P27" s="14" t="str">
        <x:v>EBANKWIB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1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46120</x:v>
      </x:c>
    </x:row>
    <x:row r="28">
      <x:c r="A28" s="14" t="n">
        <x:v>24</x:v>
      </x:c>
      <x:c r="B28" s="14" t="str">
        <x:v>273.pdf</x:v>
      </x:c>
      <x:c r="C28" s="15" t="n">
        <x:v>45181</x:v>
      </x:c>
      <x:c r="D28" s="15" t="n">
        <x:v>46146</x:v>
      </x:c>
      <x:c r="E28" s="15" t="n">
        <x:v>46120</x:v>
      </x:c>
      <x:c r="F28" s="15" t="n">
        <x:v>46120</x:v>
      </x:c>
      <x:c r="G28" s="16" t="str">
        <x:v>BY CASH Dr BY CASH</x:v>
      </x:c>
      <x:c r="H28" s="14" t="str"/>
      <x:c r="I28" s="14" t="str">
        <x:v>Receipt</x:v>
      </x:c>
      <x:c r="J28" s="17" t="n">
        <x:v>0</x:v>
      </x:c>
      <x:c r="K28" s="17" t="n">
        <x:v>115000</x:v>
      </x:c>
      <x:c r="L28" s="17" t="n">
        <x:v>115000</x:v>
      </x:c>
      <x:c r="M28" s="17" t="n">
        <x:v>-9292881.38</x:v>
      </x:c>
      <x:c r="N28" s="14" t="str">
        <x:v>Cash; High Transaction; Recurring Transaction</x:v>
      </x:c>
      <x:c r="O28" s="14" t="str">
        <x:v>Yes</x:v>
      </x:c>
      <x:c r="P28" s="14" t="str">
        <x:v>BY CASH DR BY CASH</x:v>
      </x:c>
      <x:c r="Q28" s="14" t="n">
        <x:v>1</x:v>
      </x:c>
      <x:c r="R28" s="14" t="n">
        <x:v>1</x:v>
      </x:c>
      <x:c r="S28" s="14" t="n">
        <x:v>0</x:v>
      </x:c>
      <x:c r="T28" s="14" t="n">
        <x:v>0</x:v>
      </x:c>
      <x:c r="U28" s="14" t="n">
        <x:v>1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46120</x:v>
      </x:c>
    </x:row>
    <x:row r="29">
      <x:c r="A29" s="14" t="n">
        <x:v>25</x:v>
      </x:c>
      <x:c r="B29" s="14" t="str">
        <x:v>273.pdf</x:v>
      </x:c>
      <x:c r="C29" s="15" t="n">
        <x:v>45181</x:v>
      </x:c>
      <x:c r="D29" s="15" t="n">
        <x:v>46146</x:v>
      </x:c>
      <x:c r="E29" s="15" t="n">
        <x:v>46120</x:v>
      </x:c>
      <x:c r="F29" s="15" t="n">
        <x:v>46120</x:v>
      </x:c>
      <x:c r="G29" s="16" t="str">
        <x:v>EBANK:WIB/1503 Dr EBANK:WIB/1503170712/Edfs</x:v>
      </x:c>
      <x:c r="H29" s="14" t="str"/>
      <x:c r="I29" s="14" t="str">
        <x:v>Receipt</x:v>
      </x:c>
      <x:c r="J29" s="17" t="n">
        <x:v>0</x:v>
      </x:c>
      <x:c r="K29" s="17" t="n">
        <x:v>108620</x:v>
      </x:c>
      <x:c r="L29" s="17" t="n">
        <x:v>108620</x:v>
      </x:c>
      <x:c r="M29" s="17" t="n">
        <x:v>-9184261.38</x:v>
      </x:c>
      <x:c r="N29" s="14" t="str">
        <x:v>High Transaction; Recurring Transaction</x:v>
      </x:c>
      <x:c r="O29" s="14" t="str">
        <x:v>Yes</x:v>
      </x:c>
      <x:c r="P29" s="14" t="str">
        <x:v>EBANKWIB</x:v>
      </x:c>
      <x:c r="Q29" s="14" t="n">
        <x:v>0</x:v>
      </x:c>
      <x:c r="R29" s="14" t="n">
        <x:v>1</x:v>
      </x:c>
      <x:c r="S29" s="14" t="n">
        <x:v>0</x:v>
      </x:c>
      <x:c r="T29" s="14" t="n">
        <x:v>0</x:v>
      </x:c>
      <x:c r="U29" s="14" t="n">
        <x:v>1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46120</x:v>
      </x:c>
    </x:row>
    <x:row r="30">
      <x:c r="A30" s="14" t="n">
        <x:v>26</x:v>
      </x:c>
      <x:c r="B30" s="14" t="str">
        <x:v>273.pdf</x:v>
      </x:c>
      <x:c r="C30" s="15" t="n">
        <x:v>45181</x:v>
      </x:c>
      <x:c r="D30" s="15" t="n">
        <x:v>46146</x:v>
      </x:c>
      <x:c r="E30" s="15" t="n">
        <x:v>46121</x:v>
      </x:c>
      <x:c r="F30" s="15" t="n">
        <x:v>46121</x:v>
      </x:c>
      <x:c r="G30" s="16" t="str">
        <x:v>0000-MUMBAI/IN Dr INT260325DEAL6242558</x:v>
      </x:c>
      <x:c r="H30" s="14" t="str"/>
      <x:c r="I30" s="14" t="str">
        <x:v>Payment</x:v>
      </x:c>
      <x:c r="J30" s="17" t="n">
        <x:v>5694.93</x:v>
      </x:c>
      <x:c r="K30" s="17" t="n">
        <x:v>0</x:v>
      </x:c>
      <x:c r="L30" s="17" t="n">
        <x:v>5694.93</x:v>
      </x:c>
      <x:c r="M30" s="17" t="n">
        <x:v>-9189956.31</x:v>
      </x:c>
      <x:c r="N30" s="14" t="str">
        <x:v>Recurring Transaction</x:v>
      </x:c>
      <x:c r="O30" s="14" t="str">
        <x:v>Yes</x:v>
      </x:c>
      <x:c r="P30" s="14" t="str">
        <x:v>IN DR INTDEAL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0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46121</x:v>
      </x:c>
    </x:row>
    <x:row r="31">
      <x:c r="A31" s="14" t="n">
        <x:v>27</x:v>
      </x:c>
      <x:c r="B31" s="14" t="str">
        <x:v>273.pdf</x:v>
      </x:c>
      <x:c r="C31" s="15" t="n">
        <x:v>45181</x:v>
      </x:c>
      <x:c r="D31" s="15" t="n">
        <x:v>46146</x:v>
      </x:c>
      <x:c r="E31" s="15" t="n">
        <x:v>46121</x:v>
      </x:c>
      <x:c r="F31" s="15" t="n">
        <x:v>46121</x:v>
      </x:c>
      <x:c r="G31" s="16" t="str">
        <x:v>0000-MUMBAI/IN Dr INT260325DEAL6242558</x:v>
      </x:c>
      <x:c r="H31" s="14" t="str"/>
      <x:c r="I31" s="14" t="str">
        <x:v>Receipt</x:v>
      </x:c>
      <x:c r="J31" s="17" t="n">
        <x:v>0</x:v>
      </x:c>
      <x:c r="K31" s="17" t="n">
        <x:v>25.59</x:v>
      </x:c>
      <x:c r="L31" s="17" t="n">
        <x:v>25.59</x:v>
      </x:c>
      <x:c r="M31" s="17" t="n">
        <x:v>-9189930.72</x:v>
      </x:c>
      <x:c r="N31" s="14" t="str">
        <x:v>Recurring Transaction</x:v>
      </x:c>
      <x:c r="O31" s="14" t="str">
        <x:v>Yes</x:v>
      </x:c>
      <x:c r="P31" s="14" t="str">
        <x:v>IN DR INTDEAL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0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46121</x:v>
      </x:c>
    </x:row>
    <x:row r="32">
      <x:c r="A32" s="14" t="n">
        <x:v>28</x:v>
      </x:c>
      <x:c r="B32" s="14" t="str">
        <x:v>273.pdf</x:v>
      </x:c>
      <x:c r="C32" s="15" t="n">
        <x:v>45181</x:v>
      </x:c>
      <x:c r="D32" s="15" t="n">
        <x:v>46146</x:v>
      </x:c>
      <x:c r="E32" s="15" t="n">
        <x:v>46121</x:v>
      </x:c>
      <x:c r="F32" s="15" t="n">
        <x:v>46121</x:v>
      </x:c>
      <x:c r="G32" s="16" t="str">
        <x:v>BY CASH Dr BY CASH</x:v>
      </x:c>
      <x:c r="H32" s="14" t="str"/>
      <x:c r="I32" s="14" t="str">
        <x:v>Receipt</x:v>
      </x:c>
      <x:c r="J32" s="17" t="n">
        <x:v>0</x:v>
      </x:c>
      <x:c r="K32" s="17" t="n">
        <x:v>180000</x:v>
      </x:c>
      <x:c r="L32" s="17" t="n">
        <x:v>180000</x:v>
      </x:c>
      <x:c r="M32" s="17" t="n">
        <x:v>-9009930.72</x:v>
      </x:c>
      <x:c r="N32" s="14" t="str">
        <x:v>Cash; High Transaction; Recurring Transaction</x:v>
      </x:c>
      <x:c r="O32" s="14" t="str">
        <x:v>Yes</x:v>
      </x:c>
      <x:c r="P32" s="14" t="str">
        <x:v>BY CASH DR BY CASH</x:v>
      </x:c>
      <x:c r="Q32" s="14" t="n">
        <x:v>1</x:v>
      </x:c>
      <x:c r="R32" s="14" t="n">
        <x:v>1</x:v>
      </x:c>
      <x:c r="S32" s="14" t="n">
        <x:v>0</x:v>
      </x:c>
      <x:c r="T32" s="14" t="n">
        <x:v>0</x:v>
      </x:c>
      <x:c r="U32" s="14" t="n">
        <x:v>1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46121</x:v>
      </x:c>
    </x:row>
    <x:row r="33">
      <x:c r="A33" s="14" t="n">
        <x:v>29</x:v>
      </x:c>
      <x:c r="B33" s="14" t="str">
        <x:v>273.pdf</x:v>
      </x:c>
      <x:c r="C33" s="15" t="n">
        <x:v>45181</x:v>
      </x:c>
      <x:c r="D33" s="15" t="n">
        <x:v>46146</x:v>
      </x:c>
      <x:c r="E33" s="15" t="n">
        <x:v>46121</x:v>
      </x:c>
      <x:c r="F33" s="15" t="n">
        <x:v>46121</x:v>
      </x:c>
      <x:c r="G33" s="16" t="str">
        <x:v>EBANK:WIB/1503 Dr EBANK:WIB/1503311707/Edfs ---------------------------------------------------------------------------------------------------------------------------------- Page Total: 37,68,920.97 27,70,249.58 86,29,812.72Dr ---------------------------------------------------------------------------------------------------------------------------------- Note: Cheques received in inward clearing will be considered for debiting/ returning on the basis opening balance in account Unless the const</x:v>
      </x:c>
      <x:c r="H33" s="14" t="str"/>
      <x:c r="I33" s="14" t="str">
        <x:v>Receipt</x:v>
      </x:c>
      <x:c r="J33" s="17" t="n">
        <x:v>0</x:v>
      </x:c>
      <x:c r="K33" s="17" t="n">
        <x:v>380118</x:v>
      </x:c>
      <x:c r="L33" s="17" t="n">
        <x:v>380118</x:v>
      </x:c>
      <x:c r="M33" s="17" t="n">
        <x:v>-8629812.72</x:v>
      </x:c>
      <x:c r="N33" s="14" t="str">
        <x:v>High Transaction; Recurring Transaction</x:v>
      </x:c>
      <x:c r="O33" s="14" t="str">
        <x:v>Yes</x:v>
      </x:c>
      <x:c r="P33" s="14" t="str">
        <x:v>EBANKWIB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1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46121</x:v>
      </x:c>
    </x:row>
    <x:row r="34">
      <x:c r="A34" s="14" t="n">
        <x:v>30</x:v>
      </x:c>
      <x:c r="B34" s="14" t="str">
        <x:v>273.pdf</x:v>
      </x:c>
      <x:c r="C34" s="15" t="n">
        <x:v>45181</x:v>
      </x:c>
      <x:c r="D34" s="15" t="n">
        <x:v>46146</x:v>
      </x:c>
      <x:c r="E34" s="15" t="n">
        <x:v>46122</x:v>
      </x:c>
      <x:c r="F34" s="15" t="n">
        <x:v>46122</x:v>
      </x:c>
      <x:c r="G34" s="16" t="str">
        <x:v>EBANK:WIB/1503 Dr EBANK:WIB/1503339201/Edfs</x:v>
      </x:c>
      <x:c r="H34" s="14" t="str"/>
      <x:c r="I34" s="14" t="str">
        <x:v>Receipt</x:v>
      </x:c>
      <x:c r="J34" s="17" t="n">
        <x:v>0</x:v>
      </x:c>
      <x:c r="K34" s="17" t="n">
        <x:v>432999</x:v>
      </x:c>
      <x:c r="L34" s="17" t="n">
        <x:v>432999</x:v>
      </x:c>
      <x:c r="M34" s="17" t="n">
        <x:v>-8196813.72</x:v>
      </x:c>
      <x:c r="N34" s="14" t="str">
        <x:v>High Transaction; Recurring Transaction</x:v>
      </x:c>
      <x:c r="O34" s="14" t="str">
        <x:v>Yes</x:v>
      </x:c>
      <x:c r="P34" s="14" t="str">
        <x:v>EBANKWIB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1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46122</x:v>
      </x:c>
    </x:row>
    <x:row r="35">
      <x:c r="A35" s="14" t="n">
        <x:v>31</x:v>
      </x:c>
      <x:c r="B35" s="14" t="str">
        <x:v>273.pdf</x:v>
      </x:c>
      <x:c r="C35" s="15" t="n">
        <x:v>45181</x:v>
      </x:c>
      <x:c r="D35" s="15" t="n">
        <x:v>46146</x:v>
      </x:c>
      <x:c r="E35" s="15" t="n">
        <x:v>46122</x:v>
      </x:c>
      <x:c r="F35" s="15" t="n">
        <x:v>46122</x:v>
      </x:c>
      <x:c r="G35" s="16" t="str">
        <x:v>0000-MUMBAI/IN Dr INT260326DEAL6244623</x:v>
      </x:c>
      <x:c r="H35" s="14" t="str"/>
      <x:c r="I35" s="14" t="str">
        <x:v>Payment</x:v>
      </x:c>
      <x:c r="J35" s="17" t="n">
        <x:v>1193.25</x:v>
      </x:c>
      <x:c r="K35" s="17" t="n">
        <x:v>0</x:v>
      </x:c>
      <x:c r="L35" s="17" t="n">
        <x:v>1193.25</x:v>
      </x:c>
      <x:c r="M35" s="17" t="n">
        <x:v>-8198006.97</x:v>
      </x:c>
      <x:c r="N35" s="14" t="str">
        <x:v>Recurring Transaction</x:v>
      </x:c>
      <x:c r="O35" s="14" t="str">
        <x:v>Yes</x:v>
      </x:c>
      <x:c r="P35" s="14" t="str">
        <x:v>IN DR INTDEAL</x:v>
      </x:c>
      <x:c r="Q35" s="14" t="n">
        <x:v>0</x:v>
      </x:c>
      <x:c r="R35" s="14" t="n">
        <x:v>1</x:v>
      </x:c>
      <x:c r="S35" s="14" t="n">
        <x:v>0</x:v>
      </x:c>
      <x:c r="T35" s="14" t="n">
        <x:v>0</x:v>
      </x:c>
      <x:c r="U35" s="14" t="n">
        <x:v>0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46122</x:v>
      </x:c>
    </x:row>
    <x:row r="36">
      <x:c r="A36" s="14" t="n">
        <x:v>32</x:v>
      </x:c>
      <x:c r="B36" s="14" t="str">
        <x:v>273.pdf</x:v>
      </x:c>
      <x:c r="C36" s="15" t="n">
        <x:v>45181</x:v>
      </x:c>
      <x:c r="D36" s="15" t="n">
        <x:v>46146</x:v>
      </x:c>
      <x:c r="E36" s="15" t="n">
        <x:v>46122</x:v>
      </x:c>
      <x:c r="F36" s="15" t="n">
        <x:v>46122</x:v>
      </x:c>
      <x:c r="G36" s="16" t="str">
        <x:v>RTGS-BARBR5202 Dr RTGS-BARBR52026041000833640-HINDUSTAN PETROLEUM CO</x:v>
      </x:c>
      <x:c r="H36" s="14" t="str"/>
      <x:c r="I36" s="14" t="str">
        <x:v>Payment</x:v>
      </x:c>
      <x:c r="J36" s="17" t="n">
        <x:v>1801993</x:v>
      </x:c>
      <x:c r="K36" s="17" t="n">
        <x:v>0</x:v>
      </x:c>
      <x:c r="L36" s="17" t="n">
        <x:v>1801993</x:v>
      </x:c>
      <x:c r="M36" s="17" t="n">
        <x:v>-9999999.97</x:v>
      </x:c>
      <x:c r="N36" s="14" t="str">
        <x:v>High Transaction; Recurring Transaction</x:v>
      </x:c>
      <x:c r="O36" s="14" t="str">
        <x:v>Yes</x:v>
      </x:c>
      <x:c r="P36" s="14" t="str">
        <x:v>BARBR DR RTGS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1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46122</x:v>
      </x:c>
    </x:row>
    <x:row r="37">
      <x:c r="A37" s="14" t="n">
        <x:v>33</x:v>
      </x:c>
      <x:c r="B37" s="14" t="str">
        <x:v>273.pdf</x:v>
      </x:c>
      <x:c r="C37" s="15" t="n">
        <x:v>45181</x:v>
      </x:c>
      <x:c r="D37" s="15" t="n">
        <x:v>46146</x:v>
      </x:c>
      <x:c r="E37" s="15" t="n">
        <x:v>46122</x:v>
      </x:c>
      <x:c r="F37" s="15" t="n">
        <x:v>46122</x:v>
      </x:c>
      <x:c r="G37" s="16" t="str">
        <x:v>EBANK:WIB/1503 Dr EBANK:WIB/1503385381/Edfs</x:v>
      </x:c>
      <x:c r="H37" s="14" t="str"/>
      <x:c r="I37" s="14" t="str">
        <x:v>Receipt</x:v>
      </x:c>
      <x:c r="J37" s="17" t="n">
        <x:v>0</x:v>
      </x:c>
      <x:c r="K37" s="17" t="n">
        <x:v>49686</x:v>
      </x:c>
      <x:c r="L37" s="17" t="n">
        <x:v>49686</x:v>
      </x:c>
      <x:c r="M37" s="17" t="n">
        <x:v>-9950313.97</x:v>
      </x:c>
      <x:c r="N37" s="14" t="str">
        <x:v>Recurring Transaction</x:v>
      </x:c>
      <x:c r="O37" s="14" t="str">
        <x:v>Yes</x:v>
      </x:c>
      <x:c r="P37" s="14" t="str">
        <x:v>EBANKWIB</x:v>
      </x:c>
      <x:c r="Q37" s="14" t="n">
        <x:v>0</x:v>
      </x:c>
      <x:c r="R37" s="14" t="n">
        <x:v>1</x:v>
      </x:c>
      <x:c r="S37" s="14" t="n">
        <x:v>0</x:v>
      </x:c>
      <x:c r="T37" s="14" t="n">
        <x:v>0</x:v>
      </x:c>
      <x:c r="U37" s="14" t="n">
        <x:v>0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46122</x:v>
      </x:c>
    </x:row>
    <x:row r="38">
      <x:c r="A38" s="14" t="n">
        <x:v>34</x:v>
      </x:c>
      <x:c r="B38" s="14" t="str">
        <x:v>273.pdf</x:v>
      </x:c>
      <x:c r="C38" s="15" t="n">
        <x:v>45181</x:v>
      </x:c>
      <x:c r="D38" s="15" t="n">
        <x:v>46146</x:v>
      </x:c>
      <x:c r="E38" s="15" t="n">
        <x:v>46122</x:v>
      </x:c>
      <x:c r="F38" s="15" t="n">
        <x:v>46122</x:v>
      </x:c>
      <x:c r="G38" s="16" t="str">
        <x:v>BY CASH Dr BY CASH</x:v>
      </x:c>
      <x:c r="H38" s="14" t="str"/>
      <x:c r="I38" s="14" t="str">
        <x:v>Receipt</x:v>
      </x:c>
      <x:c r="J38" s="17" t="n">
        <x:v>0</x:v>
      </x:c>
      <x:c r="K38" s="17" t="n">
        <x:v>171000</x:v>
      </x:c>
      <x:c r="L38" s="17" t="n">
        <x:v>171000</x:v>
      </x:c>
      <x:c r="M38" s="17" t="n">
        <x:v>-9779313.97</x:v>
      </x:c>
      <x:c r="N38" s="14" t="str">
        <x:v>Cash; High Transaction; Recurring Transaction</x:v>
      </x:c>
      <x:c r="O38" s="14" t="str">
        <x:v>Yes</x:v>
      </x:c>
      <x:c r="P38" s="14" t="str">
        <x:v>BY CASH DR BY CASH</x:v>
      </x:c>
      <x:c r="Q38" s="14" t="n">
        <x:v>1</x:v>
      </x:c>
      <x:c r="R38" s="14" t="n">
        <x:v>1</x:v>
      </x:c>
      <x:c r="S38" s="14" t="n">
        <x:v>0</x:v>
      </x:c>
      <x:c r="T38" s="14" t="n">
        <x:v>0</x:v>
      </x:c>
      <x:c r="U38" s="14" t="n">
        <x:v>1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46122</x:v>
      </x:c>
    </x:row>
    <x:row r="39">
      <x:c r="A39" s="14" t="n">
        <x:v>35</x:v>
      </x:c>
      <x:c r="B39" s="14" t="str">
        <x:v>273.pdf</x:v>
      </x:c>
      <x:c r="C39" s="15" t="n">
        <x:v>45181</x:v>
      </x:c>
      <x:c r="D39" s="15" t="n">
        <x:v>46146</x:v>
      </x:c>
      <x:c r="E39" s="15" t="n">
        <x:v>46122</x:v>
      </x:c>
      <x:c r="F39" s="15" t="n">
        <x:v>46122</x:v>
      </x:c>
      <x:c r="G39" s="16" t="str">
        <x:v>NEFT-BARBQ2610 Dr NEFT-BARBQ26100745025-HINDUSTAN PETROLEUM CORPORAT</x:v>
      </x:c>
      <x:c r="H39" s="14" t="str"/>
      <x:c r="I39" s="14" t="str">
        <x:v>Payment</x:v>
      </x:c>
      <x:c r="J39" s="17" t="n">
        <x:v>20471.76</x:v>
      </x:c>
      <x:c r="K39" s="17" t="n">
        <x:v>0</x:v>
      </x:c>
      <x:c r="L39" s="17" t="n">
        <x:v>20471.76</x:v>
      </x:c>
      <x:c r="M39" s="17" t="n">
        <x:v>-9799785.73</x:v>
      </x:c>
      <x:c r="N39" s="14" t="str">
        <x:v>Recurring Transaction</x:v>
      </x:c>
      <x:c r="O39" s="14" t="str">
        <x:v>Yes</x:v>
      </x:c>
      <x:c r="P39" s="14" t="str">
        <x:v>BARBQ DR NEFT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0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46122</x:v>
      </x:c>
    </x:row>
    <x:row r="40">
      <x:c r="A40" s="14" t="n">
        <x:v>36</x:v>
      </x:c>
      <x:c r="B40" s="14" t="str">
        <x:v>273.pdf</x:v>
      </x:c>
      <x:c r="C40" s="15" t="n">
        <x:v>45181</x:v>
      </x:c>
      <x:c r="D40" s="15" t="n">
        <x:v>46146</x:v>
      </x:c>
      <x:c r="E40" s="15" t="n">
        <x:v>46123</x:v>
      </x:c>
      <x:c r="F40" s="15" t="n">
        <x:v>46123</x:v>
      </x:c>
      <x:c r="G40" s="16" t="str">
        <x:v>0000-MUMBAI/IN Dr INT260327DEAL6258765</x:v>
      </x:c>
      <x:c r="H40" s="14" t="str"/>
      <x:c r="I40" s="14" t="str">
        <x:v>Payment</x:v>
      </x:c>
      <x:c r="J40" s="17" t="n">
        <x:v>7076.83</x:v>
      </x:c>
      <x:c r="K40" s="17" t="n">
        <x:v>0</x:v>
      </x:c>
      <x:c r="L40" s="17" t="n">
        <x:v>7076.83</x:v>
      </x:c>
      <x:c r="M40" s="17" t="n">
        <x:v>-9806862.56</x:v>
      </x:c>
      <x:c r="N40" s="14" t="str">
        <x:v>Recurring Transaction</x:v>
      </x:c>
      <x:c r="O40" s="14" t="str">
        <x:v>Yes</x:v>
      </x:c>
      <x:c r="P40" s="14" t="str">
        <x:v>IN DR INTDEAL</x:v>
      </x:c>
      <x:c r="Q40" s="14" t="n">
        <x:v>0</x:v>
      </x:c>
      <x:c r="R40" s="14" t="n">
        <x:v>1</x:v>
      </x:c>
      <x:c r="S40" s="14" t="n">
        <x:v>0</x:v>
      </x:c>
      <x:c r="T40" s="14" t="n">
        <x:v>0</x:v>
      </x:c>
      <x:c r="U40" s="14" t="n">
        <x:v>0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46123</x:v>
      </x:c>
    </x:row>
    <x:row r="41">
      <x:c r="A41" s="14" t="n">
        <x:v>37</x:v>
      </x:c>
      <x:c r="B41" s="14" t="str">
        <x:v>273.pdf</x:v>
      </x:c>
      <x:c r="C41" s="15" t="n">
        <x:v>45181</x:v>
      </x:c>
      <x:c r="D41" s="15" t="n">
        <x:v>46146</x:v>
      </x:c>
      <x:c r="E41" s="15" t="n">
        <x:v>46123</x:v>
      </x:c>
      <x:c r="F41" s="15" t="n">
        <x:v>46123</x:v>
      </x:c>
      <x:c r="G41" s="16" t="str">
        <x:v>0000-MUMBAI/IN Dr INT260327DEAL6258950</x:v>
      </x:c>
      <x:c r="H41" s="14" t="str"/>
      <x:c r="I41" s="14" t="str">
        <x:v>Payment</x:v>
      </x:c>
      <x:c r="J41" s="17" t="n">
        <x:v>350.17</x:v>
      </x:c>
      <x:c r="K41" s="17" t="n">
        <x:v>0</x:v>
      </x:c>
      <x:c r="L41" s="17" t="n">
        <x:v>350.17</x:v>
      </x:c>
      <x:c r="M41" s="17" t="n">
        <x:v>-9807212.73</x:v>
      </x:c>
      <x:c r="N41" s="14" t="str">
        <x:v>Recurring Transaction</x:v>
      </x:c>
      <x:c r="O41" s="14" t="str">
        <x:v>Yes</x:v>
      </x:c>
      <x:c r="P41" s="14" t="str">
        <x:v>IN DR INTDEAL</x:v>
      </x:c>
      <x:c r="Q41" s="14" t="n">
        <x:v>0</x:v>
      </x:c>
      <x:c r="R41" s="14" t="n">
        <x:v>1</x:v>
      </x:c>
      <x:c r="S41" s="14" t="n">
        <x:v>0</x:v>
      </x:c>
      <x:c r="T41" s="14" t="n">
        <x:v>0</x:v>
      </x:c>
      <x:c r="U41" s="14" t="n">
        <x:v>0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46123</x:v>
      </x:c>
    </x:row>
    <x:row r="42">
      <x:c r="A42" s="14" t="n">
        <x:v>38</x:v>
      </x:c>
      <x:c r="B42" s="14" t="str">
        <x:v>273.pdf</x:v>
      </x:c>
      <x:c r="C42" s="15" t="n">
        <x:v>45181</x:v>
      </x:c>
      <x:c r="D42" s="15" t="n">
        <x:v>46146</x:v>
      </x:c>
      <x:c r="E42" s="15" t="n">
        <x:v>46123</x:v>
      </x:c>
      <x:c r="F42" s="15" t="n">
        <x:v>46123</x:v>
      </x:c>
      <x:c r="G42" s="16" t="str">
        <x:v>EBANK:WIB/1503 Dr EBANK:WIB/1503559058/Edfs</x:v>
      </x:c>
      <x:c r="H42" s="14" t="str"/>
      <x:c r="I42" s="14" t="str">
        <x:v>Receipt</x:v>
      </x:c>
      <x:c r="J42" s="17" t="n">
        <x:v>0</x:v>
      </x:c>
      <x:c r="K42" s="17" t="n">
        <x:v>353767.15</x:v>
      </x:c>
      <x:c r="L42" s="17" t="n">
        <x:v>353767.15</x:v>
      </x:c>
      <x:c r="M42" s="17" t="n">
        <x:v>-9453445.58</x:v>
      </x:c>
      <x:c r="N42" s="14" t="str">
        <x:v>High Transaction; Recurring Transaction</x:v>
      </x:c>
      <x:c r="O42" s="14" t="str">
        <x:v>Yes</x:v>
      </x:c>
      <x:c r="P42" s="14" t="str">
        <x:v>EBANKWIB</x:v>
      </x:c>
      <x:c r="Q42" s="14" t="n">
        <x:v>0</x:v>
      </x:c>
      <x:c r="R42" s="14" t="n">
        <x:v>1</x:v>
      </x:c>
      <x:c r="S42" s="14" t="n">
        <x:v>0</x:v>
      </x:c>
      <x:c r="T42" s="14" t="n">
        <x:v>0</x:v>
      </x:c>
      <x:c r="U42" s="14" t="n">
        <x:v>1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46123</x:v>
      </x:c>
    </x:row>
    <x:row r="43">
      <x:c r="A43" s="14" t="n">
        <x:v>39</x:v>
      </x:c>
      <x:c r="B43" s="14" t="str">
        <x:v>273.pdf</x:v>
      </x:c>
      <x:c r="C43" s="15" t="n">
        <x:v>45181</x:v>
      </x:c>
      <x:c r="D43" s="15" t="n">
        <x:v>46146</x:v>
      </x:c>
      <x:c r="E43" s="15" t="n">
        <x:v>46124</x:v>
      </x:c>
      <x:c r="F43" s="15" t="n">
        <x:v>46124</x:v>
      </x:c>
      <x:c r="G43" s="16" t="str">
        <x:v>EBANK:WIB/1503 Dr EBANK:WIB/1503691094/Edfs</x:v>
      </x:c>
      <x:c r="H43" s="14" t="str"/>
      <x:c r="I43" s="14" t="str">
        <x:v>Receipt</x:v>
      </x:c>
      <x:c r="J43" s="17" t="n">
        <x:v>0</x:v>
      </x:c>
      <x:c r="K43" s="17" t="n">
        <x:v>521281.39</x:v>
      </x:c>
      <x:c r="L43" s="17" t="n">
        <x:v>521281.39</x:v>
      </x:c>
      <x:c r="M43" s="17" t="n">
        <x:v>-8932164.19</x:v>
      </x:c>
      <x:c r="N43" s="14" t="str">
        <x:v>High Transaction; Recurring Transaction</x:v>
      </x:c>
      <x:c r="O43" s="14" t="str">
        <x:v>Yes</x:v>
      </x:c>
      <x:c r="P43" s="14" t="str">
        <x:v>EBANKWIB</x:v>
      </x:c>
      <x:c r="Q43" s="14" t="n">
        <x:v>0</x:v>
      </x:c>
      <x:c r="R43" s="14" t="n">
        <x:v>1</x:v>
      </x:c>
      <x:c r="S43" s="14" t="n">
        <x:v>0</x:v>
      </x:c>
      <x:c r="T43" s="14" t="n">
        <x:v>0</x:v>
      </x:c>
      <x:c r="U43" s="14" t="n">
        <x:v>1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46124</x:v>
      </x:c>
    </x:row>
    <x:row r="44">
      <x:c r="A44" s="14" t="n">
        <x:v>40</x:v>
      </x:c>
      <x:c r="B44" s="14" t="str">
        <x:v>273.pdf</x:v>
      </x:c>
      <x:c r="C44" s="15" t="n">
        <x:v>45181</x:v>
      </x:c>
      <x:c r="D44" s="15" t="n">
        <x:v>46146</x:v>
      </x:c>
      <x:c r="E44" s="15" t="n">
        <x:v>46125</x:v>
      </x:c>
      <x:c r="F44" s="15" t="n">
        <x:v>46125</x:v>
      </x:c>
      <x:c r="G44" s="16" t="str">
        <x:v>0000-MUMBAI/IN Dr INT260327DEAL6258765</x:v>
      </x:c>
      <x:c r="H44" s="14" t="str"/>
      <x:c r="I44" s="14" t="str">
        <x:v>Payment</x:v>
      </x:c>
      <x:c r="J44" s="17" t="n">
        <x:v>305.5</x:v>
      </x:c>
      <x:c r="K44" s="17" t="n">
        <x:v>0</x:v>
      </x:c>
      <x:c r="L44" s="17" t="n">
        <x:v>305.5</x:v>
      </x:c>
      <x:c r="M44" s="17" t="n">
        <x:v>-8932469.69</x:v>
      </x:c>
      <x:c r="N44" s="14" t="str">
        <x:v>Recurring Transaction</x:v>
      </x:c>
      <x:c r="O44" s="14" t="str">
        <x:v>Yes</x:v>
      </x:c>
      <x:c r="P44" s="14" t="str">
        <x:v>IN DR INTDEAL</x:v>
      </x:c>
      <x:c r="Q44" s="14" t="n">
        <x:v>0</x:v>
      </x:c>
      <x:c r="R44" s="14" t="n">
        <x:v>1</x:v>
      </x:c>
      <x:c r="S44" s="14" t="n">
        <x:v>0</x:v>
      </x:c>
      <x:c r="T44" s="14" t="n">
        <x:v>0</x:v>
      </x:c>
      <x:c r="U44" s="14" t="n">
        <x:v>0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46125</x:v>
      </x:c>
    </x:row>
    <x:row r="45">
      <x:c r="A45" s="14" t="n">
        <x:v>41</x:v>
      </x:c>
      <x:c r="B45" s="14" t="str">
        <x:v>273.pdf</x:v>
      </x:c>
      <x:c r="C45" s="15" t="n">
        <x:v>45181</x:v>
      </x:c>
      <x:c r="D45" s="15" t="n">
        <x:v>46146</x:v>
      </x:c>
      <x:c r="E45" s="15" t="n">
        <x:v>46125</x:v>
      </x:c>
      <x:c r="F45" s="15" t="n">
        <x:v>46125</x:v>
      </x:c>
      <x:c r="G45" s="16" t="str">
        <x:v>VIRARW-THANE/B Dr https://cbdrpt101.bankofbaroda.co.in:22000/finbranch/arjspmorph/INFENG/tran_rpt.jsp?... 04-05-2026 BY CASH</x:v>
      </x:c>
      <x:c r="H45" s="14" t="str"/>
      <x:c r="I45" s="14" t="str">
        <x:v>Receipt</x:v>
      </x:c>
      <x:c r="J45" s="17" t="n">
        <x:v>0</x:v>
      </x:c>
      <x:c r="K45" s="17" t="n">
        <x:v>439000</x:v>
      </x:c>
      <x:c r="L45" s="17" t="n">
        <x:v>439000</x:v>
      </x:c>
      <x:c r="M45" s="17" t="n">
        <x:v>-8493469.69</x:v>
      </x:c>
      <x:c r="N45" s="14" t="str">
        <x:v>Cash; High Transaction</x:v>
      </x:c>
      <x:c r="O45" s="14" t="str">
        <x:v>No</x:v>
      </x:c>
      <x:c r="P45" s="14" t="str">
        <x:v>B DR HTTPS</x:v>
      </x:c>
      <x:c r="Q45" s="14" t="n">
        <x:v>1</x:v>
      </x:c>
      <x:c r="R45" s="14" t="n">
        <x:v>0</x:v>
      </x:c>
      <x:c r="S45" s="14" t="n">
        <x:v>0</x:v>
      </x:c>
      <x:c r="T45" s="14" t="n">
        <x:v>0</x:v>
      </x:c>
      <x:c r="U45" s="14" t="n">
        <x:v>1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46125</x:v>
      </x:c>
    </x:row>
    <x:row r="46">
      <x:c r="A46" s="14" t="n">
        <x:v>42</x:v>
      </x:c>
      <x:c r="B46" s="14" t="str">
        <x:v>273.pdf</x:v>
      </x:c>
      <x:c r="C46" s="15" t="n">
        <x:v>45181</x:v>
      </x:c>
      <x:c r="D46" s="15" t="n">
        <x:v>46146</x:v>
      </x:c>
      <x:c r="E46" s="15" t="n">
        <x:v>46125</x:v>
      </x:c>
      <x:c r="F46" s="15" t="n">
        <x:v>46125</x:v>
      </x:c>
      <x:c r="G46" s="16" t="str">
        <x:v>DIGITA-MUMBAI/ Dr INT260327DEAL6258765</x:v>
      </x:c>
      <x:c r="H46" s="14" t="str"/>
      <x:c r="I46" s="14" t="str">
        <x:v>Payment</x:v>
      </x:c>
      <x:c r="J46" s="17" t="n">
        <x:v>182.75</x:v>
      </x:c>
      <x:c r="K46" s="17" t="n">
        <x:v>0</x:v>
      </x:c>
      <x:c r="L46" s="17" t="n">
        <x:v>182.75</x:v>
      </x:c>
      <x:c r="M46" s="17" t="n">
        <x:v>-8493652.44</x:v>
      </x:c>
      <x:c r="N46" s="14" t="str">
        <x:v>Recurring Transaction</x:v>
      </x:c>
      <x:c r="O46" s="14" t="str">
        <x:v>Yes</x:v>
      </x:c>
      <x:c r="P46" s="14" t="str">
        <x:v>DR INTDEAL</x:v>
      </x:c>
      <x:c r="Q46" s="14" t="n">
        <x:v>0</x:v>
      </x:c>
      <x:c r="R46" s="14" t="n">
        <x:v>1</x:v>
      </x:c>
      <x:c r="S46" s="14" t="n">
        <x:v>0</x:v>
      </x:c>
      <x:c r="T46" s="14" t="n">
        <x:v>0</x:v>
      </x:c>
      <x:c r="U46" s="14" t="n">
        <x:v>0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46125</x:v>
      </x:c>
    </x:row>
    <x:row r="47">
      <x:c r="A47" s="14" t="n">
        <x:v>43</x:v>
      </x:c>
      <x:c r="B47" s="14" t="str">
        <x:v>273.pdf</x:v>
      </x:c>
      <x:c r="C47" s="15" t="n">
        <x:v>45181</x:v>
      </x:c>
      <x:c r="D47" s="15" t="n">
        <x:v>46146</x:v>
      </x:c>
      <x:c r="E47" s="15" t="n">
        <x:v>46125</x:v>
      </x:c>
      <x:c r="F47" s="15" t="n">
        <x:v>46125</x:v>
      </x:c>
      <x:c r="G47" s="16" t="str">
        <x:v>EBANK:WIB/1503 Dr EBANK:WIB/1503777187/Edfs</x:v>
      </x:c>
      <x:c r="H47" s="14" t="str"/>
      <x:c r="I47" s="14" t="str">
        <x:v>Receipt</x:v>
      </x:c>
      <x:c r="J47" s="17" t="n">
        <x:v>0</x:v>
      </x:c>
      <x:c r="K47" s="17" t="n">
        <x:v>610444.28</x:v>
      </x:c>
      <x:c r="L47" s="17" t="n">
        <x:v>610444.28</x:v>
      </x:c>
      <x:c r="M47" s="17" t="n">
        <x:v>-7883208.16</x:v>
      </x:c>
      <x:c r="N47" s="14" t="str">
        <x:v>High Transaction; Recurring Transaction</x:v>
      </x:c>
      <x:c r="O47" s="14" t="str">
        <x:v>Yes</x:v>
      </x:c>
      <x:c r="P47" s="14" t="str">
        <x:v>EBANKWIB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1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46125</x:v>
      </x:c>
    </x:row>
    <x:row r="48">
      <x:c r="A48" s="14" t="n">
        <x:v>44</x:v>
      </x:c>
      <x:c r="B48" s="14" t="str">
        <x:v>273.pdf</x:v>
      </x:c>
      <x:c r="C48" s="15" t="n">
        <x:v>45181</x:v>
      </x:c>
      <x:c r="D48" s="15" t="n">
        <x:v>46146</x:v>
      </x:c>
      <x:c r="E48" s="15" t="n">
        <x:v>46125</x:v>
      </x:c>
      <x:c r="F48" s="15" t="n">
        <x:v>46125</x:v>
      </x:c>
      <x:c r="G48" s="16" t="str">
        <x:v>DIGITA-MUMBAI/ Dr INT260327DEAL6258950</x:v>
      </x:c>
      <x:c r="H48" s="14" t="str"/>
      <x:c r="I48" s="14" t="str">
        <x:v>Payment</x:v>
      </x:c>
      <x:c r="J48" s="17" t="n">
        <x:v>46.82</x:v>
      </x:c>
      <x:c r="K48" s="17" t="n">
        <x:v>0</x:v>
      </x:c>
      <x:c r="L48" s="17" t="n">
        <x:v>46.82</x:v>
      </x:c>
      <x:c r="M48" s="17" t="n">
        <x:v>-7883254.98</x:v>
      </x:c>
      <x:c r="N48" s="14" t="str">
        <x:v>Recurring Transaction</x:v>
      </x:c>
      <x:c r="O48" s="14" t="str">
        <x:v>Yes</x:v>
      </x:c>
      <x:c r="P48" s="14" t="str">
        <x:v>DR INTDEAL</x:v>
      </x:c>
      <x:c r="Q48" s="14" t="n">
        <x:v>0</x:v>
      </x:c>
      <x:c r="R48" s="14" t="n">
        <x:v>1</x:v>
      </x:c>
      <x:c r="S48" s="14" t="n">
        <x:v>0</x:v>
      </x:c>
      <x:c r="T48" s="14" t="n">
        <x:v>0</x:v>
      </x:c>
      <x:c r="U48" s="14" t="n">
        <x:v>0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46125</x:v>
      </x:c>
    </x:row>
    <x:row r="49">
      <x:c r="A49" s="14" t="n">
        <x:v>45</x:v>
      </x:c>
      <x:c r="B49" s="14" t="str">
        <x:v>273.pdf</x:v>
      </x:c>
      <x:c r="C49" s="15" t="n">
        <x:v>45181</x:v>
      </x:c>
      <x:c r="D49" s="15" t="n">
        <x:v>46146</x:v>
      </x:c>
      <x:c r="E49" s="15" t="n">
        <x:v>46125</x:v>
      </x:c>
      <x:c r="F49" s="15" t="n">
        <x:v>46125</x:v>
      </x:c>
      <x:c r="G49" s="16" t="str">
        <x:v>BY CASH Dr BY CASH</x:v>
      </x:c>
      <x:c r="H49" s="14" t="str"/>
      <x:c r="I49" s="14" t="str">
        <x:v>Receipt</x:v>
      </x:c>
      <x:c r="J49" s="17" t="n">
        <x:v>0</x:v>
      </x:c>
      <x:c r="K49" s="17" t="n">
        <x:v>78500</x:v>
      </x:c>
      <x:c r="L49" s="17" t="n">
        <x:v>78500</x:v>
      </x:c>
      <x:c r="M49" s="17" t="n">
        <x:v>-7804754.98</x:v>
      </x:c>
      <x:c r="N49" s="14" t="str">
        <x:v>Cash; Recurring Transaction</x:v>
      </x:c>
      <x:c r="O49" s="14" t="str">
        <x:v>Yes</x:v>
      </x:c>
      <x:c r="P49" s="14" t="str">
        <x:v>BY CASH DR BY CASH</x:v>
      </x:c>
      <x:c r="Q49" s="14" t="n">
        <x:v>1</x:v>
      </x:c>
      <x:c r="R49" s="14" t="n">
        <x:v>1</x:v>
      </x:c>
      <x:c r="S49" s="14" t="n">
        <x:v>0</x:v>
      </x:c>
      <x:c r="T49" s="14" t="n">
        <x:v>0</x:v>
      </x:c>
      <x:c r="U49" s="14" t="n">
        <x:v>0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46125</x:v>
      </x:c>
    </x:row>
    <x:row r="50">
      <x:c r="A50" s="14" t="n">
        <x:v>46</x:v>
      </x:c>
      <x:c r="B50" s="14" t="str">
        <x:v>273.pdf</x:v>
      </x:c>
      <x:c r="C50" s="15" t="n">
        <x:v>45181</x:v>
      </x:c>
      <x:c r="D50" s="15" t="n">
        <x:v>46146</x:v>
      </x:c>
      <x:c r="E50" s="15" t="n">
        <x:v>46125</x:v>
      </x:c>
      <x:c r="F50" s="15" t="n">
        <x:v>46125</x:v>
      </x:c>
      <x:c r="G50" s="16" t="str">
        <x:v>EBANK:WIB/1503 Dr ---------------------------------------------------------------------------------------------------------------------------------- Page Total: 18,31,620.08 27,64,671.60 76,96,761.20Dr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</x:v>
      </x:c>
      <x:c r="H50" s="14" t="str"/>
      <x:c r="I50" s="14" t="str">
        <x:v>Receipt</x:v>
      </x:c>
      <x:c r="J50" s="17" t="n">
        <x:v>0</x:v>
      </x:c>
      <x:c r="K50" s="17" t="n">
        <x:v>107993.78</x:v>
      </x:c>
      <x:c r="L50" s="17" t="n">
        <x:v>107993.78</x:v>
      </x:c>
      <x:c r="M50" s="17" t="n">
        <x:v>-7696761.2</x:v>
      </x:c>
      <x:c r="N50" s="14" t="str">
        <x:v>High Transaction; Recurring Transaction</x:v>
      </x:c>
      <x:c r="O50" s="14" t="str">
        <x:v>Yes</x:v>
      </x:c>
      <x:c r="P50" s="14" t="str">
        <x:v>EBANKWIB</x:v>
      </x:c>
      <x:c r="Q50" s="14" t="n">
        <x:v>0</x:v>
      </x:c>
      <x:c r="R50" s="14" t="n">
        <x:v>1</x:v>
      </x:c>
      <x:c r="S50" s="14" t="n">
        <x:v>0</x:v>
      </x:c>
      <x:c r="T50" s="14" t="n">
        <x:v>0</x:v>
      </x:c>
      <x:c r="U50" s="14" t="n">
        <x:v>1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46125</x:v>
      </x:c>
    </x:row>
    <x:row r="51">
      <x:c r="A51" s="14" t="n">
        <x:v>47</x:v>
      </x:c>
      <x:c r="B51" s="14" t="str">
        <x:v>273.pdf</x:v>
      </x:c>
      <x:c r="C51" s="15" t="n">
        <x:v>45181</x:v>
      </x:c>
      <x:c r="D51" s="15" t="n">
        <x:v>46146</x:v>
      </x:c>
      <x:c r="E51" s="15" t="n">
        <x:v>46125</x:v>
      </x:c>
      <x:c r="F51" s="15" t="n">
        <x:v>46125</x:v>
      </x:c>
      <x:c r="G51" s="16" t="str">
        <x:v>RTGS-BARBR5202 Dr RTGS-BARBR52026041300983458-HINDUSTAN PETROLEUM CO</x:v>
      </x:c>
      <x:c r="H51" s="14" t="str"/>
      <x:c r="I51" s="14" t="str">
        <x:v>Payment</x:v>
      </x:c>
      <x:c r="J51" s="17" t="n">
        <x:v>1962976.51</x:v>
      </x:c>
      <x:c r="K51" s="17" t="n">
        <x:v>0</x:v>
      </x:c>
      <x:c r="L51" s="17" t="n">
        <x:v>1962976.51</x:v>
      </x:c>
      <x:c r="M51" s="17" t="n">
        <x:v>-9659737.71</x:v>
      </x:c>
      <x:c r="N51" s="14" t="str">
        <x:v>High Transaction; Recurring Transaction</x:v>
      </x:c>
      <x:c r="O51" s="14" t="str">
        <x:v>Yes</x:v>
      </x:c>
      <x:c r="P51" s="14" t="str">
        <x:v>BARBR DR RTGS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1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46125</x:v>
      </x:c>
    </x:row>
    <x:row r="52">
      <x:c r="A52" s="14" t="n">
        <x:v>48</x:v>
      </x:c>
      <x:c r="B52" s="14" t="str">
        <x:v>273.pdf</x:v>
      </x:c>
      <x:c r="C52" s="15" t="n">
        <x:v>45181</x:v>
      </x:c>
      <x:c r="D52" s="15" t="n">
        <x:v>46146</x:v>
      </x:c>
      <x:c r="E52" s="15" t="n">
        <x:v>46126</x:v>
      </x:c>
      <x:c r="F52" s="15" t="n">
        <x:v>46126</x:v>
      </x:c>
      <x:c r="G52" s="16" t="str">
        <x:v>0000-MUMBAI/IN Dr INT260330DEAL6270027</x:v>
      </x:c>
      <x:c r="H52" s="14" t="str"/>
      <x:c r="I52" s="14" t="str">
        <x:v>Payment</x:v>
      </x:c>
      <x:c r="J52" s="17" t="n">
        <x:v>7127.18</x:v>
      </x:c>
      <x:c r="K52" s="17" t="n">
        <x:v>0</x:v>
      </x:c>
      <x:c r="L52" s="17" t="n">
        <x:v>7127.18</x:v>
      </x:c>
      <x:c r="M52" s="17" t="n">
        <x:v>-9666864.89</x:v>
      </x:c>
      <x:c r="N52" s="14" t="str">
        <x:v>Recurring Transaction</x:v>
      </x:c>
      <x:c r="O52" s="14" t="str">
        <x:v>Yes</x:v>
      </x:c>
      <x:c r="P52" s="14" t="str">
        <x:v>IN DR INTDEAL</x:v>
      </x:c>
      <x:c r="Q52" s="14" t="n">
        <x:v>0</x:v>
      </x:c>
      <x:c r="R52" s="14" t="n">
        <x:v>1</x:v>
      </x:c>
      <x:c r="S52" s="14" t="n">
        <x:v>0</x:v>
      </x:c>
      <x:c r="T52" s="14" t="n">
        <x:v>0</x:v>
      </x:c>
      <x:c r="U52" s="14" t="n">
        <x:v>0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46126</x:v>
      </x:c>
    </x:row>
    <x:row r="53">
      <x:c r="A53" s="14" t="n">
        <x:v>49</x:v>
      </x:c>
      <x:c r="B53" s="14" t="str">
        <x:v>273.pdf</x:v>
      </x:c>
      <x:c r="C53" s="15" t="n">
        <x:v>45181</x:v>
      </x:c>
      <x:c r="D53" s="15" t="n">
        <x:v>46146</x:v>
      </x:c>
      <x:c r="E53" s="15" t="n">
        <x:v>46126</x:v>
      </x:c>
      <x:c r="F53" s="15" t="n">
        <x:v>46126</x:v>
      </x:c>
      <x:c r="G53" s="16" t="str">
        <x:v>EBANK:WIB/1503 Dr EBANK:WIB/1503879023/Edfs</x:v>
      </x:c>
      <x:c r="H53" s="14" t="str"/>
      <x:c r="I53" s="14" t="str">
        <x:v>Receipt</x:v>
      </x:c>
      <x:c r="J53" s="17" t="n">
        <x:v>0</x:v>
      </x:c>
      <x:c r="K53" s="17" t="n">
        <x:v>421121.65</x:v>
      </x:c>
      <x:c r="L53" s="17" t="n">
        <x:v>421121.65</x:v>
      </x:c>
      <x:c r="M53" s="17" t="n">
        <x:v>-9245743.24</x:v>
      </x:c>
      <x:c r="N53" s="14" t="str">
        <x:v>High Transaction; Recurring Transaction</x:v>
      </x:c>
      <x:c r="O53" s="14" t="str">
        <x:v>Yes</x:v>
      </x:c>
      <x:c r="P53" s="14" t="str">
        <x:v>EBANKWIB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46126</x:v>
      </x:c>
    </x:row>
    <x:row r="54">
      <x:c r="A54" s="14" t="n">
        <x:v>50</x:v>
      </x:c>
      <x:c r="B54" s="14" t="str">
        <x:v>273.pdf</x:v>
      </x:c>
      <x:c r="C54" s="15" t="n">
        <x:v>45181</x:v>
      </x:c>
      <x:c r="D54" s="15" t="n">
        <x:v>46146</x:v>
      </x:c>
      <x:c r="E54" s="15" t="n">
        <x:v>46126</x:v>
      </x:c>
      <x:c r="F54" s="15" t="n">
        <x:v>46126</x:v>
      </x:c>
      <x:c r="G54" s="16" t="str">
        <x:v>EBANK:WIB/1504 Dr EBANK:WIB/1504010401/Edfs</x:v>
      </x:c>
      <x:c r="H54" s="14" t="str"/>
      <x:c r="I54" s="14" t="str">
        <x:v>Receipt</x:v>
      </x:c>
      <x:c r="J54" s="17" t="n">
        <x:v>0</x:v>
      </x:c>
      <x:c r="K54" s="17" t="n">
        <x:v>240000</x:v>
      </x:c>
      <x:c r="L54" s="17" t="n">
        <x:v>240000</x:v>
      </x:c>
      <x:c r="M54" s="17" t="n">
        <x:v>-9005743.24</x:v>
      </x:c>
      <x:c r="N54" s="14" t="str">
        <x:v>High Transaction; Recurring Transaction</x:v>
      </x:c>
      <x:c r="O54" s="14" t="str">
        <x:v>Yes</x:v>
      </x:c>
      <x:c r="P54" s="14" t="str">
        <x:v>EBANKWIB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1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46126</x:v>
      </x:c>
    </x:row>
    <x:row r="55">
      <x:c r="A55" s="14" t="n">
        <x:v>51</x:v>
      </x:c>
      <x:c r="B55" s="14" t="str">
        <x:v>273.pdf</x:v>
      </x:c>
      <x:c r="C55" s="15" t="n">
        <x:v>45181</x:v>
      </x:c>
      <x:c r="D55" s="15" t="n">
        <x:v>46146</x:v>
      </x:c>
      <x:c r="E55" s="15" t="n">
        <x:v>46127</x:v>
      </x:c>
      <x:c r="F55" s="15" t="n">
        <x:v>46127</x:v>
      </x:c>
      <x:c r="G55" s="16" t="str">
        <x:v>0000-MUMBAI/IN Dr INT260331DEAL6279575</x:v>
      </x:c>
      <x:c r="H55" s="14" t="str"/>
      <x:c r="I55" s="14" t="str">
        <x:v>Payment</x:v>
      </x:c>
      <x:c r="J55" s="17" t="n">
        <x:v>1795.79</x:v>
      </x:c>
      <x:c r="K55" s="17" t="n">
        <x:v>0</x:v>
      </x:c>
      <x:c r="L55" s="17" t="n">
        <x:v>1795.79</x:v>
      </x:c>
      <x:c r="M55" s="17" t="n">
        <x:v>-9007539.03</x:v>
      </x:c>
      <x:c r="N55" s="14" t="str">
        <x:v>Recurring Transaction</x:v>
      </x:c>
      <x:c r="O55" s="14" t="str">
        <x:v>Yes</x:v>
      </x:c>
      <x:c r="P55" s="14" t="str">
        <x:v>IN DR INTDEAL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46127</x:v>
      </x:c>
    </x:row>
    <x:row r="56">
      <x:c r="A56" s="14" t="n">
        <x:v>52</x:v>
      </x:c>
      <x:c r="B56" s="14" t="str">
        <x:v>273.pdf</x:v>
      </x:c>
      <x:c r="C56" s="15" t="n">
        <x:v>45181</x:v>
      </x:c>
      <x:c r="D56" s="15" t="n">
        <x:v>46146</x:v>
      </x:c>
      <x:c r="E56" s="15" t="n">
        <x:v>46127</x:v>
      </x:c>
      <x:c r="F56" s="15" t="n">
        <x:v>46127</x:v>
      </x:c>
      <x:c r="G56" s="16" t="str">
        <x:v>EBANK:WIB/1504 Dr EBANK:WIB/1504019959/Edfs</x:v>
      </x:c>
      <x:c r="H56" s="14" t="str"/>
      <x:c r="I56" s="14" t="str">
        <x:v>Receipt</x:v>
      </x:c>
      <x:c r="J56" s="17" t="n">
        <x:v>0</x:v>
      </x:c>
      <x:c r="K56" s="17" t="n">
        <x:v>401141.57</x:v>
      </x:c>
      <x:c r="L56" s="17" t="n">
        <x:v>401141.57</x:v>
      </x:c>
      <x:c r="M56" s="17" t="n">
        <x:v>-8606397.46</x:v>
      </x:c>
      <x:c r="N56" s="14" t="str">
        <x:v>High Transaction; Recurring Transaction</x:v>
      </x:c>
      <x:c r="O56" s="14" t="str">
        <x:v>Yes</x:v>
      </x:c>
      <x:c r="P56" s="14" t="str">
        <x:v>EBANKWIB</x:v>
      </x:c>
      <x:c r="Q56" s="14" t="n">
        <x:v>0</x:v>
      </x:c>
      <x:c r="R56" s="14" t="n">
        <x:v>1</x:v>
      </x:c>
      <x:c r="S56" s="14" t="n">
        <x:v>0</x:v>
      </x:c>
      <x:c r="T56" s="14" t="n">
        <x:v>0</x:v>
      </x:c>
      <x:c r="U56" s="14" t="n">
        <x:v>1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46127</x:v>
      </x:c>
    </x:row>
    <x:row r="57">
      <x:c r="A57" s="14" t="n">
        <x:v>53</x:v>
      </x:c>
      <x:c r="B57" s="14" t="str">
        <x:v>273.pdf</x:v>
      </x:c>
      <x:c r="C57" s="15" t="n">
        <x:v>45181</x:v>
      </x:c>
      <x:c r="D57" s="15" t="n">
        <x:v>46146</x:v>
      </x:c>
      <x:c r="E57" s="15" t="n">
        <x:v>46127</x:v>
      </x:c>
      <x:c r="F57" s="15" t="n">
        <x:v>46127</x:v>
      </x:c>
      <x:c r="G57" s="16" t="str">
        <x:v>BANTWA-BANTWAL Dr INT260330DEAL6270027</x:v>
      </x:c>
      <x:c r="H57" s="14" t="str"/>
      <x:c r="I57" s="14" t="str">
        <x:v>Payment</x:v>
      </x:c>
      <x:c r="J57" s="17" t="n">
        <x:v>241.53</x:v>
      </x:c>
      <x:c r="K57" s="17" t="n">
        <x:v>0</x:v>
      </x:c>
      <x:c r="L57" s="17" t="n">
        <x:v>241.53</x:v>
      </x:c>
      <x:c r="M57" s="17" t="n">
        <x:v>-8606638.99</x:v>
      </x:c>
      <x:c r="N57" s="14" t="str">
        <x:v>Other</x:v>
      </x:c>
      <x:c r="O57" s="14" t="str">
        <x:v>No</x:v>
      </x:c>
      <x:c r="P57" s="14" t="str">
        <x:v>BANTWAL DR INTDEAL</x:v>
      </x:c>
      <x:c r="Q57" s="14" t="n">
        <x:v>0</x:v>
      </x:c>
      <x:c r="R57" s="14" t="n">
        <x:v>0</x:v>
      </x:c>
      <x:c r="S57" s="14" t="n">
        <x:v>0</x:v>
      </x:c>
      <x:c r="T57" s="14" t="n">
        <x:v>0</x:v>
      </x:c>
      <x:c r="U57" s="14" t="n">
        <x:v>0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46127</x:v>
      </x:c>
    </x:row>
    <x:row r="58">
      <x:c r="A58" s="14" t="n">
        <x:v>54</x:v>
      </x:c>
      <x:c r="B58" s="14" t="str">
        <x:v>273.pdf</x:v>
      </x:c>
      <x:c r="C58" s="15" t="n">
        <x:v>45181</x:v>
      </x:c>
      <x:c r="D58" s="15" t="n">
        <x:v>46146</x:v>
      </x:c>
      <x:c r="E58" s="15" t="n">
        <x:v>46127</x:v>
      </x:c>
      <x:c r="F58" s="15" t="n">
        <x:v>46127</x:v>
      </x:c>
      <x:c r="G58" s="16" t="str">
        <x:v>EBANK:WIB/1504 Dr EBANK:WIB/1504096201/Edfs</x:v>
      </x:c>
      <x:c r="H58" s="14" t="str"/>
      <x:c r="I58" s="14" t="str">
        <x:v>Receipt</x:v>
      </x:c>
      <x:c r="J58" s="17" t="n">
        <x:v>0</x:v>
      </x:c>
      <x:c r="K58" s="17" t="n">
        <x:v>125424</x:v>
      </x:c>
      <x:c r="L58" s="17" t="n">
        <x:v>125424</x:v>
      </x:c>
      <x:c r="M58" s="17" t="n">
        <x:v>-8481214.99</x:v>
      </x:c>
      <x:c r="N58" s="14" t="str">
        <x:v>High Transaction; Recurring Transaction</x:v>
      </x:c>
      <x:c r="O58" s="14" t="str">
        <x:v>Yes</x:v>
      </x:c>
      <x:c r="P58" s="14" t="str">
        <x:v>EBANKWIB</x:v>
      </x:c>
      <x:c r="Q58" s="14" t="n">
        <x:v>0</x:v>
      </x:c>
      <x:c r="R58" s="14" t="n">
        <x:v>1</x:v>
      </x:c>
      <x:c r="S58" s="14" t="n">
        <x:v>0</x:v>
      </x:c>
      <x:c r="T58" s="14" t="n">
        <x:v>0</x:v>
      </x:c>
      <x:c r="U58" s="14" t="n">
        <x:v>1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46127</x:v>
      </x:c>
    </x:row>
    <x:row r="59">
      <x:c r="A59" s="14" t="n">
        <x:v>55</x:v>
      </x:c>
      <x:c r="B59" s="14" t="str">
        <x:v>273.pdf</x:v>
      </x:c>
      <x:c r="C59" s="15" t="n">
        <x:v>45181</x:v>
      </x:c>
      <x:c r="D59" s="15" t="n">
        <x:v>46146</x:v>
      </x:c>
      <x:c r="E59" s="15" t="n">
        <x:v>46127</x:v>
      </x:c>
      <x:c r="F59" s="15" t="n">
        <x:v>46127</x:v>
      </x:c>
      <x:c r="G59" s="16" t="str">
        <x:v>BY CASH Dr BY CASH</x:v>
      </x:c>
      <x:c r="H59" s="14" t="str"/>
      <x:c r="I59" s="14" t="str">
        <x:v>Receipt</x:v>
      </x:c>
      <x:c r="J59" s="17" t="n">
        <x:v>0</x:v>
      </x:c>
      <x:c r="K59" s="17" t="n">
        <x:v>371000</x:v>
      </x:c>
      <x:c r="L59" s="17" t="n">
        <x:v>371000</x:v>
      </x:c>
      <x:c r="M59" s="17" t="n">
        <x:v>-8110214.99</x:v>
      </x:c>
      <x:c r="N59" s="14" t="str">
        <x:v>Cash; High Transaction; Recurring Transaction</x:v>
      </x:c>
      <x:c r="O59" s="14" t="str">
        <x:v>Yes</x:v>
      </x:c>
      <x:c r="P59" s="14" t="str">
        <x:v>BY CASH DR BY CASH</x:v>
      </x:c>
      <x:c r="Q59" s="14" t="n">
        <x:v>1</x:v>
      </x:c>
      <x:c r="R59" s="14" t="n">
        <x:v>1</x:v>
      </x:c>
      <x:c r="S59" s="14" t="n">
        <x:v>0</x:v>
      </x:c>
      <x:c r="T59" s="14" t="n">
        <x:v>0</x:v>
      </x:c>
      <x:c r="U59" s="14" t="n">
        <x:v>1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46127</x:v>
      </x:c>
    </x:row>
    <x:row r="60">
      <x:c r="A60" s="14" t="n">
        <x:v>56</x:v>
      </x:c>
      <x:c r="B60" s="14" t="str">
        <x:v>273.pdf</x:v>
      </x:c>
      <x:c r="C60" s="15" t="n">
        <x:v>45181</x:v>
      </x:c>
      <x:c r="D60" s="15" t="n">
        <x:v>46146</x:v>
      </x:c>
      <x:c r="E60" s="15" t="n">
        <x:v>46127</x:v>
      </x:c>
      <x:c r="F60" s="15" t="n">
        <x:v>46127</x:v>
      </x:c>
      <x:c r="G60" s="16" t="str">
        <x:v>EBANK:WIB/1504 Dr EBANK:WIB/1504156827/Edfs</x:v>
      </x:c>
      <x:c r="H60" s="14" t="str"/>
      <x:c r="I60" s="14" t="str">
        <x:v>Receipt</x:v>
      </x:c>
      <x:c r="J60" s="17" t="n">
        <x:v>0</x:v>
      </x:c>
      <x:c r="K60" s="17" t="n">
        <x:v>13736</x:v>
      </x:c>
      <x:c r="L60" s="17" t="n">
        <x:v>13736</x:v>
      </x:c>
      <x:c r="M60" s="17" t="n">
        <x:v>-8096478.99</x:v>
      </x:c>
      <x:c r="N60" s="14" t="str">
        <x:v>Recurring Transaction</x:v>
      </x:c>
      <x:c r="O60" s="14" t="str">
        <x:v>Yes</x:v>
      </x:c>
      <x:c r="P60" s="14" t="str">
        <x:v>EBANKWIB</x:v>
      </x:c>
      <x:c r="Q60" s="14" t="n">
        <x:v>0</x:v>
      </x:c>
      <x:c r="R60" s="14" t="n">
        <x:v>1</x:v>
      </x:c>
      <x:c r="S60" s="14" t="n">
        <x:v>0</x:v>
      </x:c>
      <x:c r="T60" s="14" t="n">
        <x:v>0</x:v>
      </x:c>
      <x:c r="U60" s="14" t="n">
        <x:v>0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46127</x:v>
      </x:c>
    </x:row>
    <x:row r="61">
      <x:c r="A61" s="14" t="n">
        <x:v>57</x:v>
      </x:c>
      <x:c r="B61" s="14" t="str">
        <x:v>273.pdf</x:v>
      </x:c>
      <x:c r="C61" s="15" t="n">
        <x:v>45181</x:v>
      </x:c>
      <x:c r="D61" s="15" t="n">
        <x:v>46146</x:v>
      </x:c>
      <x:c r="E61" s="15" t="n">
        <x:v>46127</x:v>
      </x:c>
      <x:c r="F61" s="15" t="n">
        <x:v>46127</x:v>
      </x:c>
      <x:c r="G61" s="16" t="str">
        <x:v>RTGS-BARBR5202 Dr RTGS-BARBR52026041500840540-HINDUSTAN PETROLEUM CO</x:v>
      </x:c>
      <x:c r="H61" s="14" t="str"/>
      <x:c r="I61" s="14" t="str">
        <x:v>Payment</x:v>
      </x:c>
      <x:c r="J61" s="17" t="n">
        <x:v>1889785</x:v>
      </x:c>
      <x:c r="K61" s="17" t="n">
        <x:v>0</x:v>
      </x:c>
      <x:c r="L61" s="17" t="n">
        <x:v>1889785</x:v>
      </x:c>
      <x:c r="M61" s="17" t="n">
        <x:v>-9986263.99</x:v>
      </x:c>
      <x:c r="N61" s="14" t="str">
        <x:v>High Transaction; Recurring Transaction</x:v>
      </x:c>
      <x:c r="O61" s="14" t="str">
        <x:v>Yes</x:v>
      </x:c>
      <x:c r="P61" s="14" t="str">
        <x:v>BARBR DR RTGS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1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46127</x:v>
      </x:c>
    </x:row>
    <x:row r="62">
      <x:c r="A62" s="14" t="n">
        <x:v>58</x:v>
      </x:c>
      <x:c r="B62" s="14" t="str">
        <x:v>273.pdf</x:v>
      </x:c>
      <x:c r="C62" s="15" t="n">
        <x:v>45181</x:v>
      </x:c>
      <x:c r="D62" s="15" t="n">
        <x:v>46146</x:v>
      </x:c>
      <x:c r="E62" s="15" t="n">
        <x:v>46127</x:v>
      </x:c>
      <x:c r="F62" s="15" t="n">
        <x:v>46127</x:v>
      </x:c>
      <x:c r="G62" s="16" t="str">
        <x:v>EBANK:WIB/1504 Dr EBANK:WIB/1504160264/Edfs</x:v>
      </x:c>
      <x:c r="H62" s="14" t="str"/>
      <x:c r="I62" s="14" t="str">
        <x:v>Receipt</x:v>
      </x:c>
      <x:c r="J62" s="17" t="n">
        <x:v>0</x:v>
      </x:c>
      <x:c r="K62" s="17" t="n">
        <x:v>54252.8</x:v>
      </x:c>
      <x:c r="L62" s="17" t="n">
        <x:v>54252.8</x:v>
      </x:c>
      <x:c r="M62" s="17" t="n">
        <x:v>-9932011.19</x:v>
      </x:c>
      <x:c r="N62" s="14" t="str">
        <x:v>Recurring Transaction</x:v>
      </x:c>
      <x:c r="O62" s="14" t="str">
        <x:v>Yes</x:v>
      </x:c>
      <x:c r="P62" s="14" t="str">
        <x:v>EBANKWIB</x:v>
      </x:c>
      <x:c r="Q62" s="14" t="n">
        <x:v>0</x:v>
      </x:c>
      <x:c r="R62" s="14" t="n">
        <x:v>1</x:v>
      </x:c>
      <x:c r="S62" s="14" t="n">
        <x:v>0</x:v>
      </x:c>
      <x:c r="T62" s="14" t="n">
        <x:v>0</x:v>
      </x:c>
      <x:c r="U62" s="14" t="n">
        <x:v>0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46127</x:v>
      </x:c>
    </x:row>
    <x:row r="63">
      <x:c r="A63" s="14" t="n">
        <x:v>59</x:v>
      </x:c>
      <x:c r="B63" s="14" t="str">
        <x:v>273.pdf</x:v>
      </x:c>
      <x:c r="C63" s="15" t="n">
        <x:v>45181</x:v>
      </x:c>
      <x:c r="D63" s="15" t="n">
        <x:v>46146</x:v>
      </x:c>
      <x:c r="E63" s="15" t="n">
        <x:v>46127</x:v>
      </x:c>
      <x:c r="F63" s="15" t="n">
        <x:v>46127</x:v>
      </x:c>
      <x:c r="G63" s="16" t="str">
        <x:v>NEFT-BARBQ2610 Dr NEFT-BARBQ26105757267-HINDUSTAN PETROLEUM CORPORAT</x:v>
      </x:c>
      <x:c r="H63" s="14" t="str"/>
      <x:c r="I63" s="14" t="str">
        <x:v>Payment</x:v>
      </x:c>
      <x:c r="J63" s="17" t="n">
        <x:v>67988</x:v>
      </x:c>
      <x:c r="K63" s="17" t="n">
        <x:v>0</x:v>
      </x:c>
      <x:c r="L63" s="17" t="n">
        <x:v>67988</x:v>
      </x:c>
      <x:c r="M63" s="17" t="n">
        <x:v>-9999999.19</x:v>
      </x:c>
      <x:c r="N63" s="14" t="str">
        <x:v>Recurring Transaction</x:v>
      </x:c>
      <x:c r="O63" s="14" t="str">
        <x:v>Yes</x:v>
      </x:c>
      <x:c r="P63" s="14" t="str">
        <x:v>BARBQ DR NEFT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0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46127</x:v>
      </x:c>
    </x:row>
    <x:row r="64">
      <x:c r="A64" s="14" t="n">
        <x:v>60</x:v>
      </x:c>
      <x:c r="B64" s="14" t="str">
        <x:v>273.pdf</x:v>
      </x:c>
      <x:c r="C64" s="15" t="n">
        <x:v>45181</x:v>
      </x:c>
      <x:c r="D64" s="15" t="n">
        <x:v>46146</x:v>
      </x:c>
      <x:c r="E64" s="15" t="n">
        <x:v>46127</x:v>
      </x:c>
      <x:c r="F64" s="15" t="n">
        <x:v>46127</x:v>
      </x:c>
      <x:c r="G64" s="16" t="str">
        <x:v>EBANK:WIB/1504 Dr EBANK:WIB/1504165308/Edfs</x:v>
      </x:c>
      <x:c r="H64" s="14" t="str"/>
      <x:c r="I64" s="14" t="str">
        <x:v>Receipt</x:v>
      </x:c>
      <x:c r="J64" s="17" t="n">
        <x:v>0</x:v>
      </x:c>
      <x:c r="K64" s="17" t="n">
        <x:v>44496</x:v>
      </x:c>
      <x:c r="L64" s="17" t="n">
        <x:v>44496</x:v>
      </x:c>
      <x:c r="M64" s="17" t="n">
        <x:v>-9955503.19</x:v>
      </x:c>
      <x:c r="N64" s="14" t="str">
        <x:v>Recurring Transaction</x:v>
      </x:c>
      <x:c r="O64" s="14" t="str">
        <x:v>Yes</x:v>
      </x:c>
      <x:c r="P64" s="14" t="str">
        <x:v>EBANKWIB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0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46127</x:v>
      </x:c>
    </x:row>
    <x:row r="65">
      <x:c r="A65" s="14" t="n">
        <x:v>61</x:v>
      </x:c>
      <x:c r="B65" s="14" t="str">
        <x:v>273.pdf</x:v>
      </x:c>
      <x:c r="C65" s="15" t="n">
        <x:v>45181</x:v>
      </x:c>
      <x:c r="D65" s="15" t="n">
        <x:v>46146</x:v>
      </x:c>
      <x:c r="E65" s="15" t="n">
        <x:v>46128</x:v>
      </x:c>
      <x:c r="F65" s="15" t="n">
        <x:v>46128</x:v>
      </x:c>
      <x:c r="G65" s="16" t="str">
        <x:v>NEFT-BARBS2610 Dr NEFT-BARBS26106083004-HINDUSTAN PETROLEUM CORPORAT</x:v>
      </x:c>
      <x:c r="H65" s="14" t="str"/>
      <x:c r="I65" s="14" t="str">
        <x:v>Payment</x:v>
      </x:c>
      <x:c r="J65" s="17" t="n">
        <x:v>40692.24</x:v>
      </x:c>
      <x:c r="K65" s="17" t="n">
        <x:v>0</x:v>
      </x:c>
      <x:c r="L65" s="17" t="n">
        <x:v>40692.24</x:v>
      </x:c>
      <x:c r="M65" s="17" t="n">
        <x:v>-9996195.43</x:v>
      </x:c>
      <x:c r="N65" s="14" t="str">
        <x:v>Other</x:v>
      </x:c>
      <x:c r="O65" s="14" t="str">
        <x:v>No</x:v>
      </x:c>
      <x:c r="P65" s="14" t="str">
        <x:v>BARBS DR NEFT</x:v>
      </x:c>
      <x:c r="Q65" s="14" t="n">
        <x:v>0</x:v>
      </x:c>
      <x:c r="R65" s="14" t="n">
        <x:v>0</x:v>
      </x:c>
      <x:c r="S65" s="14" t="n">
        <x:v>0</x:v>
      </x:c>
      <x:c r="T65" s="14" t="n">
        <x:v>0</x:v>
      </x:c>
      <x:c r="U65" s="14" t="n">
        <x:v>0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46128</x:v>
      </x:c>
    </x:row>
    <x:row r="66">
      <x:c r="A66" s="14" t="n">
        <x:v>62</x:v>
      </x:c>
      <x:c r="B66" s="14" t="str">
        <x:v>273.pdf</x:v>
      </x:c>
      <x:c r="C66" s="15" t="n">
        <x:v>45181</x:v>
      </x:c>
      <x:c r="D66" s="15" t="n">
        <x:v>46146</x:v>
      </x:c>
      <x:c r="E66" s="15" t="n">
        <x:v>46128</x:v>
      </x:c>
      <x:c r="F66" s="15" t="n">
        <x:v>46128</x:v>
      </x:c>
      <x:c r="G66" s="16" t="str">
        <x:v>EBANK:WIB/1504 Dr ---------------------------------------------------------------------------------------------------------------------------------- Page Total: 39,70,606.25 25,69,345.80 90,98,021.65Dr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</x:v>
      </x:c>
      <x:c r="H66" s="14" t="str"/>
      <x:c r="I66" s="14" t="str">
        <x:v>Receipt</x:v>
      </x:c>
      <x:c r="J66" s="17" t="n">
        <x:v>0</x:v>
      </x:c>
      <x:c r="K66" s="17" t="n">
        <x:v>898173.78</x:v>
      </x:c>
      <x:c r="L66" s="17" t="n">
        <x:v>898173.78</x:v>
      </x:c>
      <x:c r="M66" s="17" t="n">
        <x:v>-9098021.65</x:v>
      </x:c>
      <x:c r="N66" s="14" t="str">
        <x:v>High Transaction; Recurring Transaction</x:v>
      </x:c>
      <x:c r="O66" s="14" t="str">
        <x:v>Yes</x:v>
      </x:c>
      <x:c r="P66" s="14" t="str">
        <x:v>EBANKWIB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1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46128</x:v>
      </x:c>
    </x:row>
    <x:row r="67">
      <x:c r="A67" s="14" t="n">
        <x:v>63</x:v>
      </x:c>
      <x:c r="B67" s="14" t="str">
        <x:v>273.pdf</x:v>
      </x:c>
      <x:c r="C67" s="15" t="n">
        <x:v>45181</x:v>
      </x:c>
      <x:c r="D67" s="15" t="n">
        <x:v>46146</x:v>
      </x:c>
      <x:c r="E67" s="15" t="n">
        <x:v>46128</x:v>
      </x:c>
      <x:c r="F67" s="15" t="n">
        <x:v>46128</x:v>
      </x:c>
      <x:c r="G67" s="16" t="str">
        <x:v>BY CASH Dr BY CASH</x:v>
      </x:c>
      <x:c r="H67" s="14" t="str"/>
      <x:c r="I67" s="14" t="str">
        <x:v>Receipt</x:v>
      </x:c>
      <x:c r="J67" s="17" t="n">
        <x:v>0</x:v>
      </x:c>
      <x:c r="K67" s="17" t="n">
        <x:v>166000</x:v>
      </x:c>
      <x:c r="L67" s="17" t="n">
        <x:v>166000</x:v>
      </x:c>
      <x:c r="M67" s="17" t="n">
        <x:v>-8932021.65</x:v>
      </x:c>
      <x:c r="N67" s="14" t="str">
        <x:v>Cash; High Transaction; Recurring Transaction</x:v>
      </x:c>
      <x:c r="O67" s="14" t="str">
        <x:v>Yes</x:v>
      </x:c>
      <x:c r="P67" s="14" t="str">
        <x:v>BY CASH DR BY CASH</x:v>
      </x:c>
      <x:c r="Q67" s="14" t="n">
        <x:v>1</x:v>
      </x:c>
      <x:c r="R67" s="14" t="n">
        <x:v>1</x:v>
      </x:c>
      <x:c r="S67" s="14" t="n">
        <x:v>0</x:v>
      </x:c>
      <x:c r="T67" s="14" t="n">
        <x:v>0</x:v>
      </x:c>
      <x:c r="U67" s="14" t="n">
        <x:v>1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46128</x:v>
      </x:c>
    </x:row>
    <x:row r="68">
      <x:c r="A68" s="14" t="n">
        <x:v>64</x:v>
      </x:c>
      <x:c r="B68" s="14" t="str">
        <x:v>273.pdf</x:v>
      </x:c>
      <x:c r="C68" s="15" t="n">
        <x:v>45181</x:v>
      </x:c>
      <x:c r="D68" s="15" t="n">
        <x:v>46146</x:v>
      </x:c>
      <x:c r="E68" s="15" t="n">
        <x:v>46128</x:v>
      </x:c>
      <x:c r="F68" s="15" t="n">
        <x:v>46128</x:v>
      </x:c>
      <x:c r="G68" s="16" t="str">
        <x:v>DIGITA-MUMBAI/ Dr INT260330DEAL6270027</x:v>
      </x:c>
      <x:c r="H68" s="14" t="str"/>
      <x:c r="I68" s="14" t="str">
        <x:v>Payment</x:v>
      </x:c>
      <x:c r="J68" s="17" t="n">
        <x:v>3.6</x:v>
      </x:c>
      <x:c r="K68" s="17" t="n">
        <x:v>0</x:v>
      </x:c>
      <x:c r="L68" s="17" t="n">
        <x:v>3.6</x:v>
      </x:c>
      <x:c r="M68" s="17" t="n">
        <x:v>-8932025.25</x:v>
      </x:c>
      <x:c r="N68" s="14" t="str">
        <x:v>Recurring Transaction</x:v>
      </x:c>
      <x:c r="O68" s="14" t="str">
        <x:v>Yes</x:v>
      </x:c>
      <x:c r="P68" s="14" t="str">
        <x:v>DR INTDEAL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0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46128</x:v>
      </x:c>
    </x:row>
    <x:row r="69">
      <x:c r="A69" s="14" t="n">
        <x:v>65</x:v>
      </x:c>
      <x:c r="B69" s="14" t="str">
        <x:v>273.pdf</x:v>
      </x:c>
      <x:c r="C69" s="15" t="n">
        <x:v>45181</x:v>
      </x:c>
      <x:c r="D69" s="15" t="n">
        <x:v>46146</x:v>
      </x:c>
      <x:c r="E69" s="15" t="n">
        <x:v>46128</x:v>
      </x:c>
      <x:c r="F69" s="15" t="n">
        <x:v>46128</x:v>
      </x:c>
      <x:c r="G69" s="16" t="str">
        <x:v>VJSOLU-SOLUR/I Dr INT260331DEAL6279575</x:v>
      </x:c>
      <x:c r="H69" s="14" t="str"/>
      <x:c r="I69" s="14" t="str">
        <x:v>Payment</x:v>
      </x:c>
      <x:c r="J69" s="17" t="n">
        <x:v>120.12</x:v>
      </x:c>
      <x:c r="K69" s="17" t="n">
        <x:v>0</x:v>
      </x:c>
      <x:c r="L69" s="17" t="n">
        <x:v>120.12</x:v>
      </x:c>
      <x:c r="M69" s="17" t="n">
        <x:v>-8932145.37</x:v>
      </x:c>
      <x:c r="N69" s="14" t="str">
        <x:v>Other</x:v>
      </x:c>
      <x:c r="O69" s="14" t="str">
        <x:v>No</x:v>
      </x:c>
      <x:c r="P69" s="14" t="str">
        <x:v>I DR INTDEAL</x:v>
      </x:c>
      <x:c r="Q69" s="14" t="n">
        <x:v>0</x:v>
      </x:c>
      <x:c r="R69" s="14" t="n">
        <x:v>0</x:v>
      </x:c>
      <x:c r="S69" s="14" t="n">
        <x:v>0</x:v>
      </x:c>
      <x:c r="T69" s="14" t="n">
        <x:v>0</x:v>
      </x:c>
      <x:c r="U69" s="14" t="n">
        <x:v>0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46128</x:v>
      </x:c>
    </x:row>
    <x:row r="70">
      <x:c r="A70" s="14" t="n">
        <x:v>66</x:v>
      </x:c>
      <x:c r="B70" s="14" t="str">
        <x:v>273.pdf</x:v>
      </x:c>
      <x:c r="C70" s="15" t="n">
        <x:v>45181</x:v>
      </x:c>
      <x:c r="D70" s="15" t="n">
        <x:v>46146</x:v>
      </x:c>
      <x:c r="E70" s="15" t="n">
        <x:v>46129</x:v>
      </x:c>
      <x:c r="F70" s="15" t="n">
        <x:v>46129</x:v>
      </x:c>
      <x:c r="G70" s="16" t="str">
        <x:v>EBANK:WIB/1504 Dr EBANK:WIB/1504347697/Edfs</x:v>
      </x:c>
      <x:c r="H70" s="14" t="str"/>
      <x:c r="I70" s="14" t="str">
        <x:v>Receipt</x:v>
      </x:c>
      <x:c r="J70" s="17" t="n">
        <x:v>0</x:v>
      </x:c>
      <x:c r="K70" s="17" t="n">
        <x:v>328514.76</x:v>
      </x:c>
      <x:c r="L70" s="17" t="n">
        <x:v>328514.76</x:v>
      </x:c>
      <x:c r="M70" s="17" t="n">
        <x:v>-8603630.61</x:v>
      </x:c>
      <x:c r="N70" s="14" t="str">
        <x:v>High Transaction; Recurring Transaction</x:v>
      </x:c>
      <x:c r="O70" s="14" t="str">
        <x:v>Yes</x:v>
      </x:c>
      <x:c r="P70" s="14" t="str">
        <x:v>EBANKWIB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1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46129</x:v>
      </x:c>
    </x:row>
    <x:row r="71">
      <x:c r="A71" s="14" t="n">
        <x:v>67</x:v>
      </x:c>
      <x:c r="B71" s="14" t="str">
        <x:v>273.pdf</x:v>
      </x:c>
      <x:c r="C71" s="15" t="n">
        <x:v>45181</x:v>
      </x:c>
      <x:c r="D71" s="15" t="n">
        <x:v>46146</x:v>
      </x:c>
      <x:c r="E71" s="15" t="n">
        <x:v>46129</x:v>
      </x:c>
      <x:c r="F71" s="15" t="n">
        <x:v>46129</x:v>
      </x:c>
      <x:c r="G71" s="16" t="str">
        <x:v>0000-MUMBAI/IN Dr INT260402DEAL6291634</x:v>
      </x:c>
      <x:c r="H71" s="14" t="str"/>
      <x:c r="I71" s="14" t="str">
        <x:v>Payment</x:v>
      </x:c>
      <x:c r="J71" s="17" t="n">
        <x:v>4857.17</x:v>
      </x:c>
      <x:c r="K71" s="17" t="n">
        <x:v>0</x:v>
      </x:c>
      <x:c r="L71" s="17" t="n">
        <x:v>4857.17</x:v>
      </x:c>
      <x:c r="M71" s="17" t="n">
        <x:v>-8608487.78</x:v>
      </x:c>
      <x:c r="N71" s="14" t="str">
        <x:v>Recurring Transaction</x:v>
      </x:c>
      <x:c r="O71" s="14" t="str">
        <x:v>Yes</x:v>
      </x:c>
      <x:c r="P71" s="14" t="str">
        <x:v>IN DR INTDEAL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0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46129</x:v>
      </x:c>
    </x:row>
    <x:row r="72">
      <x:c r="A72" s="14" t="n">
        <x:v>68</x:v>
      </x:c>
      <x:c r="B72" s="14" t="str">
        <x:v>273.pdf</x:v>
      </x:c>
      <x:c r="C72" s="15" t="n">
        <x:v>45181</x:v>
      </x:c>
      <x:c r="D72" s="15" t="n">
        <x:v>46146</x:v>
      </x:c>
      <x:c r="E72" s="15" t="n">
        <x:v>46129</x:v>
      </x:c>
      <x:c r="F72" s="15" t="n">
        <x:v>46129</x:v>
      </x:c>
      <x:c r="G72" s="16" t="str">
        <x:v>EBANK:WIB/1504 Dr EBANK:WIB/1504424773/Edfs</x:v>
      </x:c>
      <x:c r="H72" s="14" t="str"/>
      <x:c r="I72" s="14" t="str">
        <x:v>Receipt</x:v>
      </x:c>
      <x:c r="J72" s="17" t="n">
        <x:v>0</x:v>
      </x:c>
      <x:c r="K72" s="17" t="n">
        <x:v>150000</x:v>
      </x:c>
      <x:c r="L72" s="17" t="n">
        <x:v>150000</x:v>
      </x:c>
      <x:c r="M72" s="17" t="n">
        <x:v>-8458487.78</x:v>
      </x:c>
      <x:c r="N72" s="14" t="str">
        <x:v>High Transaction; Recurring Transaction</x:v>
      </x:c>
      <x:c r="O72" s="14" t="str">
        <x:v>Yes</x:v>
      </x:c>
      <x:c r="P72" s="14" t="str">
        <x:v>EBANKWIB</x:v>
      </x:c>
      <x:c r="Q72" s="14" t="n">
        <x:v>0</x:v>
      </x:c>
      <x:c r="R72" s="14" t="n">
        <x:v>1</x:v>
      </x:c>
      <x:c r="S72" s="14" t="n">
        <x:v>0</x:v>
      </x:c>
      <x:c r="T72" s="14" t="n">
        <x:v>0</x:v>
      </x:c>
      <x:c r="U72" s="14" t="n">
        <x:v>1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46129</x:v>
      </x:c>
    </x:row>
    <x:row r="73">
      <x:c r="A73" s="14" t="n">
        <x:v>69</x:v>
      </x:c>
      <x:c r="B73" s="14" t="str">
        <x:v>273.pdf</x:v>
      </x:c>
      <x:c r="C73" s="15" t="n">
        <x:v>45181</x:v>
      </x:c>
      <x:c r="D73" s="15" t="n">
        <x:v>46146</x:v>
      </x:c>
      <x:c r="E73" s="15" t="n">
        <x:v>46130</x:v>
      </x:c>
      <x:c r="F73" s="15" t="n">
        <x:v>46130</x:v>
      </x:c>
      <x:c r="G73" s="16" t="str">
        <x:v>0000-MUMBAI/IN Dr INT260404DEAL6301802</x:v>
      </x:c>
      <x:c r="H73" s="14" t="str"/>
      <x:c r="I73" s="14" t="str">
        <x:v>Payment</x:v>
      </x:c>
      <x:c r="J73" s="17" t="n">
        <x:v>6118.58</x:v>
      </x:c>
      <x:c r="K73" s="17" t="n">
        <x:v>0</x:v>
      </x:c>
      <x:c r="L73" s="17" t="n">
        <x:v>6118.58</x:v>
      </x:c>
      <x:c r="M73" s="17" t="n">
        <x:v>-8464606.36</x:v>
      </x:c>
      <x:c r="N73" s="14" t="str">
        <x:v>Recurring Transaction</x:v>
      </x:c>
      <x:c r="O73" s="14" t="str">
        <x:v>Yes</x:v>
      </x:c>
      <x:c r="P73" s="14" t="str">
        <x:v>IN DR INTDEAL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0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46130</x:v>
      </x:c>
    </x:row>
    <x:row r="74">
      <x:c r="A74" s="14" t="n">
        <x:v>70</x:v>
      </x:c>
      <x:c r="B74" s="14" t="str">
        <x:v>273.pdf</x:v>
      </x:c>
      <x:c r="C74" s="15" t="n">
        <x:v>45181</x:v>
      </x:c>
      <x:c r="D74" s="15" t="n">
        <x:v>46146</x:v>
      </x:c>
      <x:c r="E74" s="15" t="n">
        <x:v>46130</x:v>
      </x:c>
      <x:c r="F74" s="15" t="n">
        <x:v>46130</x:v>
      </x:c>
      <x:c r="G74" s="16" t="str">
        <x:v>BY CASH Dr BY CASH</x:v>
      </x:c>
      <x:c r="H74" s="14" t="str"/>
      <x:c r="I74" s="14" t="str">
        <x:v>Receipt</x:v>
      </x:c>
      <x:c r="J74" s="17" t="n">
        <x:v>0</x:v>
      </x:c>
      <x:c r="K74" s="17" t="n">
        <x:v>394500</x:v>
      </x:c>
      <x:c r="L74" s="17" t="n">
        <x:v>394500</x:v>
      </x:c>
      <x:c r="M74" s="17" t="n">
        <x:v>-8070106.36</x:v>
      </x:c>
      <x:c r="N74" s="14" t="str">
        <x:v>Cash; High Transaction; Recurring Transaction</x:v>
      </x:c>
      <x:c r="O74" s="14" t="str">
        <x:v>Yes</x:v>
      </x:c>
      <x:c r="P74" s="14" t="str">
        <x:v>BY CASH DR BY CASH</x:v>
      </x:c>
      <x:c r="Q74" s="14" t="n">
        <x:v>1</x:v>
      </x:c>
      <x:c r="R74" s="14" t="n">
        <x:v>1</x:v>
      </x:c>
      <x:c r="S74" s="14" t="n">
        <x:v>0</x:v>
      </x:c>
      <x:c r="T74" s="14" t="n">
        <x:v>0</x:v>
      </x:c>
      <x:c r="U74" s="14" t="n">
        <x:v>1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46130</x:v>
      </x:c>
    </x:row>
    <x:row r="75">
      <x:c r="A75" s="14" t="n">
        <x:v>71</x:v>
      </x:c>
      <x:c r="B75" s="14" t="str">
        <x:v>273.pdf</x:v>
      </x:c>
      <x:c r="C75" s="15" t="n">
        <x:v>45181</x:v>
      </x:c>
      <x:c r="D75" s="15" t="n">
        <x:v>46146</x:v>
      </x:c>
      <x:c r="E75" s="15" t="n">
        <x:v>46130</x:v>
      </x:c>
      <x:c r="F75" s="15" t="n">
        <x:v>46130</x:v>
      </x:c>
      <x:c r="G75" s="16" t="str">
        <x:v>DBUTRA-LUCKNOW Dr INT260402DEAL6291634</x:v>
      </x:c>
      <x:c r="H75" s="14" t="str"/>
      <x:c r="I75" s="14" t="str">
        <x:v>Payment</x:v>
      </x:c>
      <x:c r="J75" s="17" t="n">
        <x:v>93.69</x:v>
      </x:c>
      <x:c r="K75" s="17" t="n">
        <x:v>0</x:v>
      </x:c>
      <x:c r="L75" s="17" t="n">
        <x:v>93.69</x:v>
      </x:c>
      <x:c r="M75" s="17" t="n">
        <x:v>-8070200.05</x:v>
      </x:c>
      <x:c r="N75" s="14" t="str">
        <x:v>Other</x:v>
      </x:c>
      <x:c r="O75" s="14" t="str">
        <x:v>No</x:v>
      </x:c>
      <x:c r="P75" s="14" t="str">
        <x:v>LUCKNOW DR INTDEAL</x:v>
      </x:c>
      <x:c r="Q75" s="14" t="n">
        <x:v>0</x:v>
      </x:c>
      <x:c r="R75" s="14" t="n">
        <x:v>0</x:v>
      </x:c>
      <x:c r="S75" s="14" t="n">
        <x:v>0</x:v>
      </x:c>
      <x:c r="T75" s="14" t="n">
        <x:v>0</x:v>
      </x:c>
      <x:c r="U75" s="14" t="n">
        <x:v>0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46130</x:v>
      </x:c>
    </x:row>
    <x:row r="76">
      <x:c r="A76" s="14" t="n">
        <x:v>72</x:v>
      </x:c>
      <x:c r="B76" s="14" t="str">
        <x:v>273.pdf</x:v>
      </x:c>
      <x:c r="C76" s="15" t="n">
        <x:v>45181</x:v>
      </x:c>
      <x:c r="D76" s="15" t="n">
        <x:v>46146</x:v>
      </x:c>
      <x:c r="E76" s="15" t="n">
        <x:v>46130</x:v>
      </x:c>
      <x:c r="F76" s="15" t="n">
        <x:v>46130</x:v>
      </x:c>
      <x:c r="G76" s="16" t="str">
        <x:v>EBANK:WIB/1504 Dr EBANK:WIB/1504650433/Edfs</x:v>
      </x:c>
      <x:c r="H76" s="14" t="str"/>
      <x:c r="I76" s="14" t="str">
        <x:v>Receipt</x:v>
      </x:c>
      <x:c r="J76" s="17" t="n">
        <x:v>0</x:v>
      </x:c>
      <x:c r="K76" s="17" t="n">
        <x:v>480667.28</x:v>
      </x:c>
      <x:c r="L76" s="17" t="n">
        <x:v>480667.28</x:v>
      </x:c>
      <x:c r="M76" s="17" t="n">
        <x:v>-7589532.77</x:v>
      </x:c>
      <x:c r="N76" s="14" t="str">
        <x:v>High Transaction; Recurring Transaction</x:v>
      </x:c>
      <x:c r="O76" s="14" t="str">
        <x:v>Yes</x:v>
      </x:c>
      <x:c r="P76" s="14" t="str">
        <x:v>EBANKWIB</x:v>
      </x:c>
      <x:c r="Q76" s="14" t="n">
        <x:v>0</x:v>
      </x:c>
      <x:c r="R76" s="14" t="n">
        <x:v>1</x:v>
      </x:c>
      <x:c r="S76" s="14" t="n">
        <x:v>0</x:v>
      </x:c>
      <x:c r="T76" s="14" t="n">
        <x:v>0</x:v>
      </x:c>
      <x:c r="U76" s="14" t="n">
        <x:v>1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46130</x:v>
      </x:c>
    </x:row>
    <x:row r="77">
      <x:c r="A77" s="14" t="n">
        <x:v>73</x:v>
      </x:c>
      <x:c r="B77" s="14" t="str">
        <x:v>273.pdf</x:v>
      </x:c>
      <x:c r="C77" s="15" t="n">
        <x:v>45181</x:v>
      </x:c>
      <x:c r="D77" s="15" t="n">
        <x:v>46146</x:v>
      </x:c>
      <x:c r="E77" s="15" t="n">
        <x:v>46131</x:v>
      </x:c>
      <x:c r="F77" s="15" t="n">
        <x:v>46131</x:v>
      </x:c>
      <x:c r="G77" s="16" t="str">
        <x:v>EBANK:WIB/1504 Dr EBANK:WIB/1504657570/Edfs</x:v>
      </x:c>
      <x:c r="H77" s="14" t="str"/>
      <x:c r="I77" s="14" t="str">
        <x:v>Receipt</x:v>
      </x:c>
      <x:c r="J77" s="17" t="n">
        <x:v>0</x:v>
      </x:c>
      <x:c r="K77" s="17" t="n">
        <x:v>259433</x:v>
      </x:c>
      <x:c r="L77" s="17" t="n">
        <x:v>259433</x:v>
      </x:c>
      <x:c r="M77" s="17" t="n">
        <x:v>-7330099.77</x:v>
      </x:c>
      <x:c r="N77" s="14" t="str">
        <x:v>High Transaction; Recurring Transaction</x:v>
      </x:c>
      <x:c r="O77" s="14" t="str">
        <x:v>Yes</x:v>
      </x:c>
      <x:c r="P77" s="14" t="str">
        <x:v>EBANKWIB</x:v>
      </x:c>
      <x:c r="Q77" s="14" t="n">
        <x:v>0</x:v>
      </x:c>
      <x:c r="R77" s="14" t="n">
        <x:v>1</x:v>
      </x:c>
      <x:c r="S77" s="14" t="n">
        <x:v>0</x:v>
      </x:c>
      <x:c r="T77" s="14" t="n">
        <x:v>0</x:v>
      </x:c>
      <x:c r="U77" s="14" t="n">
        <x:v>1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46131</x:v>
      </x:c>
    </x:row>
    <x:row r="78">
      <x:c r="A78" s="14" t="n">
        <x:v>74</x:v>
      </x:c>
      <x:c r="B78" s="14" t="str">
        <x:v>273.pdf</x:v>
      </x:c>
      <x:c r="C78" s="15" t="n">
        <x:v>45181</x:v>
      </x:c>
      <x:c r="D78" s="15" t="n">
        <x:v>46146</x:v>
      </x:c>
      <x:c r="E78" s="15" t="n">
        <x:v>46131</x:v>
      </x:c>
      <x:c r="F78" s="15" t="n">
        <x:v>46131</x:v>
      </x:c>
      <x:c r="G78" s="16" t="str">
        <x:v>RTGS-BARBR5202 Dr RTGS-BARBR52026041900792985-HINDUSTAN PETROLEUM CO</x:v>
      </x:c>
      <x:c r="H78" s="14" t="str"/>
      <x:c r="I78" s="14" t="str">
        <x:v>Payment</x:v>
      </x:c>
      <x:c r="J78" s="17" t="n">
        <x:v>1933014</x:v>
      </x:c>
      <x:c r="K78" s="17" t="n">
        <x:v>0</x:v>
      </x:c>
      <x:c r="L78" s="17" t="n">
        <x:v>1933014</x:v>
      </x:c>
      <x:c r="M78" s="17" t="n">
        <x:v>-9263113.77</x:v>
      </x:c>
      <x:c r="N78" s="14" t="str">
        <x:v>High Transaction; Recurring Transaction</x:v>
      </x:c>
      <x:c r="O78" s="14" t="str">
        <x:v>Yes</x:v>
      </x:c>
      <x:c r="P78" s="14" t="str">
        <x:v>BARBR DR RTGS</x:v>
      </x:c>
      <x:c r="Q78" s="14" t="n">
        <x:v>0</x:v>
      </x:c>
      <x:c r="R78" s="14" t="n">
        <x:v>1</x:v>
      </x:c>
      <x:c r="S78" s="14" t="n">
        <x:v>0</x:v>
      </x:c>
      <x:c r="T78" s="14" t="n">
        <x:v>0</x:v>
      </x:c>
      <x:c r="U78" s="14" t="n">
        <x:v>1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46131</x:v>
      </x:c>
    </x:row>
    <x:row r="79">
      <x:c r="A79" s="14" t="n">
        <x:v>75</x:v>
      </x:c>
      <x:c r="B79" s="14" t="str">
        <x:v>273.pdf</x:v>
      </x:c>
      <x:c r="C79" s="15" t="n">
        <x:v>45181</x:v>
      </x:c>
      <x:c r="D79" s="15" t="n">
        <x:v>46146</x:v>
      </x:c>
      <x:c r="E79" s="15" t="n">
        <x:v>46131</x:v>
      </x:c>
      <x:c r="F79" s="15" t="n">
        <x:v>46131</x:v>
      </x:c>
      <x:c r="G79" s="16" t="str">
        <x:v>SASRAM-SASARAM Dr INT260404DEAL6301802</x:v>
      </x:c>
      <x:c r="H79" s="14" t="str"/>
      <x:c r="I79" s="14" t="str">
        <x:v>Payment</x:v>
      </x:c>
      <x:c r="J79" s="17" t="n">
        <x:v>325.99</x:v>
      </x:c>
      <x:c r="K79" s="17" t="n">
        <x:v>0</x:v>
      </x:c>
      <x:c r="L79" s="17" t="n">
        <x:v>325.99</x:v>
      </x:c>
      <x:c r="M79" s="17" t="n">
        <x:v>-9263439.76</x:v>
      </x:c>
      <x:c r="N79" s="14" t="str">
        <x:v>Other</x:v>
      </x:c>
      <x:c r="O79" s="14" t="str">
        <x:v>No</x:v>
      </x:c>
      <x:c r="P79" s="14" t="str">
        <x:v>SASARAM DR INTDEAL</x:v>
      </x:c>
      <x:c r="Q79" s="14" t="n">
        <x:v>0</x:v>
      </x:c>
      <x:c r="R79" s="14" t="n">
        <x:v>0</x:v>
      </x:c>
      <x:c r="S79" s="14" t="n">
        <x:v>0</x:v>
      </x:c>
      <x:c r="T79" s="14" t="n">
        <x:v>0</x:v>
      </x:c>
      <x:c r="U79" s="14" t="n">
        <x:v>0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46131</x:v>
      </x:c>
    </x:row>
    <x:row r="80">
      <x:c r="A80" s="14" t="n">
        <x:v>76</x:v>
      </x:c>
      <x:c r="B80" s="14" t="str">
        <x:v>273.pdf</x:v>
      </x:c>
      <x:c r="C80" s="15" t="n">
        <x:v>45181</x:v>
      </x:c>
      <x:c r="D80" s="15" t="n">
        <x:v>46146</x:v>
      </x:c>
      <x:c r="E80" s="15" t="n">
        <x:v>46131</x:v>
      </x:c>
      <x:c r="F80" s="15" t="n">
        <x:v>46131</x:v>
      </x:c>
      <x:c r="G80" s="16" t="str">
        <x:v>EBANK:WIB/1504 Dr EBANK:WIB/1504707135/Edfs</x:v>
      </x:c>
      <x:c r="H80" s="14" t="str"/>
      <x:c r="I80" s="14" t="str">
        <x:v>Receipt</x:v>
      </x:c>
      <x:c r="J80" s="17" t="n">
        <x:v>0</x:v>
      </x:c>
      <x:c r="K80" s="17" t="n">
        <x:v>211310.53</x:v>
      </x:c>
      <x:c r="L80" s="17" t="n">
        <x:v>211310.53</x:v>
      </x:c>
      <x:c r="M80" s="17" t="n">
        <x:v>-9052129.23</x:v>
      </x:c>
      <x:c r="N80" s="14" t="str">
        <x:v>High Transaction; Recurring Transaction</x:v>
      </x:c>
      <x:c r="O80" s="14" t="str">
        <x:v>Yes</x:v>
      </x:c>
      <x:c r="P80" s="14" t="str">
        <x:v>EBANKWIB</x:v>
      </x:c>
      <x:c r="Q80" s="14" t="n">
        <x:v>0</x:v>
      </x:c>
      <x:c r="R80" s="14" t="n">
        <x:v>1</x:v>
      </x:c>
      <x:c r="S80" s="14" t="n">
        <x:v>0</x:v>
      </x:c>
      <x:c r="T80" s="14" t="n">
        <x:v>0</x:v>
      </x:c>
      <x:c r="U80" s="14" t="n">
        <x:v>1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46131</x:v>
      </x:c>
    </x:row>
    <x:row r="81">
      <x:c r="A81" s="14" t="n">
        <x:v>77</x:v>
      </x:c>
      <x:c r="B81" s="14" t="str">
        <x:v>273.pdf</x:v>
      </x:c>
      <x:c r="C81" s="15" t="n">
        <x:v>45181</x:v>
      </x:c>
      <x:c r="D81" s="15" t="n">
        <x:v>46146</x:v>
      </x:c>
      <x:c r="E81" s="15" t="n">
        <x:v>46132</x:v>
      </x:c>
      <x:c r="F81" s="15" t="n">
        <x:v>46132</x:v>
      </x:c>
      <x:c r="G81" s="16" t="str">
        <x:v>EBANK:WIB/1504 Dr EBANK:WIB/1504717278/Edfs</x:v>
      </x:c>
      <x:c r="H81" s="14" t="str"/>
      <x:c r="I81" s="14" t="str">
        <x:v>Receipt</x:v>
      </x:c>
      <x:c r="J81" s="17" t="n">
        <x:v>0</x:v>
      </x:c>
      <x:c r="K81" s="17" t="n">
        <x:v>260572.52</x:v>
      </x:c>
      <x:c r="L81" s="17" t="n">
        <x:v>260572.52</x:v>
      </x:c>
      <x:c r="M81" s="17" t="n">
        <x:v>-8791556.71</x:v>
      </x:c>
      <x:c r="N81" s="14" t="str">
        <x:v>High Transaction; Recurring Transaction</x:v>
      </x:c>
      <x:c r="O81" s="14" t="str">
        <x:v>Yes</x:v>
      </x:c>
      <x:c r="P81" s="14" t="str">
        <x:v>EBANKWIB</x:v>
      </x:c>
      <x:c r="Q81" s="14" t="n">
        <x:v>0</x:v>
      </x:c>
      <x:c r="R81" s="14" t="n">
        <x:v>1</x:v>
      </x:c>
      <x:c r="S81" s="14" t="n">
        <x:v>0</x:v>
      </x:c>
      <x:c r="T81" s="14" t="n">
        <x:v>0</x:v>
      </x:c>
      <x:c r="U81" s="14" t="n">
        <x:v>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46132</x:v>
      </x:c>
    </x:row>
    <x:row r="82">
      <x:c r="A82" s="14" t="n">
        <x:v>78</x:v>
      </x:c>
      <x:c r="B82" s="14" t="str">
        <x:v>273.pdf</x:v>
      </x:c>
      <x:c r="C82" s="15" t="n">
        <x:v>45181</x:v>
      </x:c>
      <x:c r="D82" s="15" t="n">
        <x:v>46146</x:v>
      </x:c>
      <x:c r="E82" s="15" t="n">
        <x:v>46132</x:v>
      </x:c>
      <x:c r="F82" s="15" t="n">
        <x:v>46132</x:v>
      </x:c>
      <x:c r="G82" s="16" t="str">
        <x:v>RISHIK-RISHIKE Dr ---------------------------------------------------------------------------------------------------------------------------------- Page Total: 19,44,748.30 22,50,998.09 87,91,771.86Dr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</x:v>
      </x:c>
      <x:c r="H82" s="14" t="str"/>
      <x:c r="I82" s="14" t="str">
        <x:v>Payment</x:v>
      </x:c>
      <x:c r="J82" s="17" t="n">
        <x:v>215.15</x:v>
      </x:c>
      <x:c r="K82" s="17" t="n">
        <x:v>0</x:v>
      </x:c>
      <x:c r="L82" s="17" t="n">
        <x:v>215.15</x:v>
      </x:c>
      <x:c r="M82" s="17" t="n">
        <x:v>-8791771.86</x:v>
      </x:c>
      <x:c r="N82" s="14" t="str">
        <x:v>Other</x:v>
      </x:c>
      <x:c r="O82" s="14" t="str">
        <x:v>No</x:v>
      </x:c>
      <x:c r="P82" s="14" t="str">
        <x:v>RISHIKE DR</x:v>
      </x:c>
      <x:c r="Q82" s="14" t="n">
        <x:v>0</x:v>
      </x:c>
      <x:c r="R82" s="14" t="n">
        <x:v>0</x:v>
      </x:c>
      <x:c r="S82" s="14" t="n">
        <x:v>0</x:v>
      </x:c>
      <x:c r="T82" s="14" t="n">
        <x:v>0</x:v>
      </x:c>
      <x:c r="U82" s="14" t="n">
        <x:v>0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46132</x:v>
      </x:c>
    </x:row>
    <x:row r="83">
      <x:c r="A83" s="14" t="n">
        <x:v>79</x:v>
      </x:c>
      <x:c r="B83" s="14" t="str">
        <x:v>273.pdf</x:v>
      </x:c>
      <x:c r="C83" s="15" t="n">
        <x:v>45181</x:v>
      </x:c>
      <x:c r="D83" s="15" t="n">
        <x:v>46146</x:v>
      </x:c>
      <x:c r="E83" s="15" t="n">
        <x:v>46132</x:v>
      </x:c>
      <x:c r="F83" s="15" t="n">
        <x:v>46132</x:v>
      </x:c>
      <x:c r="G83" s="16" t="str">
        <x:v>BY CASH Dr BY CASH</x:v>
      </x:c>
      <x:c r="H83" s="14" t="str"/>
      <x:c r="I83" s="14" t="str">
        <x:v>Receipt</x:v>
      </x:c>
      <x:c r="J83" s="17" t="n">
        <x:v>0</x:v>
      </x:c>
      <x:c r="K83" s="17" t="n">
        <x:v>336500</x:v>
      </x:c>
      <x:c r="L83" s="17" t="n">
        <x:v>336500</x:v>
      </x:c>
      <x:c r="M83" s="17" t="n">
        <x:v>-8455271.86</x:v>
      </x:c>
      <x:c r="N83" s="14" t="str">
        <x:v>Cash; High Transaction; Recurring Transaction</x:v>
      </x:c>
      <x:c r="O83" s="14" t="str">
        <x:v>Yes</x:v>
      </x:c>
      <x:c r="P83" s="14" t="str">
        <x:v>BY CASH DR BY CASH</x:v>
      </x:c>
      <x:c r="Q83" s="14" t="n">
        <x:v>1</x:v>
      </x:c>
      <x:c r="R83" s="14" t="n">
        <x:v>1</x:v>
      </x:c>
      <x:c r="S83" s="14" t="n">
        <x:v>0</x:v>
      </x:c>
      <x:c r="T83" s="14" t="n">
        <x:v>0</x:v>
      </x:c>
      <x:c r="U83" s="14" t="n">
        <x:v>1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46132</x:v>
      </x:c>
    </x:row>
    <x:row r="84">
      <x:c r="A84" s="14" t="n">
        <x:v>80</x:v>
      </x:c>
      <x:c r="B84" s="14" t="str">
        <x:v>273.pdf</x:v>
      </x:c>
      <x:c r="C84" s="15" t="n">
        <x:v>45181</x:v>
      </x:c>
      <x:c r="D84" s="15" t="n">
        <x:v>46146</x:v>
      </x:c>
      <x:c r="E84" s="15" t="n">
        <x:v>46132</x:v>
      </x:c>
      <x:c r="F84" s="15" t="n">
        <x:v>46132</x:v>
      </x:c>
      <x:c r="G84" s="16" t="str">
        <x:v>EBANK:WIB/1504 Dr EBANK:WIB/1504868004/Edfs</x:v>
      </x:c>
      <x:c r="H84" s="14" t="str"/>
      <x:c r="I84" s="14" t="str">
        <x:v>Receipt</x:v>
      </x:c>
      <x:c r="J84" s="17" t="n">
        <x:v>0</x:v>
      </x:c>
      <x:c r="K84" s="17" t="n">
        <x:v>287084.78</x:v>
      </x:c>
      <x:c r="L84" s="17" t="n">
        <x:v>287084.78</x:v>
      </x:c>
      <x:c r="M84" s="17" t="n">
        <x:v>-8168187.08</x:v>
      </x:c>
      <x:c r="N84" s="14" t="str">
        <x:v>High Transaction; Recurring Transaction</x:v>
      </x:c>
      <x:c r="O84" s="14" t="str">
        <x:v>Yes</x:v>
      </x:c>
      <x:c r="P84" s="14" t="str">
        <x:v>EBANKWIB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1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46132</x:v>
      </x:c>
    </x:row>
    <x:row r="85">
      <x:c r="A85" s="14" t="n">
        <x:v>81</x:v>
      </x:c>
      <x:c r="B85" s="14" t="str">
        <x:v>273.pdf</x:v>
      </x:c>
      <x:c r="C85" s="15" t="n">
        <x:v>45181</x:v>
      </x:c>
      <x:c r="D85" s="15" t="n">
        <x:v>46146</x:v>
      </x:c>
      <x:c r="E85" s="15" t="n">
        <x:v>46133</x:v>
      </x:c>
      <x:c r="F85" s="15" t="n">
        <x:v>46133</x:v>
      </x:c>
      <x:c r="G85" s="16" t="str">
        <x:v>EBANK:WIB/1504 Dr EBANK:WIB/1504892301/Edfs</x:v>
      </x:c>
      <x:c r="H85" s="14" t="str"/>
      <x:c r="I85" s="14" t="str">
        <x:v>Receipt</x:v>
      </x:c>
      <x:c r="J85" s="17" t="n">
        <x:v>0</x:v>
      </x:c>
      <x:c r="K85" s="17" t="n">
        <x:v>333445.92</x:v>
      </x:c>
      <x:c r="L85" s="17" t="n">
        <x:v>333445.92</x:v>
      </x:c>
      <x:c r="M85" s="17" t="n">
        <x:v>-7834741.16</x:v>
      </x:c>
      <x:c r="N85" s="14" t="str">
        <x:v>High Transaction; Recurring Transaction</x:v>
      </x:c>
      <x:c r="O85" s="14" t="str">
        <x:v>Yes</x:v>
      </x:c>
      <x:c r="P85" s="14" t="str">
        <x:v>EBANKWIB</x:v>
      </x:c>
      <x:c r="Q85" s="14" t="n">
        <x:v>0</x:v>
      </x:c>
      <x:c r="R85" s="14" t="n">
        <x:v>1</x:v>
      </x:c>
      <x:c r="S85" s="14" t="n">
        <x:v>0</x:v>
      </x:c>
      <x:c r="T85" s="14" t="n">
        <x:v>0</x:v>
      </x:c>
      <x:c r="U85" s="14" t="n">
        <x:v>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46133</x:v>
      </x:c>
    </x:row>
    <x:row r="86">
      <x:c r="A86" s="14" t="n">
        <x:v>82</x:v>
      </x:c>
      <x:c r="B86" s="14" t="str">
        <x:v>273.pdf</x:v>
      </x:c>
      <x:c r="C86" s="15" t="n">
        <x:v>45181</x:v>
      </x:c>
      <x:c r="D86" s="15" t="n">
        <x:v>46146</x:v>
      </x:c>
      <x:c r="E86" s="15" t="n">
        <x:v>46133</x:v>
      </x:c>
      <x:c r="F86" s="15" t="n">
        <x:v>46133</x:v>
      </x:c>
      <x:c r="G86" s="16" t="str">
        <x:v>MANNAG-NAGPUR/ Dr INT260404DEAL6301802 https://cbdrpt101.bankofbaroda.co.in:22000/finbranch/arjspmorph/INFENG/tran_rpt.jsp?... 04-05-2026</x:v>
      </x:c>
      <x:c r="H86" s="14" t="str"/>
      <x:c r="I86" s="14" t="str">
        <x:v>Payment</x:v>
      </x:c>
      <x:c r="J86" s="17" t="n">
        <x:v>6.88</x:v>
      </x:c>
      <x:c r="K86" s="17" t="n">
        <x:v>0</x:v>
      </x:c>
      <x:c r="L86" s="17" t="n">
        <x:v>6.88</x:v>
      </x:c>
      <x:c r="M86" s="17" t="n">
        <x:v>-7834748.04</x:v>
      </x:c>
      <x:c r="N86" s="14" t="str">
        <x:v>Other</x:v>
      </x:c>
      <x:c r="O86" s="14" t="str">
        <x:v>No</x:v>
      </x:c>
      <x:c r="P86" s="14" t="str">
        <x:v>DR INTDEAL HTTPS</x:v>
      </x:c>
      <x:c r="Q86" s="14" t="n">
        <x:v>0</x:v>
      </x:c>
      <x:c r="R86" s="14" t="n">
        <x:v>0</x:v>
      </x:c>
      <x:c r="S86" s="14" t="n">
        <x:v>0</x:v>
      </x:c>
      <x:c r="T86" s="14" t="n">
        <x:v>0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46133</x:v>
      </x:c>
    </x:row>
    <x:row r="87">
      <x:c r="A87" s="14" t="n">
        <x:v>83</x:v>
      </x:c>
      <x:c r="B87" s="14" t="str">
        <x:v>273.pdf</x:v>
      </x:c>
      <x:c r="C87" s="15" t="n">
        <x:v>45181</x:v>
      </x:c>
      <x:c r="D87" s="15" t="n">
        <x:v>46146</x:v>
      </x:c>
      <x:c r="E87" s="15" t="n">
        <x:v>46133</x:v>
      </x:c>
      <x:c r="F87" s="15" t="n">
        <x:v>46133</x:v>
      </x:c>
      <x:c r="G87" s="16" t="str">
        <x:v>RTGS-BARBR5202 Dr RTGS-BARBR52026042100866436-HINDUSTAN PETROLEUM CO</x:v>
      </x:c>
      <x:c r="H87" s="14" t="str"/>
      <x:c r="I87" s="14" t="str">
        <x:v>Payment</x:v>
      </x:c>
      <x:c r="J87" s="17" t="n">
        <x:v>2042157.6</x:v>
      </x:c>
      <x:c r="K87" s="17" t="n">
        <x:v>0</x:v>
      </x:c>
      <x:c r="L87" s="17" t="n">
        <x:v>2042157.6</x:v>
      </x:c>
      <x:c r="M87" s="17" t="n">
        <x:v>-9876905.64</x:v>
      </x:c>
      <x:c r="N87" s="14" t="str">
        <x:v>High Transaction; Recurring Transaction</x:v>
      </x:c>
      <x:c r="O87" s="14" t="str">
        <x:v>Yes</x:v>
      </x:c>
      <x:c r="P87" s="14" t="str">
        <x:v>BARBR DR RTGS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46133</x:v>
      </x:c>
    </x:row>
    <x:row r="88">
      <x:c r="A88" s="14" t="n">
        <x:v>84</x:v>
      </x:c>
      <x:c r="B88" s="14" t="str">
        <x:v>273.pdf</x:v>
      </x:c>
      <x:c r="C88" s="15" t="n">
        <x:v>45181</x:v>
      </x:c>
      <x:c r="D88" s="15" t="n">
        <x:v>46146</x:v>
      </x:c>
      <x:c r="E88" s="15" t="n">
        <x:v>46133</x:v>
      </x:c>
      <x:c r="F88" s="15" t="n">
        <x:v>46133</x:v>
      </x:c>
      <x:c r="G88" s="16" t="str">
        <x:v>BY CASH Dr BY CASH</x:v>
      </x:c>
      <x:c r="H88" s="14" t="str"/>
      <x:c r="I88" s="14" t="str">
        <x:v>Receipt</x:v>
      </x:c>
      <x:c r="J88" s="17" t="n">
        <x:v>0</x:v>
      </x:c>
      <x:c r="K88" s="17" t="n">
        <x:v>150500</x:v>
      </x:c>
      <x:c r="L88" s="17" t="n">
        <x:v>150500</x:v>
      </x:c>
      <x:c r="M88" s="17" t="n">
        <x:v>-9726405.64</x:v>
      </x:c>
      <x:c r="N88" s="14" t="str">
        <x:v>Cash; High Transaction; Recurring Transaction</x:v>
      </x:c>
      <x:c r="O88" s="14" t="str">
        <x:v>Yes</x:v>
      </x:c>
      <x:c r="P88" s="14" t="str">
        <x:v>BY CASH DR BY CASH</x:v>
      </x:c>
      <x:c r="Q88" s="14" t="n">
        <x:v>1</x:v>
      </x:c>
      <x:c r="R88" s="14" t="n">
        <x:v>1</x:v>
      </x:c>
      <x:c r="S88" s="14" t="n">
        <x:v>0</x:v>
      </x:c>
      <x:c r="T88" s="14" t="n">
        <x:v>0</x:v>
      </x:c>
      <x:c r="U88" s="14" t="n">
        <x:v>1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46133</x:v>
      </x:c>
    </x:row>
    <x:row r="89">
      <x:c r="A89" s="14" t="n">
        <x:v>85</x:v>
      </x:c>
      <x:c r="B89" s="14" t="str">
        <x:v>273.pdf</x:v>
      </x:c>
      <x:c r="C89" s="15" t="n">
        <x:v>45181</x:v>
      </x:c>
      <x:c r="D89" s="15" t="n">
        <x:v>46146</x:v>
      </x:c>
      <x:c r="E89" s="15" t="n">
        <x:v>46133</x:v>
      </x:c>
      <x:c r="F89" s="15" t="n">
        <x:v>46133</x:v>
      </x:c>
      <x:c r="G89" s="16" t="str">
        <x:v>EBANK:WIB/1505 Dr EBANK:WIB/1505043394/Edfs</x:v>
      </x:c>
      <x:c r="H89" s="14" t="str"/>
      <x:c r="I89" s="14" t="str">
        <x:v>Receipt</x:v>
      </x:c>
      <x:c r="J89" s="17" t="n">
        <x:v>0</x:v>
      </x:c>
      <x:c r="K89" s="17" t="n">
        <x:v>108963.7</x:v>
      </x:c>
      <x:c r="L89" s="17" t="n">
        <x:v>108963.7</x:v>
      </x:c>
      <x:c r="M89" s="17" t="n">
        <x:v>-9617441.94</x:v>
      </x:c>
      <x:c r="N89" s="14" t="str">
        <x:v>High Transaction; Recurring Transaction</x:v>
      </x:c>
      <x:c r="O89" s="14" t="str">
        <x:v>Yes</x:v>
      </x:c>
      <x:c r="P89" s="14" t="str">
        <x:v>EBANKWIB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1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46133</x:v>
      </x:c>
    </x:row>
    <x:row r="90">
      <x:c r="A90" s="14" t="n">
        <x:v>86</x:v>
      </x:c>
      <x:c r="B90" s="14" t="str">
        <x:v>273.pdf</x:v>
      </x:c>
      <x:c r="C90" s="15" t="n">
        <x:v>45181</x:v>
      </x:c>
      <x:c r="D90" s="15" t="n">
        <x:v>46146</x:v>
      </x:c>
      <x:c r="E90" s="15" t="n">
        <x:v>46134</x:v>
      </x:c>
      <x:c r="F90" s="15" t="n">
        <x:v>46134</x:v>
      </x:c>
      <x:c r="G90" s="16" t="str">
        <x:v>0000-MUMBAI/IN Dr INT260407DEAL6316451</x:v>
      </x:c>
      <x:c r="H90" s="14" t="str"/>
      <x:c r="I90" s="14" t="str">
        <x:v>Payment</x:v>
      </x:c>
      <x:c r="J90" s="17" t="n">
        <x:v>6617.14</x:v>
      </x:c>
      <x:c r="K90" s="17" t="n">
        <x:v>0</x:v>
      </x:c>
      <x:c r="L90" s="17" t="n">
        <x:v>6617.14</x:v>
      </x:c>
      <x:c r="M90" s="17" t="n">
        <x:v>-9624059.08</x:v>
      </x:c>
      <x:c r="N90" s="14" t="str">
        <x:v>Recurring Transaction</x:v>
      </x:c>
      <x:c r="O90" s="14" t="str">
        <x:v>Yes</x:v>
      </x:c>
      <x:c r="P90" s="14" t="str">
        <x:v>IN DR INTDEAL</x:v>
      </x:c>
      <x:c r="Q90" s="14" t="n">
        <x:v>0</x:v>
      </x:c>
      <x:c r="R90" s="14" t="n">
        <x:v>1</x:v>
      </x:c>
      <x:c r="S90" s="14" t="n">
        <x:v>0</x:v>
      </x:c>
      <x:c r="T90" s="14" t="n">
        <x:v>0</x:v>
      </x:c>
      <x:c r="U90" s="14" t="n">
        <x:v>0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46134</x:v>
      </x:c>
    </x:row>
    <x:row r="91">
      <x:c r="A91" s="14" t="n">
        <x:v>87</x:v>
      </x:c>
      <x:c r="B91" s="14" t="str">
        <x:v>273.pdf</x:v>
      </x:c>
      <x:c r="C91" s="15" t="n">
        <x:v>45181</x:v>
      </x:c>
      <x:c r="D91" s="15" t="n">
        <x:v>46146</x:v>
      </x:c>
      <x:c r="E91" s="15" t="n">
        <x:v>46134</x:v>
      </x:c>
      <x:c r="F91" s="15" t="n">
        <x:v>46134</x:v>
      </x:c>
      <x:c r="G91" s="16" t="str">
        <x:v>EBANK:WIB/1505 Dr EBANK:WIB/1505048812/Edfs</x:v>
      </x:c>
      <x:c r="H91" s="14" t="str"/>
      <x:c r="I91" s="14" t="str">
        <x:v>Receipt</x:v>
      </x:c>
      <x:c r="J91" s="17" t="n">
        <x:v>0</x:v>
      </x:c>
      <x:c r="K91" s="17" t="n">
        <x:v>259307.24</x:v>
      </x:c>
      <x:c r="L91" s="17" t="n">
        <x:v>259307.24</x:v>
      </x:c>
      <x:c r="M91" s="17" t="n">
        <x:v>-9364751.84</x:v>
      </x:c>
      <x:c r="N91" s="14" t="str">
        <x:v>High Transaction; Recurring Transaction</x:v>
      </x:c>
      <x:c r="O91" s="14" t="str">
        <x:v>Yes</x:v>
      </x:c>
      <x:c r="P91" s="14" t="str">
        <x:v>EBANKWIB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1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46134</x:v>
      </x:c>
    </x:row>
    <x:row r="92">
      <x:c r="A92" s="14" t="n">
        <x:v>88</x:v>
      </x:c>
      <x:c r="B92" s="14" t="str">
        <x:v>273.pdf</x:v>
      </x:c>
      <x:c r="C92" s="15" t="n">
        <x:v>45181</x:v>
      </x:c>
      <x:c r="D92" s="15" t="n">
        <x:v>46146</x:v>
      </x:c>
      <x:c r="E92" s="15" t="n">
        <x:v>46134</x:v>
      </x:c>
      <x:c r="F92" s="15" t="n">
        <x:v>46134</x:v>
      </x:c>
      <x:c r="G92" s="16" t="str">
        <x:v>0000-MUMBAI/IN Dr INT260407DEAL6316451</x:v>
      </x:c>
      <x:c r="H92" s="14" t="str"/>
      <x:c r="I92" s="14" t="str">
        <x:v>Receipt</x:v>
      </x:c>
      <x:c r="J92" s="17" t="n">
        <x:v>0</x:v>
      </x:c>
      <x:c r="K92" s="17" t="n">
        <x:v>25.67</x:v>
      </x:c>
      <x:c r="L92" s="17" t="n">
        <x:v>25.67</x:v>
      </x:c>
      <x:c r="M92" s="17" t="n">
        <x:v>-9364726.17</x:v>
      </x:c>
      <x:c r="N92" s="14" t="str">
        <x:v>Recurring Transaction</x:v>
      </x:c>
      <x:c r="O92" s="14" t="str">
        <x:v>Yes</x:v>
      </x:c>
      <x:c r="P92" s="14" t="str">
        <x:v>IN DR INTDEAL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0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46134</x:v>
      </x:c>
    </x:row>
    <x:row r="93">
      <x:c r="A93" s="14" t="n">
        <x:v>89</x:v>
      </x:c>
      <x:c r="B93" s="14" t="str">
        <x:v>273.pdf</x:v>
      </x:c>
      <x:c r="C93" s="15" t="n">
        <x:v>45181</x:v>
      </x:c>
      <x:c r="D93" s="15" t="n">
        <x:v>46146</x:v>
      </x:c>
      <x:c r="E93" s="15" t="n">
        <x:v>46134</x:v>
      </x:c>
      <x:c r="F93" s="15" t="n">
        <x:v>46134</x:v>
      </x:c>
      <x:c r="G93" s="16" t="str">
        <x:v>BY CASH Dr BY CASH</x:v>
      </x:c>
      <x:c r="H93" s="14" t="str"/>
      <x:c r="I93" s="14" t="str">
        <x:v>Receipt</x:v>
      </x:c>
      <x:c r="J93" s="17" t="n">
        <x:v>0</x:v>
      </x:c>
      <x:c r="K93" s="17" t="n">
        <x:v>609000</x:v>
      </x:c>
      <x:c r="L93" s="17" t="n">
        <x:v>609000</x:v>
      </x:c>
      <x:c r="M93" s="17" t="n">
        <x:v>-8755726.17</x:v>
      </x:c>
      <x:c r="N93" s="14" t="str">
        <x:v>Cash; High Transaction; Recurring Transaction</x:v>
      </x:c>
      <x:c r="O93" s="14" t="str">
        <x:v>Yes</x:v>
      </x:c>
      <x:c r="P93" s="14" t="str">
        <x:v>BY CASH DR BY CASH</x:v>
      </x:c>
      <x:c r="Q93" s="14" t="n">
        <x:v>1</x:v>
      </x:c>
      <x:c r="R93" s="14" t="n">
        <x:v>1</x:v>
      </x:c>
      <x:c r="S93" s="14" t="n">
        <x:v>0</x:v>
      </x:c>
      <x:c r="T93" s="14" t="n">
        <x:v>0</x:v>
      </x:c>
      <x:c r="U93" s="14" t="n">
        <x:v>1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46134</x:v>
      </x:c>
    </x:row>
    <x:row r="94">
      <x:c r="A94" s="14" t="n">
        <x:v>90</x:v>
      </x:c>
      <x:c r="B94" s="14" t="str">
        <x:v>273.pdf</x:v>
      </x:c>
      <x:c r="C94" s="15" t="n">
        <x:v>45181</x:v>
      </x:c>
      <x:c r="D94" s="15" t="n">
        <x:v>46146</x:v>
      </x:c>
      <x:c r="E94" s="15" t="n">
        <x:v>46134</x:v>
      </x:c>
      <x:c r="F94" s="15" t="n">
        <x:v>46134</x:v>
      </x:c>
      <x:c r="G94" s="16" t="str">
        <x:v>EBANK:WIB/1505 Dr EBANK:WIB/1505171210/Edfs</x:v>
      </x:c>
      <x:c r="H94" s="14" t="str"/>
      <x:c r="I94" s="14" t="str">
        <x:v>Receipt</x:v>
      </x:c>
      <x:c r="J94" s="17" t="n">
        <x:v>0</x:v>
      </x:c>
      <x:c r="K94" s="17" t="n">
        <x:v>356256.8</x:v>
      </x:c>
      <x:c r="L94" s="17" t="n">
        <x:v>356256.8</x:v>
      </x:c>
      <x:c r="M94" s="17" t="n">
        <x:v>-8399469.37</x:v>
      </x:c>
      <x:c r="N94" s="14" t="str">
        <x:v>High Transaction; Recurring Transaction</x:v>
      </x:c>
      <x:c r="O94" s="14" t="str">
        <x:v>Yes</x:v>
      </x:c>
      <x:c r="P94" s="14" t="str">
        <x:v>EBANKWIB</x:v>
      </x:c>
      <x:c r="Q94" s="14" t="n">
        <x:v>0</x:v>
      </x:c>
      <x:c r="R94" s="14" t="n">
        <x:v>1</x:v>
      </x:c>
      <x:c r="S94" s="14" t="n">
        <x:v>0</x:v>
      </x:c>
      <x:c r="T94" s="14" t="n">
        <x:v>0</x:v>
      </x:c>
      <x:c r="U94" s="14" t="n">
        <x:v>1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46134</x:v>
      </x:c>
    </x:row>
    <x:row r="95">
      <x:c r="A95" s="14" t="n">
        <x:v>91</x:v>
      </x:c>
      <x:c r="B95" s="14" t="str">
        <x:v>273.pdf</x:v>
      </x:c>
      <x:c r="C95" s="15" t="n">
        <x:v>45181</x:v>
      </x:c>
      <x:c r="D95" s="15" t="n">
        <x:v>46146</x:v>
      </x:c>
      <x:c r="E95" s="15" t="n">
        <x:v>46134</x:v>
      </x:c>
      <x:c r="F95" s="15" t="n">
        <x:v>46134</x:v>
      </x:c>
      <x:c r="G95" s="16" t="str">
        <x:v>RTGS-BARBR5202 Dr RTGS-BARBR52026042200989175-HINDUSTAN PETROLEUM CO</x:v>
      </x:c>
      <x:c r="H95" s="14" t="str"/>
      <x:c r="I95" s="14" t="str">
        <x:v>Payment</x:v>
      </x:c>
      <x:c r="J95" s="17" t="n">
        <x:v>1600530</x:v>
      </x:c>
      <x:c r="K95" s="17" t="n">
        <x:v>0</x:v>
      </x:c>
      <x:c r="L95" s="17" t="n">
        <x:v>1600530</x:v>
      </x:c>
      <x:c r="M95" s="17" t="n">
        <x:v>-9999999.37</x:v>
      </x:c>
      <x:c r="N95" s="14" t="str">
        <x:v>High Transaction; Recurring Transaction</x:v>
      </x:c>
      <x:c r="O95" s="14" t="str">
        <x:v>Yes</x:v>
      </x:c>
      <x:c r="P95" s="14" t="str">
        <x:v>BARBR DR RTGS</x:v>
      </x:c>
      <x:c r="Q95" s="14" t="n">
        <x:v>0</x:v>
      </x:c>
      <x:c r="R95" s="14" t="n">
        <x:v>1</x:v>
      </x:c>
      <x:c r="S95" s="14" t="n">
        <x:v>0</x:v>
      </x:c>
      <x:c r="T95" s="14" t="n">
        <x:v>0</x:v>
      </x:c>
      <x:c r="U95" s="14" t="n">
        <x:v>1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46134</x:v>
      </x:c>
    </x:row>
    <x:row r="96">
      <x:c r="A96" s="14" t="n">
        <x:v>92</x:v>
      </x:c>
      <x:c r="B96" s="14" t="str">
        <x:v>273.pdf</x:v>
      </x:c>
      <x:c r="C96" s="15" t="n">
        <x:v>45181</x:v>
      </x:c>
      <x:c r="D96" s="15" t="n">
        <x:v>46146</x:v>
      </x:c>
      <x:c r="E96" s="15" t="n">
        <x:v>46134</x:v>
      </x:c>
      <x:c r="F96" s="15" t="n">
        <x:v>46134</x:v>
      </x:c>
      <x:c r="G96" s="16" t="str">
        <x:v>EBANK:WIB/1505 Dr EBANK:WIB/1505187993/Edfs</x:v>
      </x:c>
      <x:c r="H96" s="14" t="str"/>
      <x:c r="I96" s="14" t="str">
        <x:v>Receipt</x:v>
      </x:c>
      <x:c r="J96" s="17" t="n">
        <x:v>0</x:v>
      </x:c>
      <x:c r="K96" s="17" t="n">
        <x:v>50000</x:v>
      </x:c>
      <x:c r="L96" s="17" t="n">
        <x:v>50000</x:v>
      </x:c>
      <x:c r="M96" s="17" t="n">
        <x:v>-9949999.37</x:v>
      </x:c>
      <x:c r="N96" s="14" t="str">
        <x:v>Recurring Transaction</x:v>
      </x:c>
      <x:c r="O96" s="14" t="str">
        <x:v>Yes</x:v>
      </x:c>
      <x:c r="P96" s="14" t="str">
        <x:v>EBANKWIB</x:v>
      </x:c>
      <x:c r="Q96" s="14" t="n">
        <x:v>0</x:v>
      </x:c>
      <x:c r="R96" s="14" t="n">
        <x:v>1</x:v>
      </x:c>
      <x:c r="S96" s="14" t="n">
        <x:v>0</x:v>
      </x:c>
      <x:c r="T96" s="14" t="n">
        <x:v>0</x:v>
      </x:c>
      <x:c r="U96" s="14" t="n">
        <x:v>0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46134</x:v>
      </x:c>
    </x:row>
    <x:row r="97">
      <x:c r="A97" s="14" t="n">
        <x:v>93</x:v>
      </x:c>
      <x:c r="B97" s="14" t="str">
        <x:v>273.pdf</x:v>
      </x:c>
      <x:c r="C97" s="15" t="n">
        <x:v>45181</x:v>
      </x:c>
      <x:c r="D97" s="15" t="n">
        <x:v>46146</x:v>
      </x:c>
      <x:c r="E97" s="15" t="n">
        <x:v>46135</x:v>
      </x:c>
      <x:c r="F97" s="15" t="n">
        <x:v>46135</x:v>
      </x:c>
      <x:c r="G97" s="16" t="str">
        <x:v>EBANK:WIB/1505 Dr EBANK:WIB/1505193929/Edfs</x:v>
      </x:c>
      <x:c r="H97" s="14" t="str"/>
      <x:c r="I97" s="14" t="str">
        <x:v>Receipt</x:v>
      </x:c>
      <x:c r="J97" s="17" t="n">
        <x:v>0</x:v>
      </x:c>
      <x:c r="K97" s="17" t="n">
        <x:v>224683</x:v>
      </x:c>
      <x:c r="L97" s="17" t="n">
        <x:v>224683</x:v>
      </x:c>
      <x:c r="M97" s="17" t="n">
        <x:v>-9725316.37</x:v>
      </x:c>
      <x:c r="N97" s="14" t="str">
        <x:v>High Transaction; Recurring Transaction</x:v>
      </x:c>
      <x:c r="O97" s="14" t="str">
        <x:v>Yes</x:v>
      </x:c>
      <x:c r="P97" s="14" t="str">
        <x:v>EBANKWIB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1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46135</x:v>
      </x:c>
    </x:row>
    <x:row r="98">
      <x:c r="A98" s="14" t="n">
        <x:v>94</x:v>
      </x:c>
      <x:c r="B98" s="14" t="str">
        <x:v>273.pdf</x:v>
      </x:c>
      <x:c r="C98" s="15" t="n">
        <x:v>45181</x:v>
      </x:c>
      <x:c r="D98" s="15" t="n">
        <x:v>46146</x:v>
      </x:c>
      <x:c r="E98" s="15" t="n">
        <x:v>46135</x:v>
      </x:c>
      <x:c r="F98" s="15" t="n">
        <x:v>46135</x:v>
      </x:c>
      <x:c r="G98" s="16" t="str">
        <x:v>EBANK:WIB/1505 Dr EBANK:WIB/1505194002/Edfs</x:v>
      </x:c>
      <x:c r="H98" s="14" t="str"/>
      <x:c r="I98" s="14" t="str">
        <x:v>Receipt</x:v>
      </x:c>
      <x:c r="J98" s="17" t="n">
        <x:v>0</x:v>
      </x:c>
      <x:c r="K98" s="17" t="n">
        <x:v>82795.52</x:v>
      </x:c>
      <x:c r="L98" s="17" t="n">
        <x:v>82795.52</x:v>
      </x:c>
      <x:c r="M98" s="17" t="n">
        <x:v>-9642520.85</x:v>
      </x:c>
      <x:c r="N98" s="14" t="str">
        <x:v>Recurring Transaction</x:v>
      </x:c>
      <x:c r="O98" s="14" t="str">
        <x:v>Yes</x:v>
      </x:c>
      <x:c r="P98" s="14" t="str">
        <x:v>EBANKWIB</x:v>
      </x:c>
      <x:c r="Q98" s="14" t="n">
        <x:v>0</x:v>
      </x:c>
      <x:c r="R98" s="14" t="n">
        <x:v>1</x:v>
      </x:c>
      <x:c r="S98" s="14" t="n">
        <x:v>0</x:v>
      </x:c>
      <x:c r="T98" s="14" t="n">
        <x:v>0</x:v>
      </x:c>
      <x:c r="U98" s="14" t="n">
        <x:v>0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46135</x:v>
      </x:c>
    </x:row>
    <x:row r="99">
      <x:c r="A99" s="14" t="n">
        <x:v>95</x:v>
      </x:c>
      <x:c r="B99" s="14" t="str">
        <x:v>273.pdf</x:v>
      </x:c>
      <x:c r="C99" s="15" t="n">
        <x:v>45181</x:v>
      </x:c>
      <x:c r="D99" s="15" t="n">
        <x:v>46146</x:v>
      </x:c>
      <x:c r="E99" s="15" t="n">
        <x:v>46135</x:v>
      </x:c>
      <x:c r="F99" s="15" t="n">
        <x:v>46135</x:v>
      </x:c>
      <x:c r="G99" s="16" t="str">
        <x:v>MAYAJM-AJMER/I Dr ---------------------------------------------------------------------------------------------------------------------------------- Page Total: 36,49,328.33 27,98,562.63 96,42,537.56Dr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</x:v>
      </x:c>
      <x:c r="H99" s="14" t="str"/>
      <x:c r="I99" s="14" t="str">
        <x:v>Payment</x:v>
      </x:c>
      <x:c r="J99" s="17" t="n">
        <x:v>16.71</x:v>
      </x:c>
      <x:c r="K99" s="17" t="n">
        <x:v>0</x:v>
      </x:c>
      <x:c r="L99" s="17" t="n">
        <x:v>16.71</x:v>
      </x:c>
      <x:c r="M99" s="17" t="n">
        <x:v>-9642537.56</x:v>
      </x:c>
      <x:c r="N99" s="14" t="str">
        <x:v>Other</x:v>
      </x:c>
      <x:c r="O99" s="14" t="str">
        <x:v>No</x:v>
      </x:c>
      <x:c r="P99" s="14" t="str">
        <x:v>PAGE TOTAL   DR</x:v>
      </x:c>
      <x:c r="Q99" s="14" t="n">
        <x:v>0</x:v>
      </x:c>
      <x:c r="R99" s="14" t="n">
        <x:v>0</x:v>
      </x:c>
      <x:c r="S99" s="14" t="n">
        <x:v>0</x:v>
      </x:c>
      <x:c r="T99" s="14" t="n">
        <x:v>0</x:v>
      </x:c>
      <x:c r="U99" s="14" t="n">
        <x:v>0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46135</x:v>
      </x:c>
    </x:row>
    <x:row r="100">
      <x:c r="A100" s="14" t="n">
        <x:v>96</x:v>
      </x:c>
      <x:c r="B100" s="14" t="str">
        <x:v>273.pdf</x:v>
      </x:c>
      <x:c r="C100" s="15" t="n">
        <x:v>45181</x:v>
      </x:c>
      <x:c r="D100" s="15" t="n">
        <x:v>46146</x:v>
      </x:c>
      <x:c r="E100" s="15" t="n">
        <x:v>46135</x:v>
      </x:c>
      <x:c r="F100" s="15" t="n">
        <x:v>46135</x:v>
      </x:c>
      <x:c r="G100" s="16" t="str">
        <x:v>EBANK:WIB/1505 Dr EBANK:WIB/1505205959/Edfs</x:v>
      </x:c>
      <x:c r="H100" s="14" t="str"/>
      <x:c r="I100" s="14" t="str">
        <x:v>Receipt</x:v>
      </x:c>
      <x:c r="J100" s="17" t="n">
        <x:v>0</x:v>
      </x:c>
      <x:c r="K100" s="17" t="n">
        <x:v>269000</x:v>
      </x:c>
      <x:c r="L100" s="17" t="n">
        <x:v>269000</x:v>
      </x:c>
      <x:c r="M100" s="17" t="n">
        <x:v>-9373537.56</x:v>
      </x:c>
      <x:c r="N100" s="14" t="str">
        <x:v>High Transaction; Recurring Transaction</x:v>
      </x:c>
      <x:c r="O100" s="14" t="str">
        <x:v>Yes</x:v>
      </x:c>
      <x:c r="P100" s="14" t="str">
        <x:v>EBANKWIB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1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46135</x:v>
      </x:c>
    </x:row>
    <x:row r="101">
      <x:c r="A101" s="14" t="n">
        <x:v>97</x:v>
      </x:c>
      <x:c r="B101" s="14" t="str">
        <x:v>273.pdf</x:v>
      </x:c>
      <x:c r="C101" s="15" t="n">
        <x:v>45181</x:v>
      </x:c>
      <x:c r="D101" s="15" t="n">
        <x:v>46146</x:v>
      </x:c>
      <x:c r="E101" s="15" t="n">
        <x:v>46135</x:v>
      </x:c>
      <x:c r="F101" s="15" t="n">
        <x:v>46135</x:v>
      </x:c>
      <x:c r="G101" s="16" t="str">
        <x:v>RTGS-BARBR5202 Dr RTGS-BARBR52026042300993365-HINDUSTAN PETROLEUM CO</x:v>
      </x:c>
      <x:c r="H101" s="14" t="str"/>
      <x:c r="I101" s="14" t="str">
        <x:v>Payment</x:v>
      </x:c>
      <x:c r="J101" s="17" t="n">
        <x:v>428234.82</x:v>
      </x:c>
      <x:c r="K101" s="17" t="n">
        <x:v>0</x:v>
      </x:c>
      <x:c r="L101" s="17" t="n">
        <x:v>428234.82</x:v>
      </x:c>
      <x:c r="M101" s="17" t="n">
        <x:v>-9801772.38</x:v>
      </x:c>
      <x:c r="N101" s="14" t="str">
        <x:v>High Transaction; Recurring Transaction</x:v>
      </x:c>
      <x:c r="O101" s="14" t="str">
        <x:v>Yes</x:v>
      </x:c>
      <x:c r="P101" s="14" t="str">
        <x:v>BARBR DR RTGS</x:v>
      </x:c>
      <x:c r="Q101" s="14" t="n">
        <x:v>0</x:v>
      </x:c>
      <x:c r="R101" s="14" t="n">
        <x:v>1</x:v>
      </x:c>
      <x:c r="S101" s="14" t="n">
        <x:v>0</x:v>
      </x:c>
      <x:c r="T101" s="14" t="n">
        <x:v>0</x:v>
      </x:c>
      <x:c r="U101" s="14" t="n">
        <x:v>1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46135</x:v>
      </x:c>
    </x:row>
    <x:row r="102">
      <x:c r="A102" s="14" t="n">
        <x:v>98</x:v>
      </x:c>
      <x:c r="B102" s="14" t="str">
        <x:v>273.pdf</x:v>
      </x:c>
      <x:c r="C102" s="15" t="n">
        <x:v>45181</x:v>
      </x:c>
      <x:c r="D102" s="15" t="n">
        <x:v>46146</x:v>
      </x:c>
      <x:c r="E102" s="15" t="n">
        <x:v>46135</x:v>
      </x:c>
      <x:c r="F102" s="15" t="n">
        <x:v>46135</x:v>
      </x:c>
      <x:c r="G102" s="16" t="str">
        <x:v>BY CASH Dr BY CASH</x:v>
      </x:c>
      <x:c r="H102" s="14" t="str"/>
      <x:c r="I102" s="14" t="str">
        <x:v>Receipt</x:v>
      </x:c>
      <x:c r="J102" s="17" t="n">
        <x:v>0</x:v>
      </x:c>
      <x:c r="K102" s="17" t="n">
        <x:v>253500</x:v>
      </x:c>
      <x:c r="L102" s="17" t="n">
        <x:v>253500</x:v>
      </x:c>
      <x:c r="M102" s="17" t="n">
        <x:v>-9548272.38</x:v>
      </x:c>
      <x:c r="N102" s="14" t="str">
        <x:v>Cash; High Transaction; Recurring Transaction</x:v>
      </x:c>
      <x:c r="O102" s="14" t="str">
        <x:v>Yes</x:v>
      </x:c>
      <x:c r="P102" s="14" t="str">
        <x:v>BY CASH DR BY CASH</x:v>
      </x:c>
      <x:c r="Q102" s="14" t="n">
        <x:v>1</x:v>
      </x:c>
      <x:c r="R102" s="14" t="n">
        <x:v>1</x:v>
      </x:c>
      <x:c r="S102" s="14" t="n">
        <x:v>0</x:v>
      </x:c>
      <x:c r="T102" s="14" t="n">
        <x:v>0</x:v>
      </x:c>
      <x:c r="U102" s="14" t="n">
        <x:v>1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46135</x:v>
      </x:c>
    </x:row>
    <x:row r="103">
      <x:c r="A103" s="14" t="n">
        <x:v>99</x:v>
      </x:c>
      <x:c r="B103" s="14" t="str">
        <x:v>273.pdf</x:v>
      </x:c>
      <x:c r="C103" s="15" t="n">
        <x:v>45181</x:v>
      </x:c>
      <x:c r="D103" s="15" t="n">
        <x:v>46146</x:v>
      </x:c>
      <x:c r="E103" s="15" t="n">
        <x:v>46135</x:v>
      </x:c>
      <x:c r="F103" s="15" t="n">
        <x:v>46135</x:v>
      </x:c>
      <x:c r="G103" s="16" t="str">
        <x:v>RTGS-BARBR5202 Dr RTGS-BARBR52026042300772587-HINDUSTAN PETROLEUM CO</x:v>
      </x:c>
      <x:c r="H103" s="14" t="str"/>
      <x:c r="I103" s="14" t="str">
        <x:v>Payment</x:v>
      </x:c>
      <x:c r="J103" s="17" t="n">
        <x:v>451000</x:v>
      </x:c>
      <x:c r="K103" s="17" t="n">
        <x:v>0</x:v>
      </x:c>
      <x:c r="L103" s="17" t="n">
        <x:v>451000</x:v>
      </x:c>
      <x:c r="M103" s="17" t="n">
        <x:v>-9999272.38</x:v>
      </x:c>
      <x:c r="N103" s="14" t="str">
        <x:v>High Transaction; Recurring Transaction</x:v>
      </x:c>
      <x:c r="O103" s="14" t="str">
        <x:v>Yes</x:v>
      </x:c>
      <x:c r="P103" s="14" t="str">
        <x:v>BARBR DR RTGS</x:v>
      </x:c>
      <x:c r="Q103" s="14" t="n">
        <x:v>0</x:v>
      </x:c>
      <x:c r="R103" s="14" t="n">
        <x:v>1</x:v>
      </x:c>
      <x:c r="S103" s="14" t="n">
        <x:v>0</x:v>
      </x:c>
      <x:c r="T103" s="14" t="n">
        <x:v>0</x:v>
      </x:c>
      <x:c r="U103" s="14" t="n">
        <x:v>1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46135</x:v>
      </x:c>
    </x:row>
    <x:row r="104">
      <x:c r="A104" s="14" t="n">
        <x:v>100</x:v>
      </x:c>
      <x:c r="B104" s="14" t="str">
        <x:v>273.pdf</x:v>
      </x:c>
      <x:c r="C104" s="15" t="n">
        <x:v>45181</x:v>
      </x:c>
      <x:c r="D104" s="15" t="n">
        <x:v>46146</x:v>
      </x:c>
      <x:c r="E104" s="15" t="n">
        <x:v>46135</x:v>
      </x:c>
      <x:c r="F104" s="15" t="n">
        <x:v>46135</x:v>
      </x:c>
      <x:c r="G104" s="16" t="str">
        <x:v>EBANK:WIB/1505 Dr EBANK:WIB/1505315722/Edfs</x:v>
      </x:c>
      <x:c r="H104" s="14" t="str"/>
      <x:c r="I104" s="14" t="str">
        <x:v>Receipt</x:v>
      </x:c>
      <x:c r="J104" s="17" t="n">
        <x:v>0</x:v>
      </x:c>
      <x:c r="K104" s="17" t="n">
        <x:v>222635.35</x:v>
      </x:c>
      <x:c r="L104" s="17" t="n">
        <x:v>222635.35</x:v>
      </x:c>
      <x:c r="M104" s="17" t="n">
        <x:v>-9776637.03</x:v>
      </x:c>
      <x:c r="N104" s="14" t="str">
        <x:v>High Transaction; Recurring Transaction</x:v>
      </x:c>
      <x:c r="O104" s="14" t="str">
        <x:v>Yes</x:v>
      </x:c>
      <x:c r="P104" s="14" t="str">
        <x:v>EBANKWIB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1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46135</x:v>
      </x:c>
    </x:row>
    <x:row r="105">
      <x:c r="A105" s="14" t="n">
        <x:v>101</x:v>
      </x:c>
      <x:c r="B105" s="14" t="str">
        <x:v>273.pdf</x:v>
      </x:c>
      <x:c r="C105" s="15" t="n">
        <x:v>45181</x:v>
      </x:c>
      <x:c r="D105" s="15" t="n">
        <x:v>46146</x:v>
      </x:c>
      <x:c r="E105" s="15" t="n">
        <x:v>46136</x:v>
      </x:c>
      <x:c r="F105" s="15" t="n">
        <x:v>46136</x:v>
      </x:c>
      <x:c r="G105" s="16" t="str">
        <x:v>EBANK:WIB/1505 Dr EBANK:WIB/1505337172/Edfs</x:v>
      </x:c>
      <x:c r="H105" s="14" t="str"/>
      <x:c r="I105" s="14" t="str">
        <x:v>Receipt</x:v>
      </x:c>
      <x:c r="J105" s="17" t="n">
        <x:v>0</x:v>
      </x:c>
      <x:c r="K105" s="17" t="n">
        <x:v>400403</x:v>
      </x:c>
      <x:c r="L105" s="17" t="n">
        <x:v>400403</x:v>
      </x:c>
      <x:c r="M105" s="17" t="n">
        <x:v>-9376234.03</x:v>
      </x:c>
      <x:c r="N105" s="14" t="str">
        <x:v>High Transaction; Recurring Transaction</x:v>
      </x:c>
      <x:c r="O105" s="14" t="str">
        <x:v>Yes</x:v>
      </x:c>
      <x:c r="P105" s="14" t="str">
        <x:v>EBANKWIB</x:v>
      </x:c>
      <x:c r="Q105" s="14" t="n">
        <x:v>0</x:v>
      </x:c>
      <x:c r="R105" s="14" t="n">
        <x:v>1</x:v>
      </x:c>
      <x:c r="S105" s="14" t="n">
        <x:v>0</x:v>
      </x:c>
      <x:c r="T105" s="14" t="n">
        <x:v>0</x:v>
      </x:c>
      <x:c r="U105" s="14" t="n">
        <x:v>1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46136</x:v>
      </x:c>
    </x:row>
    <x:row r="106">
      <x:c r="A106" s="14" t="n">
        <x:v>102</x:v>
      </x:c>
      <x:c r="B106" s="14" t="str">
        <x:v>273.pdf</x:v>
      </x:c>
      <x:c r="C106" s="15" t="n">
        <x:v>45181</x:v>
      </x:c>
      <x:c r="D106" s="15" t="n">
        <x:v>46146</x:v>
      </x:c>
      <x:c r="E106" s="15" t="n">
        <x:v>46136</x:v>
      </x:c>
      <x:c r="F106" s="15" t="n">
        <x:v>46136</x:v>
      </x:c>
      <x:c r="G106" s="16" t="str">
        <x:v>BY CASH Dr BY CASH</x:v>
      </x:c>
      <x:c r="H106" s="14" t="str"/>
      <x:c r="I106" s="14" t="str">
        <x:v>Receipt</x:v>
      </x:c>
      <x:c r="J106" s="17" t="n">
        <x:v>0</x:v>
      </x:c>
      <x:c r="K106" s="17" t="n">
        <x:v>281000</x:v>
      </x:c>
      <x:c r="L106" s="17" t="n">
        <x:v>281000</x:v>
      </x:c>
      <x:c r="M106" s="17" t="n">
        <x:v>-9095234.03</x:v>
      </x:c>
      <x:c r="N106" s="14" t="str">
        <x:v>Cash; High Transaction; Recurring Transaction</x:v>
      </x:c>
      <x:c r="O106" s="14" t="str">
        <x:v>Yes</x:v>
      </x:c>
      <x:c r="P106" s="14" t="str">
        <x:v>BY CASH DR BY CASH</x:v>
      </x:c>
      <x:c r="Q106" s="14" t="n">
        <x:v>1</x:v>
      </x:c>
      <x:c r="R106" s="14" t="n">
        <x:v>1</x:v>
      </x:c>
      <x:c r="S106" s="14" t="n">
        <x:v>0</x:v>
      </x:c>
      <x:c r="T106" s="14" t="n">
        <x:v>0</x:v>
      </x:c>
      <x:c r="U106" s="14" t="n">
        <x:v>1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46136</x:v>
      </x:c>
    </x:row>
    <x:row r="107">
      <x:c r="A107" s="14" t="n">
        <x:v>103</x:v>
      </x:c>
      <x:c r="B107" s="14" t="str">
        <x:v>273.pdf</x:v>
      </x:c>
      <x:c r="C107" s="15" t="n">
        <x:v>45181</x:v>
      </x:c>
      <x:c r="D107" s="15" t="n">
        <x:v>46146</x:v>
      </x:c>
      <x:c r="E107" s="15" t="n">
        <x:v>46136</x:v>
      </x:c>
      <x:c r="F107" s="15" t="n">
        <x:v>46136</x:v>
      </x:c>
      <x:c r="G107" s="16" t="str">
        <x:v>VIRARW-THANE/B Dr BY CASH</x:v>
      </x:c>
      <x:c r="H107" s="14" t="str"/>
      <x:c r="I107" s="14" t="str">
        <x:v>Receipt</x:v>
      </x:c>
      <x:c r="J107" s="17" t="n">
        <x:v>0</x:v>
      </x:c>
      <x:c r="K107" s="17" t="n">
        <x:v>250000</x:v>
      </x:c>
      <x:c r="L107" s="17" t="n">
        <x:v>250000</x:v>
      </x:c>
      <x:c r="M107" s="17" t="n">
        <x:v>-8845234.03</x:v>
      </x:c>
      <x:c r="N107" s="14" t="str">
        <x:v>Cash; High Transaction; Recurring Transaction</x:v>
      </x:c>
      <x:c r="O107" s="14" t="str">
        <x:v>Yes</x:v>
      </x:c>
      <x:c r="P107" s="14" t="str">
        <x:v>B DR BY CASH</x:v>
      </x:c>
      <x:c r="Q107" s="14" t="n">
        <x:v>1</x:v>
      </x:c>
      <x:c r="R107" s="14" t="n">
        <x:v>1</x:v>
      </x:c>
      <x:c r="S107" s="14" t="n">
        <x:v>0</x:v>
      </x:c>
      <x:c r="T107" s="14" t="n">
        <x:v>0</x:v>
      </x:c>
      <x:c r="U107" s="14" t="n">
        <x:v>1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5" t="n">
        <x:v>46136</x:v>
      </x:c>
    </x:row>
    <x:row r="108">
      <x:c r="A108" s="14" t="n">
        <x:v>104</x:v>
      </x:c>
      <x:c r="B108" s="14" t="str">
        <x:v>273.pdf</x:v>
      </x:c>
      <x:c r="C108" s="15" t="n">
        <x:v>45181</x:v>
      </x:c>
      <x:c r="D108" s="15" t="n">
        <x:v>46146</x:v>
      </x:c>
      <x:c r="E108" s="15" t="n">
        <x:v>46136</x:v>
      </x:c>
      <x:c r="F108" s="15" t="n">
        <x:v>46136</x:v>
      </x:c>
      <x:c r="G108" s="16" t="str">
        <x:v>BAGBAH-BAGBAHR Dr INT260410DEAL6330158</x:v>
      </x:c>
      <x:c r="H108" s="14" t="str"/>
      <x:c r="I108" s="14" t="str">
        <x:v>Payment</x:v>
      </x:c>
      <x:c r="J108" s="17" t="n">
        <x:v>5712.82</x:v>
      </x:c>
      <x:c r="K108" s="17" t="n">
        <x:v>0</x:v>
      </x:c>
      <x:c r="L108" s="17" t="n">
        <x:v>5712.82</x:v>
      </x:c>
      <x:c r="M108" s="17" t="n">
        <x:v>-8850946.85</x:v>
      </x:c>
      <x:c r="N108" s="14" t="str">
        <x:v>Other</x:v>
      </x:c>
      <x:c r="O108" s="14" t="str">
        <x:v>No</x:v>
      </x:c>
      <x:c r="P108" s="14" t="str">
        <x:v>BAGBAHR DR INTDEAL</x:v>
      </x:c>
      <x:c r="Q108" s="14" t="n">
        <x:v>0</x:v>
      </x:c>
      <x:c r="R108" s="14" t="n">
        <x:v>0</x:v>
      </x:c>
      <x:c r="S108" s="14" t="n">
        <x:v>0</x:v>
      </x:c>
      <x:c r="T108" s="14" t="n">
        <x:v>0</x:v>
      </x:c>
      <x:c r="U108" s="14" t="n">
        <x:v>0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46136</x:v>
      </x:c>
    </x:row>
    <x:row r="109">
      <x:c r="A109" s="14" t="n">
        <x:v>105</x:v>
      </x:c>
      <x:c r="B109" s="14" t="str">
        <x:v>273.pdf</x:v>
      </x:c>
      <x:c r="C109" s="15" t="n">
        <x:v>45181</x:v>
      </x:c>
      <x:c r="D109" s="15" t="n">
        <x:v>46146</x:v>
      </x:c>
      <x:c r="E109" s="15" t="n">
        <x:v>46136</x:v>
      </x:c>
      <x:c r="F109" s="15" t="n">
        <x:v>46136</x:v>
      </x:c>
      <x:c r="G109" s="16" t="str">
        <x:v>VJARDI-ARDI,KA Dr INT260410DEAL6333836</x:v>
      </x:c>
      <x:c r="H109" s="14" t="str"/>
      <x:c r="I109" s="14" t="str">
        <x:v>Payment</x:v>
      </x:c>
      <x:c r="J109" s="17" t="n">
        <x:v>67.48</x:v>
      </x:c>
      <x:c r="K109" s="17" t="n">
        <x:v>0</x:v>
      </x:c>
      <x:c r="L109" s="17" t="n">
        <x:v>67.48</x:v>
      </x:c>
      <x:c r="M109" s="17" t="n">
        <x:v>-8851014.33</x:v>
      </x:c>
      <x:c r="N109" s="14" t="str">
        <x:v>Other</x:v>
      </x:c>
      <x:c r="O109" s="14" t="str">
        <x:v>No</x:v>
      </x:c>
      <x:c r="P109" s="14" t="str">
        <x:v>ARDIKA DR INTDEAL</x:v>
      </x:c>
      <x:c r="Q109" s="14" t="n">
        <x:v>0</x:v>
      </x:c>
      <x:c r="R109" s="14" t="n">
        <x:v>0</x:v>
      </x:c>
      <x:c r="S109" s="14" t="n">
        <x:v>0</x:v>
      </x:c>
      <x:c r="T109" s="14" t="n">
        <x:v>0</x:v>
      </x:c>
      <x:c r="U109" s="14" t="n">
        <x:v>0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46136</x:v>
      </x:c>
    </x:row>
    <x:row r="110">
      <x:c r="A110" s="14" t="n">
        <x:v>106</x:v>
      </x:c>
      <x:c r="B110" s="14" t="str">
        <x:v>273.pdf</x:v>
      </x:c>
      <x:c r="C110" s="15" t="n">
        <x:v>45181</x:v>
      </x:c>
      <x:c r="D110" s="15" t="n">
        <x:v>46146</x:v>
      </x:c>
      <x:c r="E110" s="15" t="n">
        <x:v>46136</x:v>
      </x:c>
      <x:c r="F110" s="15" t="n">
        <x:v>46136</x:v>
      </x:c>
      <x:c r="G110" s="16" t="str">
        <x:v>RTGS-BARBR5202 Dr RTGS-BARBR52026042400851908-HINDUSTAN PETROLEUM CO</x:v>
      </x:c>
      <x:c r="H110" s="14" t="str"/>
      <x:c r="I110" s="14" t="str">
        <x:v>Payment</x:v>
      </x:c>
      <x:c r="J110" s="17" t="n">
        <x:v>1148985</x:v>
      </x:c>
      <x:c r="K110" s="17" t="n">
        <x:v>0</x:v>
      </x:c>
      <x:c r="L110" s="17" t="n">
        <x:v>1148985</x:v>
      </x:c>
      <x:c r="M110" s="17" t="n">
        <x:v>-9999999.33</x:v>
      </x:c>
      <x:c r="N110" s="14" t="str">
        <x:v>High Transaction; Recurring Transaction</x:v>
      </x:c>
      <x:c r="O110" s="14" t="str">
        <x:v>Yes</x:v>
      </x:c>
      <x:c r="P110" s="14" t="str">
        <x:v>BARBR DR RTGS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1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46136</x:v>
      </x:c>
    </x:row>
    <x:row r="111">
      <x:c r="A111" s="14" t="n">
        <x:v>107</x:v>
      </x:c>
      <x:c r="B111" s="14" t="str">
        <x:v>273.pdf</x:v>
      </x:c>
      <x:c r="C111" s="15" t="n">
        <x:v>45181</x:v>
      </x:c>
      <x:c r="D111" s="15" t="n">
        <x:v>46146</x:v>
      </x:c>
      <x:c r="E111" s="15" t="n">
        <x:v>46136</x:v>
      </x:c>
      <x:c r="F111" s="15" t="n">
        <x:v>46136</x:v>
      </x:c>
      <x:c r="G111" s="16" t="str">
        <x:v>EBANK:WIB/1505 Dr EBANK:WIB/1505452714/Edfs https://cbdrpt101.bankofbaroda.co.in:22000/finbranch/arjspmorph/INFENG/tran_rpt.jsp?... 04-05-2026</x:v>
      </x:c>
      <x:c r="H111" s="14" t="str"/>
      <x:c r="I111" s="14" t="str">
        <x:v>Receipt</x:v>
      </x:c>
      <x:c r="J111" s="17" t="n">
        <x:v>0</x:v>
      </x:c>
      <x:c r="K111" s="17" t="n">
        <x:v>115069</x:v>
      </x:c>
      <x:c r="L111" s="17" t="n">
        <x:v>115069</x:v>
      </x:c>
      <x:c r="M111" s="17" t="n">
        <x:v>-9884930.33</x:v>
      </x:c>
      <x:c r="N111" s="14" t="str">
        <x:v>High Transaction; Recurring Transaction</x:v>
      </x:c>
      <x:c r="O111" s="14" t="str">
        <x:v>Yes</x:v>
      </x:c>
      <x:c r="P111" s="14" t="str">
        <x:v>EBANKWIB</x:v>
      </x:c>
      <x:c r="Q111" s="14" t="n">
        <x:v>0</x:v>
      </x:c>
      <x:c r="R111" s="14" t="n">
        <x:v>1</x:v>
      </x:c>
      <x:c r="S111" s="14" t="n">
        <x:v>0</x:v>
      </x:c>
      <x:c r="T111" s="14" t="n">
        <x:v>0</x:v>
      </x:c>
      <x:c r="U111" s="14" t="n">
        <x:v>1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46136</x:v>
      </x:c>
    </x:row>
    <x:row r="112">
      <x:c r="A112" s="14" t="n">
        <x:v>108</x:v>
      </x:c>
      <x:c r="B112" s="14" t="str">
        <x:v>273.pdf</x:v>
      </x:c>
      <x:c r="C112" s="15" t="n">
        <x:v>45181</x:v>
      </x:c>
      <x:c r="D112" s="15" t="n">
        <x:v>46146</x:v>
      </x:c>
      <x:c r="E112" s="15" t="n">
        <x:v>46136</x:v>
      </x:c>
      <x:c r="F112" s="15" t="n">
        <x:v>46136</x:v>
      </x:c>
      <x:c r="G112" s="16" t="str">
        <x:v>NEFT-BARBY2611 Dr NEFT-BARBY26114821805-HINDUSTAN PETROLEUM CORPORAT</x:v>
      </x:c>
      <x:c r="H112" s="14" t="str"/>
      <x:c r="I112" s="14" t="str">
        <x:v>Payment</x:v>
      </x:c>
      <x:c r="J112" s="17" t="n">
        <x:v>115069</x:v>
      </x:c>
      <x:c r="K112" s="17" t="n">
        <x:v>0</x:v>
      </x:c>
      <x:c r="L112" s="17" t="n">
        <x:v>115069</x:v>
      </x:c>
      <x:c r="M112" s="17" t="n">
        <x:v>-9999999.33</x:v>
      </x:c>
      <x:c r="N112" s="14" t="str">
        <x:v>High Transaction</x:v>
      </x:c>
      <x:c r="O112" s="14" t="str">
        <x:v>No</x:v>
      </x:c>
      <x:c r="P112" s="14" t="str">
        <x:v>BARBY DR NEFT</x:v>
      </x:c>
      <x:c r="Q112" s="14" t="n">
        <x:v>0</x:v>
      </x:c>
      <x:c r="R112" s="14" t="n">
        <x:v>0</x:v>
      </x:c>
      <x:c r="S112" s="14" t="n">
        <x:v>0</x:v>
      </x:c>
      <x:c r="T112" s="14" t="n">
        <x:v>0</x:v>
      </x:c>
      <x:c r="U112" s="14" t="n">
        <x:v>1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46136</x:v>
      </x:c>
    </x:row>
    <x:row r="113">
      <x:c r="A113" s="14" t="n">
        <x:v>109</x:v>
      </x:c>
      <x:c r="B113" s="14" t="str">
        <x:v>273.pdf</x:v>
      </x:c>
      <x:c r="C113" s="15" t="n">
        <x:v>45181</x:v>
      </x:c>
      <x:c r="D113" s="15" t="n">
        <x:v>46146</x:v>
      </x:c>
      <x:c r="E113" s="15" t="n">
        <x:v>46137</x:v>
      </x:c>
      <x:c r="F113" s="15" t="n">
        <x:v>46137</x:v>
      </x:c>
      <x:c r="G113" s="16" t="str">
        <x:v>EBANK:WIB/1505 Dr EBANK:WIB/1505471306/Edfs</x:v>
      </x:c>
      <x:c r="H113" s="14" t="str"/>
      <x:c r="I113" s="14" t="str">
        <x:v>Receipt</x:v>
      </x:c>
      <x:c r="J113" s="17" t="n">
        <x:v>0</x:v>
      </x:c>
      <x:c r="K113" s="17" t="n">
        <x:v>273418</x:v>
      </x:c>
      <x:c r="L113" s="17" t="n">
        <x:v>273418</x:v>
      </x:c>
      <x:c r="M113" s="17" t="n">
        <x:v>-9726581.33</x:v>
      </x:c>
      <x:c r="N113" s="14" t="str">
        <x:v>High Transaction; Recurring Transaction</x:v>
      </x:c>
      <x:c r="O113" s="14" t="str">
        <x:v>Yes</x:v>
      </x:c>
      <x:c r="P113" s="14" t="str">
        <x:v>EBANKWIB</x:v>
      </x:c>
      <x:c r="Q113" s="14" t="n">
        <x:v>0</x:v>
      </x:c>
      <x:c r="R113" s="14" t="n">
        <x:v>1</x:v>
      </x:c>
      <x:c r="S113" s="14" t="n">
        <x:v>0</x:v>
      </x:c>
      <x:c r="T113" s="14" t="n">
        <x:v>0</x:v>
      </x:c>
      <x:c r="U113" s="14" t="n">
        <x:v>1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46137</x:v>
      </x:c>
    </x:row>
    <x:row r="114">
      <x:c r="A114" s="14" t="n">
        <x:v>110</x:v>
      </x:c>
      <x:c r="B114" s="14" t="str">
        <x:v>273.pdf</x:v>
      </x:c>
      <x:c r="C114" s="15" t="n">
        <x:v>45181</x:v>
      </x:c>
      <x:c r="D114" s="15" t="n">
        <x:v>46146</x:v>
      </x:c>
      <x:c r="E114" s="15" t="n">
        <x:v>46137</x:v>
      </x:c>
      <x:c r="F114" s="15" t="n">
        <x:v>46137</x:v>
      </x:c>
      <x:c r="G114" s="16" t="str">
        <x:v>EBANK:WIB/1505 Dr EBANK:WIB/1505471386/Edfs</x:v>
      </x:c>
      <x:c r="H114" s="14" t="str"/>
      <x:c r="I114" s="14" t="str">
        <x:v>Receipt</x:v>
      </x:c>
      <x:c r="J114" s="17" t="n">
        <x:v>0</x:v>
      </x:c>
      <x:c r="K114" s="17" t="n">
        <x:v>72545.93</x:v>
      </x:c>
      <x:c r="L114" s="17" t="n">
        <x:v>72545.93</x:v>
      </x:c>
      <x:c r="M114" s="17" t="n">
        <x:v>-9654035.4</x:v>
      </x:c>
      <x:c r="N114" s="14" t="str">
        <x:v>Recurring Transaction</x:v>
      </x:c>
      <x:c r="O114" s="14" t="str">
        <x:v>Yes</x:v>
      </x:c>
      <x:c r="P114" s="14" t="str">
        <x:v>EBANKWIB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0</x:v>
      </x:c>
      <x:c r="V114" s="14" t="n">
        <x:v>0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46137</x:v>
      </x:c>
    </x:row>
    <x:row r="115">
      <x:c r="A115" s="14" t="n">
        <x:v>111</x:v>
      </x:c>
      <x:c r="B115" s="14" t="str">
        <x:v>273.pdf</x:v>
      </x:c>
      <x:c r="C115" s="15" t="n">
        <x:v>45181</x:v>
      </x:c>
      <x:c r="D115" s="15" t="n">
        <x:v>46146</x:v>
      </x:c>
      <x:c r="E115" s="15" t="n">
        <x:v>46137</x:v>
      </x:c>
      <x:c r="F115" s="15" t="n">
        <x:v>46137</x:v>
      </x:c>
      <x:c r="G115" s="16" t="str">
        <x:v>RTGS-BARBR5202 Dr ---------------------------------------------------------------------------------------------------------------------------------- Page Total: 24,78,719.12 21,37,571.28 99,83,685.40Dr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</x:v>
      </x:c>
      <x:c r="H115" s="14" t="str"/>
      <x:c r="I115" s="14" t="str">
        <x:v>Payment</x:v>
      </x:c>
      <x:c r="J115" s="17" t="n">
        <x:v>329650</x:v>
      </x:c>
      <x:c r="K115" s="17" t="n">
        <x:v>0</x:v>
      </x:c>
      <x:c r="L115" s="17" t="n">
        <x:v>329650</x:v>
      </x:c>
      <x:c r="M115" s="17" t="n">
        <x:v>-9983685.4</x:v>
      </x:c>
      <x:c r="N115" s="14" t="str">
        <x:v>High Transaction</x:v>
      </x:c>
      <x:c r="O115" s="14" t="str">
        <x:v>No</x:v>
      </x:c>
      <x:c r="P115" s="14" t="str">
        <x:v>BARBR DR</x:v>
      </x:c>
      <x:c r="Q115" s="14" t="n">
        <x:v>0</x:v>
      </x:c>
      <x:c r="R115" s="14" t="n">
        <x:v>0</x:v>
      </x:c>
      <x:c r="S115" s="14" t="n">
        <x:v>0</x:v>
      </x:c>
      <x:c r="T115" s="14" t="n">
        <x:v>0</x:v>
      </x:c>
      <x:c r="U115" s="14" t="n">
        <x:v>1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46137</x:v>
      </x:c>
    </x:row>
    <x:row r="116">
      <x:c r="A116" s="14" t="n">
        <x:v>112</x:v>
      </x:c>
      <x:c r="B116" s="14" t="str">
        <x:v>273.pdf</x:v>
      </x:c>
      <x:c r="C116" s="15" t="n">
        <x:v>45181</x:v>
      </x:c>
      <x:c r="D116" s="15" t="n">
        <x:v>46146</x:v>
      </x:c>
      <x:c r="E116" s="15" t="n">
        <x:v>46137</x:v>
      </x:c>
      <x:c r="F116" s="15" t="n">
        <x:v>46137</x:v>
      </x:c>
      <x:c r="G116" s="16" t="str">
        <x:v>EBANK:WIB/1505 Dr EBANK:WIB/1505585919/Edfs</x:v>
      </x:c>
      <x:c r="H116" s="14" t="str"/>
      <x:c r="I116" s="14" t="str">
        <x:v>Receipt</x:v>
      </x:c>
      <x:c r="J116" s="17" t="n">
        <x:v>0</x:v>
      </x:c>
      <x:c r="K116" s="17" t="n">
        <x:v>172247.15</x:v>
      </x:c>
      <x:c r="L116" s="17" t="n">
        <x:v>172247.15</x:v>
      </x:c>
      <x:c r="M116" s="17" t="n">
        <x:v>-9811438.25</x:v>
      </x:c>
      <x:c r="N116" s="14" t="str">
        <x:v>High Transaction; Recurring Transaction</x:v>
      </x:c>
      <x:c r="O116" s="14" t="str">
        <x:v>Yes</x:v>
      </x:c>
      <x:c r="P116" s="14" t="str">
        <x:v>EBANKWIB</x:v>
      </x:c>
      <x:c r="Q116" s="14" t="n">
        <x:v>0</x:v>
      </x:c>
      <x:c r="R116" s="14" t="n">
        <x:v>1</x:v>
      </x:c>
      <x:c r="S116" s="14" t="n">
        <x:v>0</x:v>
      </x:c>
      <x:c r="T116" s="14" t="n">
        <x:v>0</x:v>
      </x:c>
      <x:c r="U116" s="14" t="n">
        <x:v>1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46137</x:v>
      </x:c>
    </x:row>
    <x:row r="117">
      <x:c r="A117" s="14" t="n">
        <x:v>113</x:v>
      </x:c>
      <x:c r="B117" s="14" t="str">
        <x:v>273.pdf</x:v>
      </x:c>
      <x:c r="C117" s="15" t="n">
        <x:v>45181</x:v>
      </x:c>
      <x:c r="D117" s="15" t="n">
        <x:v>46146</x:v>
      </x:c>
      <x:c r="E117" s="15" t="n">
        <x:v>46138</x:v>
      </x:c>
      <x:c r="F117" s="15" t="n">
        <x:v>46138</x:v>
      </x:c>
      <x:c r="G117" s="16" t="str">
        <x:v>EBANK:WIB/1505 Dr EBANK:WIB/1505590344/Edfs</x:v>
      </x:c>
      <x:c r="H117" s="14" t="str"/>
      <x:c r="I117" s="14" t="str">
        <x:v>Receipt</x:v>
      </x:c>
      <x:c r="J117" s="17" t="n">
        <x:v>0</x:v>
      </x:c>
      <x:c r="K117" s="17" t="n">
        <x:v>300990.79</x:v>
      </x:c>
      <x:c r="L117" s="17" t="n">
        <x:v>300990.79</x:v>
      </x:c>
      <x:c r="M117" s="17" t="n">
        <x:v>-9510447.46</x:v>
      </x:c>
      <x:c r="N117" s="14" t="str">
        <x:v>High Transaction; Recurring Transaction</x:v>
      </x:c>
      <x:c r="O117" s="14" t="str">
        <x:v>Yes</x:v>
      </x:c>
      <x:c r="P117" s="14" t="str">
        <x:v>EBANKWIB</x:v>
      </x:c>
      <x:c r="Q117" s="14" t="n">
        <x:v>0</x:v>
      </x:c>
      <x:c r="R117" s="14" t="n">
        <x:v>1</x:v>
      </x:c>
      <x:c r="S117" s="14" t="n">
        <x:v>0</x:v>
      </x:c>
      <x:c r="T117" s="14" t="n">
        <x:v>0</x:v>
      </x:c>
      <x:c r="U117" s="14" t="n">
        <x:v>1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5" t="n">
        <x:v>46138</x:v>
      </x:c>
    </x:row>
    <x:row r="118">
      <x:c r="A118" s="14" t="n">
        <x:v>114</x:v>
      </x:c>
      <x:c r="B118" s="14" t="str">
        <x:v>273.pdf</x:v>
      </x:c>
      <x:c r="C118" s="15" t="n">
        <x:v>45181</x:v>
      </x:c>
      <x:c r="D118" s="15" t="n">
        <x:v>46146</x:v>
      </x:c>
      <x:c r="E118" s="15" t="n">
        <x:v>46138</x:v>
      </x:c>
      <x:c r="F118" s="15" t="n">
        <x:v>46138</x:v>
      </x:c>
      <x:c r="G118" s="16" t="str">
        <x:v>EBANK:WIB/1505 Dr EBANK:WIB/1505633295/Edfs</x:v>
      </x:c>
      <x:c r="H118" s="14" t="str"/>
      <x:c r="I118" s="14" t="str">
        <x:v>Receipt</x:v>
      </x:c>
      <x:c r="J118" s="17" t="n">
        <x:v>0</x:v>
      </x:c>
      <x:c r="K118" s="17" t="n">
        <x:v>114728</x:v>
      </x:c>
      <x:c r="L118" s="17" t="n">
        <x:v>114728</x:v>
      </x:c>
      <x:c r="M118" s="17" t="n">
        <x:v>-9395719.46</x:v>
      </x:c>
      <x:c r="N118" s="14" t="str">
        <x:v>High Transaction; Recurring Transaction</x:v>
      </x:c>
      <x:c r="O118" s="14" t="str">
        <x:v>Yes</x:v>
      </x:c>
      <x:c r="P118" s="14" t="str">
        <x:v>EBANKWIB</x:v>
      </x:c>
      <x:c r="Q118" s="14" t="n">
        <x:v>0</x:v>
      </x:c>
      <x:c r="R118" s="14" t="n">
        <x:v>1</x:v>
      </x:c>
      <x:c r="S118" s="14" t="n">
        <x:v>0</x:v>
      </x:c>
      <x:c r="T118" s="14" t="n">
        <x:v>0</x:v>
      </x:c>
      <x:c r="U118" s="14" t="n">
        <x:v>1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5" t="n">
        <x:v>46138</x:v>
      </x:c>
    </x:row>
    <x:row r="119">
      <x:c r="A119" s="14" t="n">
        <x:v>115</x:v>
      </x:c>
      <x:c r="B119" s="14" t="str">
        <x:v>273.pdf</x:v>
      </x:c>
      <x:c r="C119" s="15" t="n">
        <x:v>45181</x:v>
      </x:c>
      <x:c r="D119" s="15" t="n">
        <x:v>46146</x:v>
      </x:c>
      <x:c r="E119" s="15" t="n">
        <x:v>46139</x:v>
      </x:c>
      <x:c r="F119" s="15" t="n">
        <x:v>46139</x:v>
      </x:c>
      <x:c r="G119" s="16" t="str">
        <x:v>EBANK:WIB/1505 Dr EBANK:WIB/1505672686/Edfs</x:v>
      </x:c>
      <x:c r="H119" s="14" t="str"/>
      <x:c r="I119" s="14" t="str">
        <x:v>Receipt</x:v>
      </x:c>
      <x:c r="J119" s="17" t="n">
        <x:v>0</x:v>
      </x:c>
      <x:c r="K119" s="17" t="n">
        <x:v>460000.8</x:v>
      </x:c>
      <x:c r="L119" s="17" t="n">
        <x:v>460000.8</x:v>
      </x:c>
      <x:c r="M119" s="17" t="n">
        <x:v>-8935718.66</x:v>
      </x:c>
      <x:c r="N119" s="14" t="str">
        <x:v>High Transaction; Recurring Transaction</x:v>
      </x:c>
      <x:c r="O119" s="14" t="str">
        <x:v>Yes</x:v>
      </x:c>
      <x:c r="P119" s="14" t="str">
        <x:v>EBANKWIB</x:v>
      </x:c>
      <x:c r="Q119" s="14" t="n">
        <x:v>0</x:v>
      </x:c>
      <x:c r="R119" s="14" t="n">
        <x:v>1</x:v>
      </x:c>
      <x:c r="S119" s="14" t="n">
        <x:v>0</x:v>
      </x:c>
      <x:c r="T119" s="14" t="n">
        <x:v>0</x:v>
      </x:c>
      <x:c r="U119" s="14" t="n">
        <x:v>1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5" t="n">
        <x:v>46139</x:v>
      </x:c>
    </x:row>
    <x:row r="120">
      <x:c r="A120" s="14" t="n">
        <x:v>116</x:v>
      </x:c>
      <x:c r="B120" s="14" t="str">
        <x:v>273.pdf</x:v>
      </x:c>
      <x:c r="C120" s="15" t="n">
        <x:v>45181</x:v>
      </x:c>
      <x:c r="D120" s="15" t="n">
        <x:v>46146</x:v>
      </x:c>
      <x:c r="E120" s="15" t="n">
        <x:v>46139</x:v>
      </x:c>
      <x:c r="F120" s="15" t="n">
        <x:v>46139</x:v>
      </x:c>
      <x:c r="G120" s="16" t="str">
        <x:v>BY CASH Dr BY CASH</x:v>
      </x:c>
      <x:c r="H120" s="14" t="str"/>
      <x:c r="I120" s="14" t="str">
        <x:v>Receipt</x:v>
      </x:c>
      <x:c r="J120" s="17" t="n">
        <x:v>0</x:v>
      </x:c>
      <x:c r="K120" s="17" t="n">
        <x:v>774500</x:v>
      </x:c>
      <x:c r="L120" s="17" t="n">
        <x:v>774500</x:v>
      </x:c>
      <x:c r="M120" s="17" t="n">
        <x:v>-8161218.66</x:v>
      </x:c>
      <x:c r="N120" s="14" t="str">
        <x:v>Cash; High Transaction; Recurring Transaction</x:v>
      </x:c>
      <x:c r="O120" s="14" t="str">
        <x:v>Yes</x:v>
      </x:c>
      <x:c r="P120" s="14" t="str">
        <x:v>BY CASH DR BY CASH</x:v>
      </x:c>
      <x:c r="Q120" s="14" t="n">
        <x:v>1</x:v>
      </x:c>
      <x:c r="R120" s="14" t="n">
        <x:v>1</x:v>
      </x:c>
      <x:c r="S120" s="14" t="n">
        <x:v>0</x:v>
      </x:c>
      <x:c r="T120" s="14" t="n">
        <x:v>0</x:v>
      </x:c>
      <x:c r="U120" s="14" t="n">
        <x:v>1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5" t="n">
        <x:v>46139</x:v>
      </x:c>
    </x:row>
    <x:row r="121">
      <x:c r="A121" s="14" t="n">
        <x:v>117</x:v>
      </x:c>
      <x:c r="B121" s="14" t="str">
        <x:v>273.pdf</x:v>
      </x:c>
      <x:c r="C121" s="15" t="n">
        <x:v>45181</x:v>
      </x:c>
      <x:c r="D121" s="15" t="n">
        <x:v>46146</x:v>
      </x:c>
      <x:c r="E121" s="15" t="n">
        <x:v>46139</x:v>
      </x:c>
      <x:c r="F121" s="15" t="n">
        <x:v>46139</x:v>
      </x:c>
      <x:c r="G121" s="16" t="str">
        <x:v>DIGITA-MUMBAI/ Dr INT260413DEAL6345818</x:v>
      </x:c>
      <x:c r="H121" s="14" t="str"/>
      <x:c r="I121" s="14" t="str">
        <x:v>Payment</x:v>
      </x:c>
      <x:c r="J121" s="17" t="n">
        <x:v>5991.69</x:v>
      </x:c>
      <x:c r="K121" s="17" t="n">
        <x:v>0</x:v>
      </x:c>
      <x:c r="L121" s="17" t="n">
        <x:v>5991.69</x:v>
      </x:c>
      <x:c r="M121" s="17" t="n">
        <x:v>-8167210.35</x:v>
      </x:c>
      <x:c r="N121" s="14" t="str">
        <x:v>Recurring Transaction</x:v>
      </x:c>
      <x:c r="O121" s="14" t="str">
        <x:v>Yes</x:v>
      </x:c>
      <x:c r="P121" s="14" t="str">
        <x:v>DR INTDEAL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5" t="n">
        <x:v>46139</x:v>
      </x:c>
    </x:row>
    <x:row r="122">
      <x:c r="A122" s="14" t="n">
        <x:v>118</x:v>
      </x:c>
      <x:c r="B122" s="14" t="str">
        <x:v>273.pdf</x:v>
      </x:c>
      <x:c r="C122" s="15" t="n">
        <x:v>45181</x:v>
      </x:c>
      <x:c r="D122" s="15" t="n">
        <x:v>46146</x:v>
      </x:c>
      <x:c r="E122" s="15" t="n">
        <x:v>46139</x:v>
      </x:c>
      <x:c r="F122" s="15" t="n">
        <x:v>46139</x:v>
      </x:c>
      <x:c r="G122" s="16" t="str">
        <x:v>EBANK:WIB/1505 Dr EBANK:WIB/1505752441/Edfs</x:v>
      </x:c>
      <x:c r="H122" s="14" t="str"/>
      <x:c r="I122" s="14" t="str">
        <x:v>Receipt</x:v>
      </x:c>
      <x:c r="J122" s="17" t="n">
        <x:v>0</x:v>
      </x:c>
      <x:c r="K122" s="17" t="n">
        <x:v>365005</x:v>
      </x:c>
      <x:c r="L122" s="17" t="n">
        <x:v>365005</x:v>
      </x:c>
      <x:c r="M122" s="17" t="n">
        <x:v>-7802205.35</x:v>
      </x:c>
      <x:c r="N122" s="14" t="str">
        <x:v>High Transaction; Recurring Transaction</x:v>
      </x:c>
      <x:c r="O122" s="14" t="str">
        <x:v>Yes</x:v>
      </x:c>
      <x:c r="P122" s="14" t="str">
        <x:v>EBANKWIB</x:v>
      </x:c>
      <x:c r="Q122" s="14" t="n">
        <x:v>0</x:v>
      </x:c>
      <x:c r="R122" s="14" t="n">
        <x:v>1</x:v>
      </x:c>
      <x:c r="S122" s="14" t="n">
        <x:v>0</x:v>
      </x:c>
      <x:c r="T122" s="14" t="n">
        <x:v>0</x:v>
      </x:c>
      <x:c r="U122" s="14" t="n">
        <x:v>1</x:v>
      </x:c>
      <x:c r="V122" s="14" t="n">
        <x:v>0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5" t="n">
        <x:v>46139</x:v>
      </x:c>
    </x:row>
    <x:row r="123">
      <x:c r="A123" s="14" t="n">
        <x:v>119</x:v>
      </x:c>
      <x:c r="B123" s="14" t="str">
        <x:v>273.pdf</x:v>
      </x:c>
      <x:c r="C123" s="15" t="n">
        <x:v>45181</x:v>
      </x:c>
      <x:c r="D123" s="15" t="n">
        <x:v>46146</x:v>
      </x:c>
      <x:c r="E123" s="15" t="n">
        <x:v>46139</x:v>
      </x:c>
      <x:c r="F123" s="15" t="n">
        <x:v>46139</x:v>
      </x:c>
      <x:c r="G123" s="16" t="str">
        <x:v>RTGS-BARBR5202 Dr RTGS-BARBR52026042700952483-HINDUSTAN PETROLEUM CO</x:v>
      </x:c>
      <x:c r="H123" s="14" t="str"/>
      <x:c r="I123" s="14" t="str">
        <x:v>Payment</x:v>
      </x:c>
      <x:c r="J123" s="17" t="n">
        <x:v>1064000</x:v>
      </x:c>
      <x:c r="K123" s="17" t="n">
        <x:v>0</x:v>
      </x:c>
      <x:c r="L123" s="17" t="n">
        <x:v>1064000</x:v>
      </x:c>
      <x:c r="M123" s="17" t="n">
        <x:v>-8866205.35</x:v>
      </x:c>
      <x:c r="N123" s="14" t="str">
        <x:v>High Transaction; Recurring Transaction</x:v>
      </x:c>
      <x:c r="O123" s="14" t="str">
        <x:v>Yes</x:v>
      </x:c>
      <x:c r="P123" s="14" t="str">
        <x:v>BARBR DR RTGS</x:v>
      </x:c>
      <x:c r="Q123" s="14" t="n">
        <x:v>0</x:v>
      </x:c>
      <x:c r="R123" s="14" t="n">
        <x:v>1</x:v>
      </x:c>
      <x:c r="S123" s="14" t="n">
        <x:v>0</x:v>
      </x:c>
      <x:c r="T123" s="14" t="n">
        <x:v>0</x:v>
      </x:c>
      <x:c r="U123" s="14" t="n">
        <x:v>1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5" t="n">
        <x:v>46139</x:v>
      </x:c>
    </x:row>
    <x:row r="124">
      <x:c r="A124" s="14" t="n">
        <x:v>120</x:v>
      </x:c>
      <x:c r="B124" s="14" t="str">
        <x:v>273.pdf</x:v>
      </x:c>
      <x:c r="C124" s="15" t="n">
        <x:v>45181</x:v>
      </x:c>
      <x:c r="D124" s="15" t="n">
        <x:v>46146</x:v>
      </x:c>
      <x:c r="E124" s="15" t="n">
        <x:v>46139</x:v>
      </x:c>
      <x:c r="F124" s="15" t="n">
        <x:v>46139</x:v>
      </x:c>
      <x:c r="G124" s="16" t="str">
        <x:v>RTGS-BARBR5202 Dr RTGS-BARBR52026042700958299-HINDUSTAN PETROLEUM CO</x:v>
      </x:c>
      <x:c r="H124" s="14" t="str"/>
      <x:c r="I124" s="14" t="str">
        <x:v>Payment</x:v>
      </x:c>
      <x:c r="J124" s="17" t="n">
        <x:v>768789</x:v>
      </x:c>
      <x:c r="K124" s="17" t="n">
        <x:v>0</x:v>
      </x:c>
      <x:c r="L124" s="17" t="n">
        <x:v>768789</x:v>
      </x:c>
      <x:c r="M124" s="17" t="n">
        <x:v>-9634994.35</x:v>
      </x:c>
      <x:c r="N124" s="14" t="str">
        <x:v>High Transaction; Recurring Transaction</x:v>
      </x:c>
      <x:c r="O124" s="14" t="str">
        <x:v>Yes</x:v>
      </x:c>
      <x:c r="P124" s="14" t="str">
        <x:v>BARBR DR RTGS</x:v>
      </x:c>
      <x:c r="Q124" s="14" t="n">
        <x:v>0</x:v>
      </x:c>
      <x:c r="R124" s="14" t="n">
        <x:v>1</x:v>
      </x:c>
      <x:c r="S124" s="14" t="n">
        <x:v>0</x:v>
      </x:c>
      <x:c r="T124" s="14" t="n">
        <x:v>0</x:v>
      </x:c>
      <x:c r="U124" s="14" t="n">
        <x:v>1</x:v>
      </x:c>
      <x:c r="V124" s="14" t="n">
        <x:v>0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5" t="n">
        <x:v>46139</x:v>
      </x:c>
    </x:row>
    <x:row r="125">
      <x:c r="A125" s="14" t="n">
        <x:v>121</x:v>
      </x:c>
      <x:c r="B125" s="14" t="str">
        <x:v>273.pdf</x:v>
      </x:c>
      <x:c r="C125" s="15" t="n">
        <x:v>45181</x:v>
      </x:c>
      <x:c r="D125" s="15" t="n">
        <x:v>46146</x:v>
      </x:c>
      <x:c r="E125" s="15" t="n">
        <x:v>46140</x:v>
      </x:c>
      <x:c r="F125" s="15" t="n">
        <x:v>46140</x:v>
      </x:c>
      <x:c r="G125" s="16" t="str">
        <x:v>BY CASH Dr BY CASH</x:v>
      </x:c>
      <x:c r="H125" s="14" t="str"/>
      <x:c r="I125" s="14" t="str">
        <x:v>Receipt</x:v>
      </x:c>
      <x:c r="J125" s="17" t="n">
        <x:v>0</x:v>
      </x:c>
      <x:c r="K125" s="17" t="n">
        <x:v>246500</x:v>
      </x:c>
      <x:c r="L125" s="17" t="n">
        <x:v>246500</x:v>
      </x:c>
      <x:c r="M125" s="17" t="n">
        <x:v>-9388494.35</x:v>
      </x:c>
      <x:c r="N125" s="14" t="str">
        <x:v>Cash; High Transaction; Recurring Transaction</x:v>
      </x:c>
      <x:c r="O125" s="14" t="str">
        <x:v>Yes</x:v>
      </x:c>
      <x:c r="P125" s="14" t="str">
        <x:v>BY CASH DR BY CASH</x:v>
      </x:c>
      <x:c r="Q125" s="14" t="n">
        <x:v>1</x:v>
      </x:c>
      <x:c r="R125" s="14" t="n">
        <x:v>1</x:v>
      </x:c>
      <x:c r="S125" s="14" t="n">
        <x:v>0</x:v>
      </x:c>
      <x:c r="T125" s="14" t="n">
        <x:v>0</x:v>
      </x:c>
      <x:c r="U125" s="14" t="n">
        <x:v>1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5" t="n">
        <x:v>46140</x:v>
      </x:c>
    </x:row>
    <x:row r="126">
      <x:c r="A126" s="14" t="n">
        <x:v>122</x:v>
      </x:c>
      <x:c r="B126" s="14" t="str">
        <x:v>273.pdf</x:v>
      </x:c>
      <x:c r="C126" s="15" t="n">
        <x:v>45181</x:v>
      </x:c>
      <x:c r="D126" s="15" t="n">
        <x:v>46146</x:v>
      </x:c>
      <x:c r="E126" s="15" t="n">
        <x:v>46140</x:v>
      </x:c>
      <x:c r="F126" s="15" t="n">
        <x:v>46140</x:v>
      </x:c>
      <x:c r="G126" s="16" t="str">
        <x:v>EBANK:WIB/1505 Dr EBANK:WIB/1505883831/Edfs</x:v>
      </x:c>
      <x:c r="H126" s="14" t="str"/>
      <x:c r="I126" s="14" t="str">
        <x:v>Receipt</x:v>
      </x:c>
      <x:c r="J126" s="17" t="n">
        <x:v>0</x:v>
      </x:c>
      <x:c r="K126" s="17" t="n">
        <x:v>402798.6</x:v>
      </x:c>
      <x:c r="L126" s="17" t="n">
        <x:v>402798.6</x:v>
      </x:c>
      <x:c r="M126" s="17" t="n">
        <x:v>-8985695.75</x:v>
      </x:c>
      <x:c r="N126" s="14" t="str">
        <x:v>High Transaction; Recurring Transaction</x:v>
      </x:c>
      <x:c r="O126" s="14" t="str">
        <x:v>Yes</x:v>
      </x:c>
      <x:c r="P126" s="14" t="str">
        <x:v>EBANKWIB</x:v>
      </x:c>
      <x:c r="Q126" s="14" t="n">
        <x:v>0</x:v>
      </x:c>
      <x:c r="R126" s="14" t="n">
        <x:v>1</x:v>
      </x:c>
      <x:c r="S126" s="14" t="n">
        <x:v>0</x:v>
      </x:c>
      <x:c r="T126" s="14" t="n">
        <x:v>0</x:v>
      </x:c>
      <x:c r="U126" s="14" t="n">
        <x:v>1</x:v>
      </x:c>
      <x:c r="V126" s="14" t="n">
        <x:v>0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5" t="n">
        <x:v>46140</x:v>
      </x:c>
    </x:row>
    <x:row r="127">
      <x:c r="A127" s="14" t="n">
        <x:v>123</x:v>
      </x:c>
      <x:c r="B127" s="14" t="str">
        <x:v>273.pdf</x:v>
      </x:c>
      <x:c r="C127" s="15" t="n">
        <x:v>45181</x:v>
      </x:c>
      <x:c r="D127" s="15" t="n">
        <x:v>46146</x:v>
      </x:c>
      <x:c r="E127" s="15" t="n">
        <x:v>46140</x:v>
      </x:c>
      <x:c r="F127" s="15" t="n">
        <x:v>46140</x:v>
      </x:c>
      <x:c r="G127" s="16" t="str">
        <x:v>EBANK:WIB/1505 Dr EBANK:WIB/1505948506/Edfs</x:v>
      </x:c>
      <x:c r="H127" s="14" t="str"/>
      <x:c r="I127" s="14" t="str">
        <x:v>Receipt</x:v>
      </x:c>
      <x:c r="J127" s="17" t="n">
        <x:v>0</x:v>
      </x:c>
      <x:c r="K127" s="17" t="n">
        <x:v>192251.79</x:v>
      </x:c>
      <x:c r="L127" s="17" t="n">
        <x:v>192251.79</x:v>
      </x:c>
      <x:c r="M127" s="17" t="n">
        <x:v>-8793443.96</x:v>
      </x:c>
      <x:c r="N127" s="14" t="str">
        <x:v>High Transaction; Recurring Transaction</x:v>
      </x:c>
      <x:c r="O127" s="14" t="str">
        <x:v>Yes</x:v>
      </x:c>
      <x:c r="P127" s="14" t="str">
        <x:v>EBANKWIB</x:v>
      </x:c>
      <x:c r="Q127" s="14" t="n">
        <x:v>0</x:v>
      </x:c>
      <x:c r="R127" s="14" t="n">
        <x:v>1</x:v>
      </x:c>
      <x:c r="S127" s="14" t="n">
        <x:v>0</x:v>
      </x:c>
      <x:c r="T127" s="14" t="n">
        <x:v>0</x:v>
      </x:c>
      <x:c r="U127" s="14" t="n">
        <x:v>1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5" t="n">
        <x:v>46140</x:v>
      </x:c>
    </x:row>
    <x:row r="128">
      <x:c r="A128" s="14" t="n">
        <x:v>124</x:v>
      </x:c>
      <x:c r="B128" s="14" t="str">
        <x:v>273.pdf</x:v>
      </x:c>
      <x:c r="C128" s="15" t="n">
        <x:v>45181</x:v>
      </x:c>
      <x:c r="D128" s="15" t="n">
        <x:v>46146</x:v>
      </x:c>
      <x:c r="E128" s="15" t="n">
        <x:v>46141</x:v>
      </x:c>
      <x:c r="F128" s="15" t="n">
        <x:v>46141</x:v>
      </x:c>
      <x:c r="G128" s="16" t="str">
        <x:v>EBANK:WIB/1505 Dr EBANK:WIB/1505959390/Edfs</x:v>
      </x:c>
      <x:c r="H128" s="14" t="str"/>
      <x:c r="I128" s="14" t="str">
        <x:v>Receipt</x:v>
      </x:c>
      <x:c r="J128" s="17" t="n">
        <x:v>0</x:v>
      </x:c>
      <x:c r="K128" s="17" t="n">
        <x:v>383365.33</x:v>
      </x:c>
      <x:c r="L128" s="17" t="n">
        <x:v>383365.33</x:v>
      </x:c>
      <x:c r="M128" s="17" t="n">
        <x:v>-8410078.63</x:v>
      </x:c>
      <x:c r="N128" s="14" t="str">
        <x:v>High Transaction; Recurring Transaction</x:v>
      </x:c>
      <x:c r="O128" s="14" t="str">
        <x:v>Yes</x:v>
      </x:c>
      <x:c r="P128" s="14" t="str">
        <x:v>EBANKWIB</x:v>
      </x:c>
      <x:c r="Q128" s="14" t="n">
        <x:v>0</x:v>
      </x:c>
      <x:c r="R128" s="14" t="n">
        <x:v>1</x:v>
      </x:c>
      <x:c r="S128" s="14" t="n">
        <x:v>0</x:v>
      </x:c>
      <x:c r="T128" s="14" t="n">
        <x:v>0</x:v>
      </x:c>
      <x:c r="U128" s="14" t="n">
        <x:v>1</x:v>
      </x:c>
      <x:c r="V128" s="14" t="n">
        <x:v>0</x:v>
      </x:c>
      <x:c r="W128" s="14" t="n">
        <x:v>0</x:v>
      </x:c>
      <x:c r="X128" s="14" t="n">
        <x:v>0</x:v>
      </x:c>
      <x:c r="Y128" s="14" t="n">
        <x:v>0</x:v>
      </x:c>
      <x:c r="Z128" s="14" t="n">
        <x:v>0</x:v>
      </x:c>
      <x:c r="AA128" s="15" t="n">
        <x:v>46141</x:v>
      </x:c>
    </x:row>
    <x:row r="129">
      <x:c r="A129" s="14" t="n">
        <x:v>125</x:v>
      </x:c>
      <x:c r="B129" s="14" t="str">
        <x:v>273.pdf</x:v>
      </x:c>
      <x:c r="C129" s="15" t="n">
        <x:v>45181</x:v>
      </x:c>
      <x:c r="D129" s="15" t="n">
        <x:v>46146</x:v>
      </x:c>
      <x:c r="E129" s="15" t="n">
        <x:v>46141</x:v>
      </x:c>
      <x:c r="F129" s="15" t="n">
        <x:v>46141</x:v>
      </x:c>
      <x:c r="G129" s="16" t="str">
        <x:v>PEENYA-BANGALO Dr INT260415DEAL6357250</x:v>
      </x:c>
      <x:c r="H129" s="14" t="str"/>
      <x:c r="I129" s="14" t="str">
        <x:v>Payment</x:v>
      </x:c>
      <x:c r="J129" s="17" t="n">
        <x:v>5675.17</x:v>
      </x:c>
      <x:c r="K129" s="17" t="n">
        <x:v>0</x:v>
      </x:c>
      <x:c r="L129" s="17" t="n">
        <x:v>5675.17</x:v>
      </x:c>
      <x:c r="M129" s="17" t="n">
        <x:v>-8415753.8</x:v>
      </x:c>
      <x:c r="N129" s="14" t="str">
        <x:v>Other</x:v>
      </x:c>
      <x:c r="O129" s="14" t="str">
        <x:v>No</x:v>
      </x:c>
      <x:c r="P129" s="14" t="str">
        <x:v>BANGALO DR INTDEAL</x:v>
      </x:c>
      <x:c r="Q129" s="14" t="n">
        <x:v>0</x:v>
      </x:c>
      <x:c r="R129" s="14" t="n">
        <x:v>0</x:v>
      </x:c>
      <x:c r="S129" s="14" t="n">
        <x:v>0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  <x:c r="AA129" s="15" t="n">
        <x:v>46141</x:v>
      </x:c>
    </x:row>
    <x:row r="130">
      <x:c r="A130" s="14" t="n">
        <x:v>126</x:v>
      </x:c>
      <x:c r="B130" s="14" t="str">
        <x:v>273.pdf</x:v>
      </x:c>
      <x:c r="C130" s="15" t="n">
        <x:v>45181</x:v>
      </x:c>
      <x:c r="D130" s="15" t="n">
        <x:v>46146</x:v>
      </x:c>
      <x:c r="E130" s="15" t="n">
        <x:v>46141</x:v>
      </x:c>
      <x:c r="F130" s="15" t="n">
        <x:v>46141</x:v>
      </x:c>
      <x:c r="G130" s="16" t="str">
        <x:v>VJJAVA-JAVAGAL Dr INT260415DEAL6357445</x:v>
      </x:c>
      <x:c r="H130" s="14" t="str"/>
      <x:c r="I130" s="14" t="str">
        <x:v>Payment</x:v>
      </x:c>
      <x:c r="J130" s="17" t="n">
        <x:v>224.28</x:v>
      </x:c>
      <x:c r="K130" s="17" t="n">
        <x:v>0</x:v>
      </x:c>
      <x:c r="L130" s="17" t="n">
        <x:v>224.28</x:v>
      </x:c>
      <x:c r="M130" s="17" t="n">
        <x:v>-8415978.08</x:v>
      </x:c>
      <x:c r="N130" s="14" t="str">
        <x:v>Other</x:v>
      </x:c>
      <x:c r="O130" s="14" t="str">
        <x:v>No</x:v>
      </x:c>
      <x:c r="P130" s="14" t="str">
        <x:v>JAVAGAL DR INTDEAL</x:v>
      </x:c>
      <x:c r="Q130" s="14" t="n">
        <x:v>0</x:v>
      </x:c>
      <x:c r="R130" s="14" t="n">
        <x:v>0</x:v>
      </x:c>
      <x:c r="S130" s="14" t="n">
        <x:v>0</x:v>
      </x:c>
      <x:c r="T130" s="14" t="n">
        <x:v>0</x:v>
      </x:c>
      <x:c r="U130" s="14" t="n">
        <x:v>0</x:v>
      </x:c>
      <x:c r="V130" s="14" t="n">
        <x:v>0</x:v>
      </x:c>
      <x:c r="W130" s="14" t="n">
        <x:v>0</x:v>
      </x:c>
      <x:c r="X130" s="14" t="n">
        <x:v>0</x:v>
      </x:c>
      <x:c r="Y130" s="14" t="n">
        <x:v>0</x:v>
      </x:c>
      <x:c r="Z130" s="14" t="n">
        <x:v>0</x:v>
      </x:c>
      <x:c r="AA130" s="15" t="n">
        <x:v>46141</x:v>
      </x:c>
    </x:row>
    <x:row r="131">
      <x:c r="A131" s="14" t="n">
        <x:v>127</x:v>
      </x:c>
      <x:c r="B131" s="14" t="str">
        <x:v>273.pdf</x:v>
      </x:c>
      <x:c r="C131" s="15" t="n">
        <x:v>45181</x:v>
      </x:c>
      <x:c r="D131" s="15" t="n">
        <x:v>46146</x:v>
      </x:c>
      <x:c r="E131" s="15" t="n">
        <x:v>46141</x:v>
      </x:c>
      <x:c r="F131" s="15" t="n">
        <x:v>46141</x:v>
      </x:c>
      <x:c r="G131" s="16" t="str">
        <x:v>EBANK:WIB/1505 Dr EBANK:WIB/1505997293/Edfs ---------------------------------------------------------------------------------------------------------------------------------- Page Total: 18,44,680.14 35,74,340.46 82,54,025.08Dr ---------------------------------------------------------------------------------------------------------------------------------- Note: Cheques received in inward clearing will be considered for debiting/ returning on the basis opening balance in account Unless the const</x:v>
      </x:c>
      <x:c r="H131" s="14" t="str"/>
      <x:c r="I131" s="14" t="str">
        <x:v>Receipt</x:v>
      </x:c>
      <x:c r="J131" s="17" t="n">
        <x:v>0</x:v>
      </x:c>
      <x:c r="K131" s="17" t="n">
        <x:v>161953</x:v>
      </x:c>
      <x:c r="L131" s="17" t="n">
        <x:v>161953</x:v>
      </x:c>
      <x:c r="M131" s="17" t="n">
        <x:v>-8254025.08</x:v>
      </x:c>
      <x:c r="N131" s="14" t="str">
        <x:v>High Transaction; Recurring Transaction</x:v>
      </x:c>
      <x:c r="O131" s="14" t="str">
        <x:v>Yes</x:v>
      </x:c>
      <x:c r="P131" s="14" t="str">
        <x:v>EBANKWIB</x:v>
      </x:c>
      <x:c r="Q131" s="14" t="n">
        <x:v>0</x:v>
      </x:c>
      <x:c r="R131" s="14" t="n">
        <x:v>1</x:v>
      </x:c>
      <x:c r="S131" s="14" t="n">
        <x:v>0</x:v>
      </x:c>
      <x:c r="T131" s="14" t="n">
        <x:v>0</x:v>
      </x:c>
      <x:c r="U131" s="14" t="n">
        <x:v>1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5" t="n">
        <x:v>46141</x:v>
      </x:c>
    </x:row>
    <x:row r="132">
      <x:c r="A132" s="14" t="n">
        <x:v>128</x:v>
      </x:c>
      <x:c r="B132" s="14" t="str">
        <x:v>273.pdf</x:v>
      </x:c>
      <x:c r="C132" s="15" t="n">
        <x:v>45181</x:v>
      </x:c>
      <x:c r="D132" s="15" t="n">
        <x:v>46146</x:v>
      </x:c>
      <x:c r="E132" s="15" t="n">
        <x:v>46141</x:v>
      </x:c>
      <x:c r="F132" s="15" t="n">
        <x:v>46141</x:v>
      </x:c>
      <x:c r="G132" s="16" t="str">
        <x:v>BAREIL-BAREILL Dr INT260416DEAL6357960</x:v>
      </x:c>
      <x:c r="H132" s="14" t="str"/>
      <x:c r="I132" s="14" t="str">
        <x:v>Payment</x:v>
      </x:c>
      <x:c r="J132" s="17" t="n">
        <x:v>124.67</x:v>
      </x:c>
      <x:c r="K132" s="17" t="n">
        <x:v>0</x:v>
      </x:c>
      <x:c r="L132" s="17" t="n">
        <x:v>124.67</x:v>
      </x:c>
      <x:c r="M132" s="17" t="n">
        <x:v>-8254149.75</x:v>
      </x:c>
      <x:c r="N132" s="14" t="str">
        <x:v>Other</x:v>
      </x:c>
      <x:c r="O132" s="14" t="str">
        <x:v>No</x:v>
      </x:c>
      <x:c r="P132" s="14" t="str">
        <x:v>BAREILL DR INTDEAL</x:v>
      </x:c>
      <x:c r="Q132" s="14" t="n">
        <x:v>0</x:v>
      </x:c>
      <x:c r="R132" s="14" t="n">
        <x:v>0</x:v>
      </x:c>
      <x:c r="S132" s="14" t="n">
        <x:v>0</x:v>
      </x:c>
      <x:c r="T132" s="14" t="n">
        <x:v>0</x:v>
      </x:c>
      <x:c r="U132" s="14" t="n">
        <x:v>0</x:v>
      </x:c>
      <x:c r="V132" s="14" t="n">
        <x:v>0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5" t="n">
        <x:v>46141</x:v>
      </x:c>
    </x:row>
    <x:row r="133">
      <x:c r="A133" s="14" t="n">
        <x:v>129</x:v>
      </x:c>
      <x:c r="B133" s="14" t="str">
        <x:v>273.pdf</x:v>
      </x:c>
      <x:c r="C133" s="15" t="n">
        <x:v>45181</x:v>
      </x:c>
      <x:c r="D133" s="15" t="n">
        <x:v>46146</x:v>
      </x:c>
      <x:c r="E133" s="15" t="n">
        <x:v>46141</x:v>
      </x:c>
      <x:c r="F133" s="15" t="n">
        <x:v>46141</x:v>
      </x:c>
      <x:c r="G133" s="16" t="str">
        <x:v>BY CASH Dr BY CASH</x:v>
      </x:c>
      <x:c r="H133" s="14" t="str"/>
      <x:c r="I133" s="14" t="str">
        <x:v>Receipt</x:v>
      </x:c>
      <x:c r="J133" s="17" t="n">
        <x:v>0</x:v>
      </x:c>
      <x:c r="K133" s="17" t="n">
        <x:v>116500</x:v>
      </x:c>
      <x:c r="L133" s="17" t="n">
        <x:v>116500</x:v>
      </x:c>
      <x:c r="M133" s="17" t="n">
        <x:v>-8137649.75</x:v>
      </x:c>
      <x:c r="N133" s="14" t="str">
        <x:v>Cash; High Transaction; Recurring Transaction</x:v>
      </x:c>
      <x:c r="O133" s="14" t="str">
        <x:v>Yes</x:v>
      </x:c>
      <x:c r="P133" s="14" t="str">
        <x:v>BY CASH DR BY CASH</x:v>
      </x:c>
      <x:c r="Q133" s="14" t="n">
        <x:v>1</x:v>
      </x:c>
      <x:c r="R133" s="14" t="n">
        <x:v>1</x:v>
      </x:c>
      <x:c r="S133" s="14" t="n">
        <x:v>0</x:v>
      </x:c>
      <x:c r="T133" s="14" t="n">
        <x:v>0</x:v>
      </x:c>
      <x:c r="U133" s="14" t="n">
        <x:v>1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0</x:v>
      </x:c>
      <x:c r="AA133" s="15" t="n">
        <x:v>46141</x:v>
      </x:c>
    </x:row>
    <x:row r="134">
      <x:c r="A134" s="14" t="n">
        <x:v>130</x:v>
      </x:c>
      <x:c r="B134" s="14" t="str">
        <x:v>273.pdf</x:v>
      </x:c>
      <x:c r="C134" s="15" t="n">
        <x:v>45181</x:v>
      </x:c>
      <x:c r="D134" s="15" t="n">
        <x:v>46146</x:v>
      </x:c>
      <x:c r="E134" s="15" t="n">
        <x:v>46141</x:v>
      </x:c>
      <x:c r="F134" s="15" t="n">
        <x:v>46141</x:v>
      </x:c>
      <x:c r="G134" s="16" t="str">
        <x:v>RTGS-BARBR5202 Dr RTGS-BARBR52026042900818962-HINDUSTAN PETROLEUM CO</x:v>
      </x:c>
      <x:c r="H134" s="14" t="str"/>
      <x:c r="I134" s="14" t="str">
        <x:v>Payment</x:v>
      </x:c>
      <x:c r="J134" s="17" t="n">
        <x:v>1745850</x:v>
      </x:c>
      <x:c r="K134" s="17" t="n">
        <x:v>0</x:v>
      </x:c>
      <x:c r="L134" s="17" t="n">
        <x:v>1745850</x:v>
      </x:c>
      <x:c r="M134" s="17" t="n">
        <x:v>-9883499.75</x:v>
      </x:c>
      <x:c r="N134" s="14" t="str">
        <x:v>High Transaction; Recurring Transaction</x:v>
      </x:c>
      <x:c r="O134" s="14" t="str">
        <x:v>Yes</x:v>
      </x:c>
      <x:c r="P134" s="14" t="str">
        <x:v>BARBR DR RTGS</x:v>
      </x:c>
      <x:c r="Q134" s="14" t="n">
        <x:v>0</x:v>
      </x:c>
      <x:c r="R134" s="14" t="n">
        <x:v>1</x:v>
      </x:c>
      <x:c r="S134" s="14" t="n">
        <x:v>0</x:v>
      </x:c>
      <x:c r="T134" s="14" t="n">
        <x:v>0</x:v>
      </x:c>
      <x:c r="U134" s="14" t="n">
        <x:v>1</x:v>
      </x:c>
      <x:c r="V134" s="14" t="n">
        <x:v>0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5" t="n">
        <x:v>46141</x:v>
      </x:c>
    </x:row>
    <x:row r="135">
      <x:c r="A135" s="14" t="n">
        <x:v>131</x:v>
      </x:c>
      <x:c r="B135" s="14" t="str">
        <x:v>273.pdf</x:v>
      </x:c>
      <x:c r="C135" s="15" t="n">
        <x:v>45181</x:v>
      </x:c>
      <x:c r="D135" s="15" t="n">
        <x:v>46146</x:v>
      </x:c>
      <x:c r="E135" s="15" t="n">
        <x:v>46141</x:v>
      </x:c>
      <x:c r="F135" s="15" t="n">
        <x:v>46141</x:v>
      </x:c>
      <x:c r="G135" s="16" t="str">
        <x:v>EBANK:WIB/1506 Dr EBANK:WIB/1506085309/Edfs</x:v>
      </x:c>
      <x:c r="H135" s="14" t="str"/>
      <x:c r="I135" s="14" t="str">
        <x:v>Receipt</x:v>
      </x:c>
      <x:c r="J135" s="17" t="n">
        <x:v>0</x:v>
      </x:c>
      <x:c r="K135" s="17" t="n">
        <x:v>93264</x:v>
      </x:c>
      <x:c r="L135" s="17" t="n">
        <x:v>93264</x:v>
      </x:c>
      <x:c r="M135" s="17" t="n">
        <x:v>-9790235.75</x:v>
      </x:c>
      <x:c r="N135" s="14" t="str">
        <x:v>Recurring Transaction</x:v>
      </x:c>
      <x:c r="O135" s="14" t="str">
        <x:v>Yes</x:v>
      </x:c>
      <x:c r="P135" s="14" t="str">
        <x:v>EBANKWIB</x:v>
      </x:c>
      <x:c r="Q135" s="14" t="n">
        <x:v>0</x:v>
      </x:c>
      <x:c r="R135" s="14" t="n">
        <x:v>1</x:v>
      </x:c>
      <x:c r="S135" s="14" t="n">
        <x:v>0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0</x:v>
      </x:c>
      <x:c r="AA135" s="15" t="n">
        <x:v>46141</x:v>
      </x:c>
    </x:row>
    <x:row r="136">
      <x:c r="A136" s="14" t="n">
        <x:v>132</x:v>
      </x:c>
      <x:c r="B136" s="14" t="str">
        <x:v>273.pdf</x:v>
      </x:c>
      <x:c r="C136" s="15" t="n">
        <x:v>45181</x:v>
      </x:c>
      <x:c r="D136" s="15" t="n">
        <x:v>46146</x:v>
      </x:c>
      <x:c r="E136" s="15" t="n">
        <x:v>46141</x:v>
      </x:c>
      <x:c r="F136" s="15" t="n">
        <x:v>46141</x:v>
      </x:c>
      <x:c r="G136" s="16" t="str">
        <x:v>NEFT-BARBV2611 Dr NEFT-BARBV26119745454-HINDUSTAN PETROLEUM CORPORAT</x:v>
      </x:c>
      <x:c r="H136" s="14" t="str"/>
      <x:c r="I136" s="14" t="str">
        <x:v>Payment</x:v>
      </x:c>
      <x:c r="J136" s="17" t="n">
        <x:v>116500</x:v>
      </x:c>
      <x:c r="K136" s="17" t="n">
        <x:v>0</x:v>
      </x:c>
      <x:c r="L136" s="17" t="n">
        <x:v>116500</x:v>
      </x:c>
      <x:c r="M136" s="17" t="n">
        <x:v>-9906735.75</x:v>
      </x:c>
      <x:c r="N136" s="14" t="str">
        <x:v>High Transaction</x:v>
      </x:c>
      <x:c r="O136" s="14" t="str">
        <x:v>No</x:v>
      </x:c>
      <x:c r="P136" s="14" t="str">
        <x:v>BARBV DR NEFT</x:v>
      </x:c>
      <x:c r="Q136" s="14" t="n">
        <x:v>0</x:v>
      </x:c>
      <x:c r="R136" s="14" t="n">
        <x:v>0</x:v>
      </x:c>
      <x:c r="S136" s="14" t="n">
        <x:v>0</x:v>
      </x:c>
      <x:c r="T136" s="14" t="n">
        <x:v>0</x:v>
      </x:c>
      <x:c r="U136" s="14" t="n">
        <x:v>1</x:v>
      </x:c>
      <x:c r="V136" s="14" t="n">
        <x:v>0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5" t="n">
        <x:v>46141</x:v>
      </x:c>
    </x:row>
    <x:row r="137">
      <x:c r="A137" s="14" t="n">
        <x:v>133</x:v>
      </x:c>
      <x:c r="B137" s="14" t="str">
        <x:v>273.pdf</x:v>
      </x:c>
      <x:c r="C137" s="15" t="n">
        <x:v>45181</x:v>
      </x:c>
      <x:c r="D137" s="15" t="n">
        <x:v>46146</x:v>
      </x:c>
      <x:c r="E137" s="15" t="n">
        <x:v>46141</x:v>
      </x:c>
      <x:c r="F137" s="15" t="n">
        <x:v>46141</x:v>
      </x:c>
      <x:c r="G137" s="16" t="str">
        <x:v>EBANK:WIB/1506 Dr EBANK:WIB/1506102762/Edfs</x:v>
      </x:c>
      <x:c r="H137" s="14" t="str"/>
      <x:c r="I137" s="14" t="str">
        <x:v>Receipt</x:v>
      </x:c>
      <x:c r="J137" s="17" t="n">
        <x:v>0</x:v>
      </x:c>
      <x:c r="K137" s="17" t="n">
        <x:v>92240</x:v>
      </x:c>
      <x:c r="L137" s="17" t="n">
        <x:v>92240</x:v>
      </x:c>
      <x:c r="M137" s="17" t="n">
        <x:v>-9814495.75</x:v>
      </x:c>
      <x:c r="N137" s="14" t="str">
        <x:v>Recurring Transaction</x:v>
      </x:c>
      <x:c r="O137" s="14" t="str">
        <x:v>Yes</x:v>
      </x:c>
      <x:c r="P137" s="14" t="str">
        <x:v>EBANKWIB</x:v>
      </x:c>
      <x:c r="Q137" s="14" t="n">
        <x:v>0</x:v>
      </x:c>
      <x:c r="R137" s="14" t="n">
        <x:v>1</x:v>
      </x:c>
      <x:c r="S137" s="14" t="n">
        <x:v>0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5" t="n">
        <x:v>46141</x:v>
      </x:c>
    </x:row>
    <x:row r="138">
      <x:c r="A138" s="14" t="n">
        <x:v>134</x:v>
      </x:c>
      <x:c r="B138" s="14" t="str">
        <x:v>273.pdf</x:v>
      </x:c>
      <x:c r="C138" s="15" t="n">
        <x:v>45181</x:v>
      </x:c>
      <x:c r="D138" s="15" t="n">
        <x:v>46146</x:v>
      </x:c>
      <x:c r="E138" s="15" t="n">
        <x:v>46142</x:v>
      </x:c>
      <x:c r="F138" s="15" t="n">
        <x:v>46142</x:v>
      </x:c>
      <x:c r="G138" s="16" t="str">
        <x:v>EBANK:WIB/1506 Dr EBANK:WIB/1506112730/Edfs</x:v>
      </x:c>
      <x:c r="H138" s="14" t="str"/>
      <x:c r="I138" s="14" t="str">
        <x:v>Receipt</x:v>
      </x:c>
      <x:c r="J138" s="17" t="n">
        <x:v>0</x:v>
      </x:c>
      <x:c r="K138" s="17" t="n">
        <x:v>44070</x:v>
      </x:c>
      <x:c r="L138" s="17" t="n">
        <x:v>44070</x:v>
      </x:c>
      <x:c r="M138" s="17" t="n">
        <x:v>-9770425.75</x:v>
      </x:c>
      <x:c r="N138" s="14" t="str">
        <x:v>Recurring Transaction</x:v>
      </x:c>
      <x:c r="O138" s="14" t="str">
        <x:v>Yes</x:v>
      </x:c>
      <x:c r="P138" s="14" t="str">
        <x:v>EBANKWIB</x:v>
      </x:c>
      <x:c r="Q138" s="14" t="n">
        <x:v>0</x:v>
      </x:c>
      <x:c r="R138" s="14" t="n">
        <x:v>1</x:v>
      </x:c>
      <x:c r="S138" s="14" t="n">
        <x:v>0</x:v>
      </x:c>
      <x:c r="T138" s="14" t="n">
        <x:v>0</x:v>
      </x:c>
      <x:c r="U138" s="14" t="n">
        <x:v>0</x:v>
      </x:c>
      <x:c r="V138" s="14" t="n">
        <x:v>0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  <x:c r="AA138" s="15" t="n">
        <x:v>46142</x:v>
      </x:c>
    </x:row>
    <x:row r="139">
      <x:c r="A139" s="14" t="n">
        <x:v>135</x:v>
      </x:c>
      <x:c r="B139" s="14" t="str">
        <x:v>273.pdf</x:v>
      </x:c>
      <x:c r="C139" s="15" t="n">
        <x:v>45181</x:v>
      </x:c>
      <x:c r="D139" s="15" t="n">
        <x:v>46146</x:v>
      </x:c>
      <x:c r="E139" s="15" t="n">
        <x:v>46142</x:v>
      </x:c>
      <x:c r="F139" s="15" t="n">
        <x:v>46142</x:v>
      </x:c>
      <x:c r="G139" s="16" t="str">
        <x:v>EBANK:WIB/1506 Dr EBANK:WIB/1506112904/Edfs</x:v>
      </x:c>
      <x:c r="H139" s="14" t="str"/>
      <x:c r="I139" s="14" t="str">
        <x:v>Receipt</x:v>
      </x:c>
      <x:c r="J139" s="17" t="n">
        <x:v>0</x:v>
      </x:c>
      <x:c r="K139" s="17" t="n">
        <x:v>429587.11</x:v>
      </x:c>
      <x:c r="L139" s="17" t="n">
        <x:v>429587.11</x:v>
      </x:c>
      <x:c r="M139" s="17" t="n">
        <x:v>-9340838.64</x:v>
      </x:c>
      <x:c r="N139" s="14" t="str">
        <x:v>High Transaction; Recurring Transaction</x:v>
      </x:c>
      <x:c r="O139" s="14" t="str">
        <x:v>Yes</x:v>
      </x:c>
      <x:c r="P139" s="14" t="str">
        <x:v>EBANKWIB</x:v>
      </x:c>
      <x:c r="Q139" s="14" t="n">
        <x:v>0</x:v>
      </x:c>
      <x:c r="R139" s="14" t="n">
        <x:v>1</x:v>
      </x:c>
      <x:c r="S139" s="14" t="n">
        <x:v>0</x:v>
      </x:c>
      <x:c r="T139" s="14" t="n">
        <x:v>0</x:v>
      </x:c>
      <x:c r="U139" s="14" t="n">
        <x:v>1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  <x:c r="AA139" s="15" t="n">
        <x:v>46142</x:v>
      </x:c>
    </x:row>
    <x:row r="140">
      <x:c r="A140" s="14" t="n">
        <x:v>136</x:v>
      </x:c>
      <x:c r="B140" s="14" t="str">
        <x:v>273.pdf</x:v>
      </x:c>
      <x:c r="C140" s="15" t="n">
        <x:v>45181</x:v>
      </x:c>
      <x:c r="D140" s="15" t="n">
        <x:v>46146</x:v>
      </x:c>
      <x:c r="E140" s="15" t="n">
        <x:v>46142</x:v>
      </x:c>
      <x:c r="F140" s="15" t="n">
        <x:v>46142</x:v>
      </x:c>
      <x:c r="G140" s="16" t="str">
        <x:v>NEFT-BARBX2612 Dr NEFT-BARBX26120048957-HINDUSTAN PETROLEUM CORPORAT</x:v>
      </x:c>
      <x:c r="H140" s="14" t="str"/>
      <x:c r="I140" s="14" t="str">
        <x:v>Payment</x:v>
      </x:c>
      <x:c r="J140" s="17" t="n">
        <x:v>93264</x:v>
      </x:c>
      <x:c r="K140" s="17" t="n">
        <x:v>0</x:v>
      </x:c>
      <x:c r="L140" s="17" t="n">
        <x:v>93264</x:v>
      </x:c>
      <x:c r="M140" s="17" t="n">
        <x:v>-9434102.64</x:v>
      </x:c>
      <x:c r="N140" s="14" t="str">
        <x:v>Other</x:v>
      </x:c>
      <x:c r="O140" s="14" t="str">
        <x:v>No</x:v>
      </x:c>
      <x:c r="P140" s="14" t="str">
        <x:v>BARBX DR NEFT</x:v>
      </x:c>
      <x:c r="Q140" s="14" t="n">
        <x:v>0</x:v>
      </x:c>
      <x:c r="R140" s="14" t="n">
        <x:v>0</x:v>
      </x:c>
      <x:c r="S140" s="14" t="n">
        <x:v>0</x:v>
      </x:c>
      <x:c r="T140" s="14" t="n">
        <x:v>0</x:v>
      </x:c>
      <x:c r="U140" s="14" t="n">
        <x:v>0</x:v>
      </x:c>
      <x:c r="V140" s="14" t="n">
        <x:v>0</x:v>
      </x:c>
      <x:c r="W140" s="14" t="n">
        <x:v>0</x:v>
      </x:c>
      <x:c r="X140" s="14" t="n">
        <x:v>0</x:v>
      </x:c>
      <x:c r="Y140" s="14" t="n">
        <x:v>0</x:v>
      </x:c>
      <x:c r="Z140" s="14" t="n">
        <x:v>0</x:v>
      </x:c>
      <x:c r="AA140" s="15" t="n">
        <x:v>46142</x:v>
      </x:c>
    </x:row>
    <x:row r="141">
      <x:c r="A141" s="14" t="n">
        <x:v>137</x:v>
      </x:c>
      <x:c r="B141" s="14" t="str">
        <x:v>273.pdf</x:v>
      </x:c>
      <x:c r="C141" s="15" t="n">
        <x:v>45181</x:v>
      </x:c>
      <x:c r="D141" s="15" t="n">
        <x:v>46146</x:v>
      </x:c>
      <x:c r="E141" s="15" t="n">
        <x:v>46142</x:v>
      </x:c>
      <x:c r="F141" s="15" t="n">
        <x:v>46142</x:v>
      </x:c>
      <x:c r="G141" s="16" t="str">
        <x:v>RTGS-BARBR5202 Dr RTGS-BARBR52026043000849921-HINDUSTAN PETROLEUM CO</x:v>
      </x:c>
      <x:c r="H141" s="14" t="str"/>
      <x:c r="I141" s="14" t="str">
        <x:v>Payment</x:v>
      </x:c>
      <x:c r="J141" s="17" t="n">
        <x:v>229000</x:v>
      </x:c>
      <x:c r="K141" s="17" t="n">
        <x:v>0</x:v>
      </x:c>
      <x:c r="L141" s="17" t="n">
        <x:v>229000</x:v>
      </x:c>
      <x:c r="M141" s="17" t="n">
        <x:v>-9663102.64</x:v>
      </x:c>
      <x:c r="N141" s="14" t="str">
        <x:v>High Transaction; Recurring Transaction</x:v>
      </x:c>
      <x:c r="O141" s="14" t="str">
        <x:v>Yes</x:v>
      </x:c>
      <x:c r="P141" s="14" t="str">
        <x:v>BARBR DR RTGS</x:v>
      </x:c>
      <x:c r="Q141" s="14" t="n">
        <x:v>0</x:v>
      </x:c>
      <x:c r="R141" s="14" t="n">
        <x:v>1</x:v>
      </x:c>
      <x:c r="S141" s="14" t="n">
        <x:v>0</x:v>
      </x:c>
      <x:c r="T141" s="14" t="n">
        <x:v>0</x:v>
      </x:c>
      <x:c r="U141" s="14" t="n">
        <x:v>1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  <x:c r="AA141" s="15" t="n">
        <x:v>46142</x:v>
      </x:c>
    </x:row>
    <x:row r="142">
      <x:c r="A142" s="14" t="n">
        <x:v>138</x:v>
      </x:c>
      <x:c r="B142" s="14" t="str">
        <x:v>273.pdf</x:v>
      </x:c>
      <x:c r="C142" s="15" t="n">
        <x:v>45181</x:v>
      </x:c>
      <x:c r="D142" s="15" t="n">
        <x:v>46146</x:v>
      </x:c>
      <x:c r="E142" s="15" t="n">
        <x:v>46142</x:v>
      </x:c>
      <x:c r="F142" s="15" t="n">
        <x:v>46142</x:v>
      </x:c>
      <x:c r="G142" s="16" t="str">
        <x:v>BY CASH Dr BY CASH</x:v>
      </x:c>
      <x:c r="H142" s="14" t="str"/>
      <x:c r="I142" s="14" t="str">
        <x:v>Receipt</x:v>
      </x:c>
      <x:c r="J142" s="17" t="n">
        <x:v>0</x:v>
      </x:c>
      <x:c r="K142" s="17" t="n">
        <x:v>273000</x:v>
      </x:c>
      <x:c r="L142" s="17" t="n">
        <x:v>273000</x:v>
      </x:c>
      <x:c r="M142" s="17" t="n">
        <x:v>-9390102.64</x:v>
      </x:c>
      <x:c r="N142" s="14" t="str">
        <x:v>Cash; High Transaction; Recurring Transaction</x:v>
      </x:c>
      <x:c r="O142" s="14" t="str">
        <x:v>Yes</x:v>
      </x:c>
      <x:c r="P142" s="14" t="str">
        <x:v>BY CASH DR BY CASH</x:v>
      </x:c>
      <x:c r="Q142" s="14" t="n">
        <x:v>1</x:v>
      </x:c>
      <x:c r="R142" s="14" t="n">
        <x:v>1</x:v>
      </x:c>
      <x:c r="S142" s="14" t="n">
        <x:v>0</x:v>
      </x:c>
      <x:c r="T142" s="14" t="n">
        <x:v>0</x:v>
      </x:c>
      <x:c r="U142" s="14" t="n">
        <x:v>1</x:v>
      </x:c>
      <x:c r="V142" s="14" t="n">
        <x:v>0</x:v>
      </x:c>
      <x:c r="W142" s="14" t="n">
        <x:v>0</x:v>
      </x:c>
      <x:c r="X142" s="14" t="n">
        <x:v>0</x:v>
      </x:c>
      <x:c r="Y142" s="14" t="n">
        <x:v>0</x:v>
      </x:c>
      <x:c r="Z142" s="14" t="n">
        <x:v>0</x:v>
      </x:c>
      <x:c r="AA142" s="15" t="n">
        <x:v>46142</x:v>
      </x:c>
    </x:row>
    <x:row r="143">
      <x:c r="A143" s="14" t="n">
        <x:v>139</x:v>
      </x:c>
      <x:c r="B143" s="14" t="str">
        <x:v>273.pdf</x:v>
      </x:c>
      <x:c r="C143" s="15" t="n">
        <x:v>45181</x:v>
      </x:c>
      <x:c r="D143" s="15" t="n">
        <x:v>46146</x:v>
      </x:c>
      <x:c r="E143" s="15" t="n">
        <x:v>46142</x:v>
      </x:c>
      <x:c r="F143" s="15" t="n">
        <x:v>46142</x:v>
      </x:c>
      <x:c r="G143" s="16" t="str">
        <x:v>EBANK:WIB/1506 Dr EBANK:WIB/1506237357/Edfs</x:v>
      </x:c>
      <x:c r="H143" s="14" t="str"/>
      <x:c r="I143" s="14" t="str">
        <x:v>Receipt</x:v>
      </x:c>
      <x:c r="J143" s="17" t="n">
        <x:v>0</x:v>
      </x:c>
      <x:c r="K143" s="17" t="n">
        <x:v>307440.05</x:v>
      </x:c>
      <x:c r="L143" s="17" t="n">
        <x:v>307440.05</x:v>
      </x:c>
      <x:c r="M143" s="17" t="n">
        <x:v>-9082662.59</x:v>
      </x:c>
      <x:c r="N143" s="14" t="str">
        <x:v>High Transaction; Recurring Transaction</x:v>
      </x:c>
      <x:c r="O143" s="14" t="str">
        <x:v>Yes</x:v>
      </x:c>
      <x:c r="P143" s="14" t="str">
        <x:v>EBANKWIB</x:v>
      </x:c>
      <x:c r="Q143" s="14" t="n">
        <x:v>0</x:v>
      </x:c>
      <x:c r="R143" s="14" t="n">
        <x:v>1</x:v>
      </x:c>
      <x:c r="S143" s="14" t="n">
        <x:v>0</x:v>
      </x:c>
      <x:c r="T143" s="14" t="n">
        <x:v>0</x:v>
      </x:c>
      <x:c r="U143" s="14" t="n">
        <x:v>1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0</x:v>
      </x:c>
      <x:c r="AA143" s="15" t="n">
        <x:v>46142</x:v>
      </x:c>
    </x:row>
    <x:row r="144">
      <x:c r="A144" s="14" t="n">
        <x:v>140</x:v>
      </x:c>
      <x:c r="B144" s="14" t="str">
        <x:v>273.pdf</x:v>
      </x:c>
      <x:c r="C144" s="15" t="n">
        <x:v>45181</x:v>
      </x:c>
      <x:c r="D144" s="15" t="n">
        <x:v>46146</x:v>
      </x:c>
      <x:c r="E144" s="15" t="n">
        <x:v>46142</x:v>
      </x:c>
      <x:c r="F144" s="15" t="n">
        <x:v>46142</x:v>
      </x:c>
      <x:c r="G144" s="16" t="str">
        <x:v>EBANK:WIB/1506 Dr EBANK:WIB/1506303993/Edfs ---------------------------------------------------------------------------------------------------------------------------------- Page Total: 21,84,738.67 14,84,724.36 89,54,039.39Dr ---------------------------------------------------------------------------------------------------------------------------------- Grand Total: 2,30,94,114.44 2,41,39,693.85 89,54,039.39Dr -----------------------------------------------------------------------------------</x:v>
      </x:c>
      <x:c r="H144" s="14" t="str"/>
      <x:c r="I144" s="14" t="str">
        <x:v>Receipt</x:v>
      </x:c>
      <x:c r="J144" s="17" t="n">
        <x:v>0</x:v>
      </x:c>
      <x:c r="K144" s="17" t="n">
        <x:v>128623.2</x:v>
      </x:c>
      <x:c r="L144" s="17" t="n">
        <x:v>128623.2</x:v>
      </x:c>
      <x:c r="M144" s="17" t="n">
        <x:v>-8954039.39</x:v>
      </x:c>
      <x:c r="N144" s="14" t="str">
        <x:v>High Transaction; Recurring Transaction</x:v>
      </x:c>
      <x:c r="O144" s="14" t="str">
        <x:v>Yes</x:v>
      </x:c>
      <x:c r="P144" s="14" t="str">
        <x:v>EBANKWIB</x:v>
      </x:c>
      <x:c r="Q144" s="14" t="n">
        <x:v>0</x:v>
      </x:c>
      <x:c r="R144" s="14" t="n">
        <x:v>1</x:v>
      </x:c>
      <x:c r="S144" s="14" t="n">
        <x:v>0</x:v>
      </x:c>
      <x:c r="T144" s="14" t="n">
        <x:v>0</x:v>
      </x:c>
      <x:c r="U144" s="14" t="n">
        <x:v>1</x:v>
      </x:c>
      <x:c r="V144" s="14" t="n">
        <x:v>0</x:v>
      </x:c>
      <x:c r="W144" s="14" t="n">
        <x:v>0</x:v>
      </x:c>
      <x:c r="X144" s="14" t="n">
        <x:v>0</x:v>
      </x:c>
      <x:c r="Y144" s="14" t="n">
        <x:v>0</x:v>
      </x:c>
      <x:c r="Z144" s="14" t="n">
        <x:v>0</x:v>
      </x:c>
      <x:c r="AA144" s="15" t="n">
        <x:v>46142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e0395699840e447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Cash Transactions</x:v>
      </x:c>
      <x:c r="B1" s="25" t="str">
        <x:v>Cash Transactions</x:v>
      </x:c>
      <x:c r="C1" s="25" t="str">
        <x:v>Cash Transactions</x:v>
      </x:c>
      <x:c r="D1" s="25" t="str">
        <x:v>Cash Transactions</x:v>
      </x:c>
      <x:c r="E1" s="25" t="str">
        <x:v>Cash Transactions</x:v>
      </x:c>
      <x:c r="F1" s="25" t="str">
        <x:v>Cash Transactions</x:v>
      </x:c>
      <x:c r="G1" s="25" t="str">
        <x:v>Cash Transactions</x:v>
      </x:c>
      <x:c r="H1" s="25" t="str">
        <x:v>Cash Transactions</x:v>
      </x:c>
      <x:c r="I1" s="25" t="str">
        <x:v>Cash Transactions</x:v>
      </x:c>
      <x:c r="J1" s="25" t="str">
        <x:v>Cash Transactions</x:v>
      </x:c>
      <x:c r="K1" s="25" t="str">
        <x:v>Cash Transactions</x:v>
      </x:c>
      <x:c r="L1" s="25" t="str">
        <x:v>Cash Transactions</x:v>
      </x:c>
      <x:c r="M1" s="25" t="str">
        <x:v>Cash Transactions</x:v>
      </x:c>
      <x:c r="N1" s="25" t="str">
        <x:v>Cash Transactions</x:v>
      </x:c>
      <x:c r="O1" s="25" t="str">
        <x:v>Cash Transactions</x:v>
      </x:c>
      <x:c r="P1" s="25" t="str">
        <x:v>Cash Transactions</x:v>
      </x:c>
      <x:c r="Q1" s="25" t="str">
        <x:v>Cash Transactions</x:v>
      </x:c>
      <x:c r="R1" s="25" t="str">
        <x:v>Cash Transactions</x:v>
      </x:c>
      <x:c r="S1" s="25" t="str">
        <x:v>Cash Transactions</x:v>
      </x:c>
      <x:c r="T1" s="25" t="str">
        <x:v>Cash Transactions</x:v>
      </x:c>
      <x:c r="U1" s="25" t="str">
        <x:v>Cash Transactions</x:v>
      </x:c>
      <x:c r="V1" s="25" t="str">
        <x:v>Cash Transactions</x:v>
      </x:c>
      <x:c r="W1" s="25" t="str">
        <x:v>Cash Transactions</x:v>
      </x:c>
      <x:c r="X1" s="25" t="str">
        <x:v>Cash Transactions</x:v>
      </x:c>
      <x:c r="Y1" s="25" t="str">
        <x:v>Cash Transactions</x:v>
      </x:c>
      <x:c r="Z1" s="25" t="str">
        <x:v>Cash Transactions</x:v>
      </x:c>
      <x:c r="AA1" s="25" t="str">
        <x:v>Cash Transactions</x:v>
      </x:c>
    </x:row>
    <x:row r="2">
      <x:c r="A2" s="26" t="str">
        <x:v>Rows</x:v>
      </x:c>
      <x:c r="B2" s="26" t="n">
        <x:v>22</x:v>
      </x:c>
      <x:c r="C2" s="26" t="str">
        <x:v>Match</x:v>
      </x:c>
      <x:c r="D2" s="26" t="str">
        <x:v>Cash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4</x:v>
      </x:c>
      <x:c r="B5" s="14" t="str">
        <x:v>273.pdf</x:v>
      </x:c>
      <x:c r="C5" s="15" t="n">
        <x:v>45181</x:v>
      </x:c>
      <x:c r="D5" s="15" t="n">
        <x:v>46146</x:v>
      </x:c>
      <x:c r="E5" s="15" t="n">
        <x:v>46114</x:v>
      </x:c>
      <x:c r="F5" s="15" t="n">
        <x:v>46114</x:v>
      </x:c>
      <x:c r="G5" s="16" t="str">
        <x:v>BY CASH Dr BY CASH</x:v>
      </x:c>
      <x:c r="H5" s="14" t="str"/>
      <x:c r="I5" s="14" t="str">
        <x:v>Receipt</x:v>
      </x:c>
      <x:c r="J5" s="17" t="n">
        <x:v>0</x:v>
      </x:c>
      <x:c r="K5" s="17" t="n">
        <x:v>67500</x:v>
      </x:c>
      <x:c r="L5" s="17" t="n">
        <x:v>67500</x:v>
      </x:c>
      <x:c r="M5" s="17" t="n">
        <x:v>-9007143.8</x:v>
      </x:c>
      <x:c r="N5" s="14" t="str">
        <x:v>Cash; Recurring Transaction</x:v>
      </x:c>
      <x:c r="O5" s="14" t="str">
        <x:v>Yes</x:v>
      </x:c>
      <x:c r="P5" s="14" t="str">
        <x:v>BY CASH DR BY CASH</x:v>
      </x:c>
      <x:c r="Q5" s="14" t="n">
        <x:v>1</x:v>
      </x:c>
      <x:c r="R5" s="14" t="n">
        <x:v>1</x:v>
      </x:c>
      <x:c r="S5" s="14" t="n">
        <x:v>0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</x:row>
    <x:row r="6">
      <x:c r="A6" s="14" t="n">
        <x:v>5</x:v>
      </x:c>
      <x:c r="B6" s="14" t="str">
        <x:v>273.pdf</x:v>
      </x:c>
      <x:c r="C6" s="15" t="n">
        <x:v>45181</x:v>
      </x:c>
      <x:c r="D6" s="15" t="n">
        <x:v>46146</x:v>
      </x:c>
      <x:c r="E6" s="15" t="n">
        <x:v>46114</x:v>
      </x:c>
      <x:c r="F6" s="15" t="n">
        <x:v>46114</x:v>
      </x:c>
      <x:c r="G6" s="16" t="str">
        <x:v>VIRARW-THANE/B Dr BY CASH</x:v>
      </x:c>
      <x:c r="H6" s="14" t="str"/>
      <x:c r="I6" s="14" t="str">
        <x:v>Receipt</x:v>
      </x:c>
      <x:c r="J6" s="17" t="n">
        <x:v>0</x:v>
      </x:c>
      <x:c r="K6" s="17" t="n">
        <x:v>426000</x:v>
      </x:c>
      <x:c r="L6" s="17" t="n">
        <x:v>426000</x:v>
      </x:c>
      <x:c r="M6" s="17" t="n">
        <x:v>-8581143.8</x:v>
      </x:c>
      <x:c r="N6" s="14" t="str">
        <x:v>Cash; High Transaction; Recurring Transaction</x:v>
      </x:c>
      <x:c r="O6" s="14" t="str">
        <x:v>Yes</x:v>
      </x:c>
      <x:c r="P6" s="14" t="str">
        <x:v>B DR BY CASH</x:v>
      </x:c>
      <x:c r="Q6" s="14" t="n">
        <x:v>1</x:v>
      </x:c>
      <x:c r="R6" s="14" t="n">
        <x:v>1</x:v>
      </x:c>
      <x:c r="S6" s="14" t="n">
        <x:v>0</x:v>
      </x:c>
      <x:c r="T6" s="14" t="n">
        <x:v>0</x:v>
      </x:c>
      <x:c r="U6" s="14" t="n">
        <x:v>1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</x:row>
    <x:row r="7">
      <x:c r="A7" s="14" t="n">
        <x:v>12</x:v>
      </x:c>
      <x:c r="B7" s="14" t="str">
        <x:v>273.pdf</x:v>
      </x:c>
      <x:c r="C7" s="15" t="n">
        <x:v>45181</x:v>
      </x:c>
      <x:c r="D7" s="15" t="n">
        <x:v>46146</x:v>
      </x:c>
      <x:c r="E7" s="15" t="n">
        <x:v>46116</x:v>
      </x:c>
      <x:c r="F7" s="15" t="n">
        <x:v>46116</x:v>
      </x:c>
      <x:c r="G7" s="16" t="str">
        <x:v>BY CASH Dr BY CASH</x:v>
      </x:c>
      <x:c r="H7" s="14" t="str"/>
      <x:c r="I7" s="14" t="str">
        <x:v>Receipt</x:v>
      </x:c>
      <x:c r="J7" s="17" t="n">
        <x:v>0</x:v>
      </x:c>
      <x:c r="K7" s="17" t="n">
        <x:v>423500</x:v>
      </x:c>
      <x:c r="L7" s="17" t="n">
        <x:v>423500</x:v>
      </x:c>
      <x:c r="M7" s="17" t="n">
        <x:v>-7751471.7</x:v>
      </x:c>
      <x:c r="N7" s="14" t="str">
        <x:v>Cash; High Transaction; Recurring Transaction</x:v>
      </x:c>
      <x:c r="O7" s="14" t="str">
        <x:v>Yes</x:v>
      </x:c>
      <x:c r="P7" s="14" t="str">
        <x:v>BY CASH DR BY CASH</x:v>
      </x:c>
      <x:c r="Q7" s="14" t="n">
        <x:v>1</x:v>
      </x:c>
      <x:c r="R7" s="14" t="n">
        <x:v>1</x:v>
      </x:c>
      <x:c r="S7" s="14" t="n">
        <x:v>0</x:v>
      </x:c>
      <x:c r="T7" s="14" t="n">
        <x:v>0</x:v>
      </x:c>
      <x:c r="U7" s="14" t="n">
        <x:v>1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46116</x:v>
      </x:c>
    </x:row>
    <x:row r="8">
      <x:c r="A8" s="14" t="n">
        <x:v>17</x:v>
      </x:c>
      <x:c r="B8" s="14" t="str">
        <x:v>273.pdf</x:v>
      </x:c>
      <x:c r="C8" s="15" t="n">
        <x:v>45181</x:v>
      </x:c>
      <x:c r="D8" s="15" t="n">
        <x:v>46146</x:v>
      </x:c>
      <x:c r="E8" s="15" t="n">
        <x:v>46118</x:v>
      </x:c>
      <x:c r="F8" s="15" t="n">
        <x:v>46118</x:v>
      </x:c>
      <x:c r="G8" s="16" t="str">
        <x:v>BY CASH Dr BY CASH</x:v>
      </x:c>
      <x:c r="H8" s="14" t="str"/>
      <x:c r="I8" s="14" t="str">
        <x:v>Receipt</x:v>
      </x:c>
      <x:c r="J8" s="17" t="n">
        <x:v>0</x:v>
      </x:c>
      <x:c r="K8" s="17" t="n">
        <x:v>273000</x:v>
      </x:c>
      <x:c r="L8" s="17" t="n">
        <x:v>273000</x:v>
      </x:c>
      <x:c r="M8" s="17" t="n">
        <x:v>-8546842.12</x:v>
      </x:c>
      <x:c r="N8" s="14" t="str">
        <x:v>Cash; High Transaction; Recurring Transaction</x:v>
      </x:c>
      <x:c r="O8" s="14" t="str">
        <x:v>Yes</x:v>
      </x:c>
      <x:c r="P8" s="14" t="str">
        <x:v>BY CASH DR BY CASH</x:v>
      </x:c>
      <x:c r="Q8" s="14" t="n">
        <x:v>1</x:v>
      </x:c>
      <x:c r="R8" s="14" t="n">
        <x:v>1</x:v>
      </x:c>
      <x:c r="S8" s="14" t="n">
        <x:v>0</x:v>
      </x:c>
      <x:c r="T8" s="14" t="n">
        <x:v>0</x:v>
      </x:c>
      <x:c r="U8" s="14" t="n">
        <x:v>1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46118</x:v>
      </x:c>
    </x:row>
    <x:row r="9">
      <x:c r="A9" s="14" t="n">
        <x:v>24</x:v>
      </x:c>
      <x:c r="B9" s="14" t="str">
        <x:v>273.pdf</x:v>
      </x:c>
      <x:c r="C9" s="15" t="n">
        <x:v>45181</x:v>
      </x:c>
      <x:c r="D9" s="15" t="n">
        <x:v>46146</x:v>
      </x:c>
      <x:c r="E9" s="15" t="n">
        <x:v>46120</x:v>
      </x:c>
      <x:c r="F9" s="15" t="n">
        <x:v>46120</x:v>
      </x:c>
      <x:c r="G9" s="16" t="str">
        <x:v>BY CASH Dr BY CASH</x:v>
      </x:c>
      <x:c r="H9" s="14" t="str"/>
      <x:c r="I9" s="14" t="str">
        <x:v>Receipt</x:v>
      </x:c>
      <x:c r="J9" s="17" t="n">
        <x:v>0</x:v>
      </x:c>
      <x:c r="K9" s="17" t="n">
        <x:v>115000</x:v>
      </x:c>
      <x:c r="L9" s="17" t="n">
        <x:v>115000</x:v>
      </x:c>
      <x:c r="M9" s="17" t="n">
        <x:v>-9292881.38</x:v>
      </x:c>
      <x:c r="N9" s="14" t="str">
        <x:v>Cash; High Transaction; Recurring Transaction</x:v>
      </x:c>
      <x:c r="O9" s="14" t="str">
        <x:v>Yes</x:v>
      </x:c>
      <x:c r="P9" s="14" t="str">
        <x:v>BY CASH DR BY CASH</x:v>
      </x:c>
      <x:c r="Q9" s="14" t="n">
        <x:v>1</x:v>
      </x:c>
      <x:c r="R9" s="14" t="n">
        <x:v>1</x:v>
      </x:c>
      <x:c r="S9" s="14" t="n">
        <x:v>0</x:v>
      </x:c>
      <x:c r="T9" s="14" t="n">
        <x:v>0</x:v>
      </x:c>
      <x:c r="U9" s="14" t="n">
        <x:v>1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46120</x:v>
      </x:c>
    </x:row>
    <x:row r="10">
      <x:c r="A10" s="14" t="n">
        <x:v>28</x:v>
      </x:c>
      <x:c r="B10" s="14" t="str">
        <x:v>273.pdf</x:v>
      </x:c>
      <x:c r="C10" s="15" t="n">
        <x:v>45181</x:v>
      </x:c>
      <x:c r="D10" s="15" t="n">
        <x:v>46146</x:v>
      </x:c>
      <x:c r="E10" s="15" t="n">
        <x:v>46121</x:v>
      </x:c>
      <x:c r="F10" s="15" t="n">
        <x:v>46121</x:v>
      </x:c>
      <x:c r="G10" s="16" t="str">
        <x:v>BY CASH Dr BY CASH</x:v>
      </x:c>
      <x:c r="H10" s="14" t="str"/>
      <x:c r="I10" s="14" t="str">
        <x:v>Receipt</x:v>
      </x:c>
      <x:c r="J10" s="17" t="n">
        <x:v>0</x:v>
      </x:c>
      <x:c r="K10" s="17" t="n">
        <x:v>180000</x:v>
      </x:c>
      <x:c r="L10" s="17" t="n">
        <x:v>180000</x:v>
      </x:c>
      <x:c r="M10" s="17" t="n">
        <x:v>-9009930.72</x:v>
      </x:c>
      <x:c r="N10" s="14" t="str">
        <x:v>Cash; High Transaction; Recurring Transaction</x:v>
      </x:c>
      <x:c r="O10" s="14" t="str">
        <x:v>Yes</x:v>
      </x:c>
      <x:c r="P10" s="14" t="str">
        <x:v>BY CASH DR BY CASH</x:v>
      </x:c>
      <x:c r="Q10" s="14" t="n">
        <x:v>1</x:v>
      </x:c>
      <x:c r="R10" s="14" t="n">
        <x:v>1</x:v>
      </x:c>
      <x:c r="S10" s="14" t="n">
        <x:v>0</x:v>
      </x:c>
      <x:c r="T10" s="14" t="n">
        <x:v>0</x:v>
      </x:c>
      <x:c r="U10" s="14" t="n">
        <x:v>1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46121</x:v>
      </x:c>
    </x:row>
    <x:row r="11">
      <x:c r="A11" s="14" t="n">
        <x:v>34</x:v>
      </x:c>
      <x:c r="B11" s="14" t="str">
        <x:v>273.pdf</x:v>
      </x:c>
      <x:c r="C11" s="15" t="n">
        <x:v>45181</x:v>
      </x:c>
      <x:c r="D11" s="15" t="n">
        <x:v>46146</x:v>
      </x:c>
      <x:c r="E11" s="15" t="n">
        <x:v>46122</x:v>
      </x:c>
      <x:c r="F11" s="15" t="n">
        <x:v>46122</x:v>
      </x:c>
      <x:c r="G11" s="16" t="str">
        <x:v>BY CASH Dr BY CASH</x:v>
      </x:c>
      <x:c r="H11" s="14" t="str"/>
      <x:c r="I11" s="14" t="str">
        <x:v>Receipt</x:v>
      </x:c>
      <x:c r="J11" s="17" t="n">
        <x:v>0</x:v>
      </x:c>
      <x:c r="K11" s="17" t="n">
        <x:v>171000</x:v>
      </x:c>
      <x:c r="L11" s="17" t="n">
        <x:v>171000</x:v>
      </x:c>
      <x:c r="M11" s="17" t="n">
        <x:v>-9779313.97</x:v>
      </x:c>
      <x:c r="N11" s="14" t="str">
        <x:v>Cash; High Transaction; Recurring Transaction</x:v>
      </x:c>
      <x:c r="O11" s="14" t="str">
        <x:v>Yes</x:v>
      </x:c>
      <x:c r="P11" s="14" t="str">
        <x:v>BY CASH DR BY CASH</x:v>
      </x:c>
      <x:c r="Q11" s="14" t="n">
        <x:v>1</x:v>
      </x:c>
      <x:c r="R11" s="14" t="n">
        <x:v>1</x:v>
      </x:c>
      <x:c r="S11" s="14" t="n">
        <x:v>0</x:v>
      </x:c>
      <x:c r="T11" s="14" t="n">
        <x:v>0</x:v>
      </x:c>
      <x:c r="U11" s="14" t="n">
        <x:v>1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46122</x:v>
      </x:c>
    </x:row>
    <x:row r="12">
      <x:c r="A12" s="14" t="n">
        <x:v>41</x:v>
      </x:c>
      <x:c r="B12" s="14" t="str">
        <x:v>273.pdf</x:v>
      </x:c>
      <x:c r="C12" s="15" t="n">
        <x:v>45181</x:v>
      </x:c>
      <x:c r="D12" s="15" t="n">
        <x:v>46146</x:v>
      </x:c>
      <x:c r="E12" s="15" t="n">
        <x:v>46125</x:v>
      </x:c>
      <x:c r="F12" s="15" t="n">
        <x:v>46125</x:v>
      </x:c>
      <x:c r="G12" s="16" t="str">
        <x:v>VIRARW-THANE/B Dr https://cbdrpt101.bankofbaroda.co.in:22000/finbranch/arjspmorph/INFENG/tran_rpt.jsp?... 04-05-2026 BY CASH</x:v>
      </x:c>
      <x:c r="H12" s="14" t="str"/>
      <x:c r="I12" s="14" t="str">
        <x:v>Receipt</x:v>
      </x:c>
      <x:c r="J12" s="17" t="n">
        <x:v>0</x:v>
      </x:c>
      <x:c r="K12" s="17" t="n">
        <x:v>439000</x:v>
      </x:c>
      <x:c r="L12" s="17" t="n">
        <x:v>439000</x:v>
      </x:c>
      <x:c r="M12" s="17" t="n">
        <x:v>-8493469.69</x:v>
      </x:c>
      <x:c r="N12" s="14" t="str">
        <x:v>Cash; High Transaction</x:v>
      </x:c>
      <x:c r="O12" s="14" t="str">
        <x:v>No</x:v>
      </x:c>
      <x:c r="P12" s="14" t="str">
        <x:v>B DR HTTPS</x:v>
      </x:c>
      <x:c r="Q12" s="14" t="n">
        <x:v>1</x:v>
      </x:c>
      <x:c r="R12" s="14" t="n">
        <x:v>0</x:v>
      </x:c>
      <x:c r="S12" s="14" t="n">
        <x:v>0</x:v>
      </x:c>
      <x:c r="T12" s="14" t="n">
        <x:v>0</x:v>
      </x:c>
      <x:c r="U12" s="14" t="n">
        <x:v>1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46125</x:v>
      </x:c>
    </x:row>
    <x:row r="13">
      <x:c r="A13" s="14" t="n">
        <x:v>45</x:v>
      </x:c>
      <x:c r="B13" s="14" t="str">
        <x:v>273.pdf</x:v>
      </x:c>
      <x:c r="C13" s="15" t="n">
        <x:v>45181</x:v>
      </x:c>
      <x:c r="D13" s="15" t="n">
        <x:v>46146</x:v>
      </x:c>
      <x:c r="E13" s="15" t="n">
        <x:v>46125</x:v>
      </x:c>
      <x:c r="F13" s="15" t="n">
        <x:v>46125</x:v>
      </x:c>
      <x:c r="G13" s="16" t="str">
        <x:v>BY CASH Dr BY CASH</x:v>
      </x:c>
      <x:c r="H13" s="14" t="str"/>
      <x:c r="I13" s="14" t="str">
        <x:v>Receipt</x:v>
      </x:c>
      <x:c r="J13" s="17" t="n">
        <x:v>0</x:v>
      </x:c>
      <x:c r="K13" s="17" t="n">
        <x:v>78500</x:v>
      </x:c>
      <x:c r="L13" s="17" t="n">
        <x:v>78500</x:v>
      </x:c>
      <x:c r="M13" s="17" t="n">
        <x:v>-7804754.98</x:v>
      </x:c>
      <x:c r="N13" s="14" t="str">
        <x:v>Cash; Recurring Transaction</x:v>
      </x:c>
      <x:c r="O13" s="14" t="str">
        <x:v>Yes</x:v>
      </x:c>
      <x:c r="P13" s="14" t="str">
        <x:v>BY CASH DR BY CASH</x:v>
      </x:c>
      <x:c r="Q13" s="14" t="n">
        <x:v>1</x:v>
      </x:c>
      <x:c r="R13" s="14" t="n">
        <x:v>1</x:v>
      </x:c>
      <x:c r="S13" s="14" t="n">
        <x:v>0</x:v>
      </x:c>
      <x:c r="T13" s="14" t="n">
        <x:v>0</x:v>
      </x:c>
      <x:c r="U13" s="14" t="n">
        <x:v>0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46125</x:v>
      </x:c>
    </x:row>
    <x:row r="14">
      <x:c r="A14" s="14" t="n">
        <x:v>55</x:v>
      </x:c>
      <x:c r="B14" s="14" t="str">
        <x:v>273.pdf</x:v>
      </x:c>
      <x:c r="C14" s="15" t="n">
        <x:v>45181</x:v>
      </x:c>
      <x:c r="D14" s="15" t="n">
        <x:v>46146</x:v>
      </x:c>
      <x:c r="E14" s="15" t="n">
        <x:v>46127</x:v>
      </x:c>
      <x:c r="F14" s="15" t="n">
        <x:v>46127</x:v>
      </x:c>
      <x:c r="G14" s="16" t="str">
        <x:v>BY CASH Dr BY CASH</x:v>
      </x:c>
      <x:c r="H14" s="14" t="str"/>
      <x:c r="I14" s="14" t="str">
        <x:v>Receipt</x:v>
      </x:c>
      <x:c r="J14" s="17" t="n">
        <x:v>0</x:v>
      </x:c>
      <x:c r="K14" s="17" t="n">
        <x:v>371000</x:v>
      </x:c>
      <x:c r="L14" s="17" t="n">
        <x:v>371000</x:v>
      </x:c>
      <x:c r="M14" s="17" t="n">
        <x:v>-8110214.99</x:v>
      </x:c>
      <x:c r="N14" s="14" t="str">
        <x:v>Cash; High Transaction; Recurring Transaction</x:v>
      </x:c>
      <x:c r="O14" s="14" t="str">
        <x:v>Yes</x:v>
      </x:c>
      <x:c r="P14" s="14" t="str">
        <x:v>BY CASH DR BY CASH</x:v>
      </x:c>
      <x:c r="Q14" s="14" t="n">
        <x:v>1</x:v>
      </x:c>
      <x:c r="R14" s="14" t="n">
        <x:v>1</x:v>
      </x:c>
      <x:c r="S14" s="14" t="n">
        <x:v>0</x:v>
      </x:c>
      <x:c r="T14" s="14" t="n">
        <x:v>0</x:v>
      </x:c>
      <x:c r="U14" s="14" t="n">
        <x:v>1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46127</x:v>
      </x:c>
    </x:row>
    <x:row r="15">
      <x:c r="A15" s="14" t="n">
        <x:v>63</x:v>
      </x:c>
      <x:c r="B15" s="14" t="str">
        <x:v>273.pdf</x:v>
      </x:c>
      <x:c r="C15" s="15" t="n">
        <x:v>45181</x:v>
      </x:c>
      <x:c r="D15" s="15" t="n">
        <x:v>46146</x:v>
      </x:c>
      <x:c r="E15" s="15" t="n">
        <x:v>46128</x:v>
      </x:c>
      <x:c r="F15" s="15" t="n">
        <x:v>46128</x:v>
      </x:c>
      <x:c r="G15" s="16" t="str">
        <x:v>BY CASH Dr BY CASH</x:v>
      </x:c>
      <x:c r="H15" s="14" t="str"/>
      <x:c r="I15" s="14" t="str">
        <x:v>Receipt</x:v>
      </x:c>
      <x:c r="J15" s="17" t="n">
        <x:v>0</x:v>
      </x:c>
      <x:c r="K15" s="17" t="n">
        <x:v>166000</x:v>
      </x:c>
      <x:c r="L15" s="17" t="n">
        <x:v>166000</x:v>
      </x:c>
      <x:c r="M15" s="17" t="n">
        <x:v>-8932021.65</x:v>
      </x:c>
      <x:c r="N15" s="14" t="str">
        <x:v>Cash; High Transaction; Recurring Transaction</x:v>
      </x:c>
      <x:c r="O15" s="14" t="str">
        <x:v>Yes</x:v>
      </x:c>
      <x:c r="P15" s="14" t="str">
        <x:v>BY CASH DR BY CASH</x:v>
      </x:c>
      <x:c r="Q15" s="14" t="n">
        <x:v>1</x:v>
      </x:c>
      <x:c r="R15" s="14" t="n">
        <x:v>1</x:v>
      </x:c>
      <x:c r="S15" s="14" t="n">
        <x:v>0</x:v>
      </x:c>
      <x:c r="T15" s="14" t="n">
        <x:v>0</x:v>
      </x:c>
      <x:c r="U15" s="14" t="n">
        <x:v>1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46128</x:v>
      </x:c>
    </x:row>
    <x:row r="16">
      <x:c r="A16" s="14" t="n">
        <x:v>70</x:v>
      </x:c>
      <x:c r="B16" s="14" t="str">
        <x:v>273.pdf</x:v>
      </x:c>
      <x:c r="C16" s="15" t="n">
        <x:v>45181</x:v>
      </x:c>
      <x:c r="D16" s="15" t="n">
        <x:v>46146</x:v>
      </x:c>
      <x:c r="E16" s="15" t="n">
        <x:v>46130</x:v>
      </x:c>
      <x:c r="F16" s="15" t="n">
        <x:v>46130</x:v>
      </x:c>
      <x:c r="G16" s="16" t="str">
        <x:v>BY CASH Dr BY CASH</x:v>
      </x:c>
      <x:c r="H16" s="14" t="str"/>
      <x:c r="I16" s="14" t="str">
        <x:v>Receipt</x:v>
      </x:c>
      <x:c r="J16" s="17" t="n">
        <x:v>0</x:v>
      </x:c>
      <x:c r="K16" s="17" t="n">
        <x:v>394500</x:v>
      </x:c>
      <x:c r="L16" s="17" t="n">
        <x:v>394500</x:v>
      </x:c>
      <x:c r="M16" s="17" t="n">
        <x:v>-8070106.36</x:v>
      </x:c>
      <x:c r="N16" s="14" t="str">
        <x:v>Cash; High Transaction; Recurring Transaction</x:v>
      </x:c>
      <x:c r="O16" s="14" t="str">
        <x:v>Yes</x:v>
      </x:c>
      <x:c r="P16" s="14" t="str">
        <x:v>BY CASH DR BY CASH</x:v>
      </x:c>
      <x:c r="Q16" s="14" t="n">
        <x:v>1</x:v>
      </x:c>
      <x:c r="R16" s="14" t="n">
        <x:v>1</x:v>
      </x:c>
      <x:c r="S16" s="14" t="n">
        <x:v>0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46130</x:v>
      </x:c>
    </x:row>
    <x:row r="17">
      <x:c r="A17" s="14" t="n">
        <x:v>79</x:v>
      </x:c>
      <x:c r="B17" s="14" t="str">
        <x:v>273.pdf</x:v>
      </x:c>
      <x:c r="C17" s="15" t="n">
        <x:v>45181</x:v>
      </x:c>
      <x:c r="D17" s="15" t="n">
        <x:v>46146</x:v>
      </x:c>
      <x:c r="E17" s="15" t="n">
        <x:v>46132</x:v>
      </x:c>
      <x:c r="F17" s="15" t="n">
        <x:v>46132</x:v>
      </x:c>
      <x:c r="G17" s="16" t="str">
        <x:v>BY CASH Dr BY CASH</x:v>
      </x:c>
      <x:c r="H17" s="14" t="str"/>
      <x:c r="I17" s="14" t="str">
        <x:v>Receipt</x:v>
      </x:c>
      <x:c r="J17" s="17" t="n">
        <x:v>0</x:v>
      </x:c>
      <x:c r="K17" s="17" t="n">
        <x:v>336500</x:v>
      </x:c>
      <x:c r="L17" s="17" t="n">
        <x:v>336500</x:v>
      </x:c>
      <x:c r="M17" s="17" t="n">
        <x:v>-8455271.86</x:v>
      </x:c>
      <x:c r="N17" s="14" t="str">
        <x:v>Cash; High Transaction; Recurring Transaction</x:v>
      </x:c>
      <x:c r="O17" s="14" t="str">
        <x:v>Yes</x:v>
      </x:c>
      <x:c r="P17" s="14" t="str">
        <x:v>BY CASH DR BY CASH</x:v>
      </x:c>
      <x:c r="Q17" s="14" t="n">
        <x:v>1</x:v>
      </x:c>
      <x:c r="R17" s="14" t="n">
        <x:v>1</x:v>
      </x:c>
      <x:c r="S17" s="14" t="n">
        <x:v>0</x:v>
      </x:c>
      <x:c r="T17" s="14" t="n">
        <x:v>0</x:v>
      </x:c>
      <x:c r="U17" s="14" t="n">
        <x:v>1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46132</x:v>
      </x:c>
    </x:row>
    <x:row r="18">
      <x:c r="A18" s="14" t="n">
        <x:v>84</x:v>
      </x:c>
      <x:c r="B18" s="14" t="str">
        <x:v>273.pdf</x:v>
      </x:c>
      <x:c r="C18" s="15" t="n">
        <x:v>45181</x:v>
      </x:c>
      <x:c r="D18" s="15" t="n">
        <x:v>46146</x:v>
      </x:c>
      <x:c r="E18" s="15" t="n">
        <x:v>46133</x:v>
      </x:c>
      <x:c r="F18" s="15" t="n">
        <x:v>46133</x:v>
      </x:c>
      <x:c r="G18" s="16" t="str">
        <x:v>BY CASH Dr BY CASH</x:v>
      </x:c>
      <x:c r="H18" s="14" t="str"/>
      <x:c r="I18" s="14" t="str">
        <x:v>Receipt</x:v>
      </x:c>
      <x:c r="J18" s="17" t="n">
        <x:v>0</x:v>
      </x:c>
      <x:c r="K18" s="17" t="n">
        <x:v>150500</x:v>
      </x:c>
      <x:c r="L18" s="17" t="n">
        <x:v>150500</x:v>
      </x:c>
      <x:c r="M18" s="17" t="n">
        <x:v>-9726405.64</x:v>
      </x:c>
      <x:c r="N18" s="14" t="str">
        <x:v>Cash; High Transaction; Recurring Transaction</x:v>
      </x:c>
      <x:c r="O18" s="14" t="str">
        <x:v>Yes</x:v>
      </x:c>
      <x:c r="P18" s="14" t="str">
        <x:v>BY CASH DR BY CASH</x:v>
      </x:c>
      <x:c r="Q18" s="14" t="n">
        <x:v>1</x:v>
      </x:c>
      <x:c r="R18" s="14" t="n">
        <x:v>1</x:v>
      </x:c>
      <x:c r="S18" s="14" t="n">
        <x:v>0</x:v>
      </x:c>
      <x:c r="T18" s="14" t="n">
        <x:v>0</x:v>
      </x:c>
      <x:c r="U18" s="14" t="n">
        <x:v>1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46133</x:v>
      </x:c>
    </x:row>
    <x:row r="19">
      <x:c r="A19" s="14" t="n">
        <x:v>89</x:v>
      </x:c>
      <x:c r="B19" s="14" t="str">
        <x:v>273.pdf</x:v>
      </x:c>
      <x:c r="C19" s="15" t="n">
        <x:v>45181</x:v>
      </x:c>
      <x:c r="D19" s="15" t="n">
        <x:v>46146</x:v>
      </x:c>
      <x:c r="E19" s="15" t="n">
        <x:v>46134</x:v>
      </x:c>
      <x:c r="F19" s="15" t="n">
        <x:v>46134</x:v>
      </x:c>
      <x:c r="G19" s="16" t="str">
        <x:v>BY CASH Dr BY CASH</x:v>
      </x:c>
      <x:c r="H19" s="14" t="str"/>
      <x:c r="I19" s="14" t="str">
        <x:v>Receipt</x:v>
      </x:c>
      <x:c r="J19" s="17" t="n">
        <x:v>0</x:v>
      </x:c>
      <x:c r="K19" s="17" t="n">
        <x:v>609000</x:v>
      </x:c>
      <x:c r="L19" s="17" t="n">
        <x:v>609000</x:v>
      </x:c>
      <x:c r="M19" s="17" t="n">
        <x:v>-8755726.17</x:v>
      </x:c>
      <x:c r="N19" s="14" t="str">
        <x:v>Cash; High Transaction; Recurring Transaction</x:v>
      </x:c>
      <x:c r="O19" s="14" t="str">
        <x:v>Yes</x:v>
      </x:c>
      <x:c r="P19" s="14" t="str">
        <x:v>BY CASH DR BY CASH</x:v>
      </x:c>
      <x:c r="Q19" s="14" t="n">
        <x:v>1</x:v>
      </x:c>
      <x:c r="R19" s="14" t="n">
        <x:v>1</x:v>
      </x:c>
      <x:c r="S19" s="14" t="n">
        <x:v>0</x:v>
      </x:c>
      <x:c r="T19" s="14" t="n">
        <x:v>0</x:v>
      </x:c>
      <x:c r="U19" s="14" t="n">
        <x:v>1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46134</x:v>
      </x:c>
    </x:row>
    <x:row r="20">
      <x:c r="A20" s="14" t="n">
        <x:v>98</x:v>
      </x:c>
      <x:c r="B20" s="14" t="str">
        <x:v>273.pdf</x:v>
      </x:c>
      <x:c r="C20" s="15" t="n">
        <x:v>45181</x:v>
      </x:c>
      <x:c r="D20" s="15" t="n">
        <x:v>46146</x:v>
      </x:c>
      <x:c r="E20" s="15" t="n">
        <x:v>46135</x:v>
      </x:c>
      <x:c r="F20" s="15" t="n">
        <x:v>46135</x:v>
      </x:c>
      <x:c r="G20" s="16" t="str">
        <x:v>BY CASH Dr BY CASH</x:v>
      </x:c>
      <x:c r="H20" s="14" t="str"/>
      <x:c r="I20" s="14" t="str">
        <x:v>Receipt</x:v>
      </x:c>
      <x:c r="J20" s="17" t="n">
        <x:v>0</x:v>
      </x:c>
      <x:c r="K20" s="17" t="n">
        <x:v>253500</x:v>
      </x:c>
      <x:c r="L20" s="17" t="n">
        <x:v>253500</x:v>
      </x:c>
      <x:c r="M20" s="17" t="n">
        <x:v>-9548272.38</x:v>
      </x:c>
      <x:c r="N20" s="14" t="str">
        <x:v>Cash; High Transaction; Recurring Transaction</x:v>
      </x:c>
      <x:c r="O20" s="14" t="str">
        <x:v>Yes</x:v>
      </x:c>
      <x:c r="P20" s="14" t="str">
        <x:v>BY CASH DR BY CASH</x:v>
      </x:c>
      <x:c r="Q20" s="14" t="n">
        <x:v>1</x:v>
      </x:c>
      <x:c r="R20" s="14" t="n">
        <x:v>1</x:v>
      </x:c>
      <x:c r="S20" s="14" t="n">
        <x:v>0</x:v>
      </x:c>
      <x:c r="T20" s="14" t="n">
        <x:v>0</x:v>
      </x:c>
      <x:c r="U20" s="14" t="n">
        <x:v>1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46135</x:v>
      </x:c>
    </x:row>
    <x:row r="21">
      <x:c r="A21" s="14" t="n">
        <x:v>102</x:v>
      </x:c>
      <x:c r="B21" s="14" t="str">
        <x:v>273.pdf</x:v>
      </x:c>
      <x:c r="C21" s="15" t="n">
        <x:v>45181</x:v>
      </x:c>
      <x:c r="D21" s="15" t="n">
        <x:v>46146</x:v>
      </x:c>
      <x:c r="E21" s="15" t="n">
        <x:v>46136</x:v>
      </x:c>
      <x:c r="F21" s="15" t="n">
        <x:v>46136</x:v>
      </x:c>
      <x:c r="G21" s="16" t="str">
        <x:v>BY CASH Dr BY CASH</x:v>
      </x:c>
      <x:c r="H21" s="14" t="str"/>
      <x:c r="I21" s="14" t="str">
        <x:v>Receipt</x:v>
      </x:c>
      <x:c r="J21" s="17" t="n">
        <x:v>0</x:v>
      </x:c>
      <x:c r="K21" s="17" t="n">
        <x:v>281000</x:v>
      </x:c>
      <x:c r="L21" s="17" t="n">
        <x:v>281000</x:v>
      </x:c>
      <x:c r="M21" s="17" t="n">
        <x:v>-9095234.03</x:v>
      </x:c>
      <x:c r="N21" s="14" t="str">
        <x:v>Cash; High Transaction; Recurring Transaction</x:v>
      </x:c>
      <x:c r="O21" s="14" t="str">
        <x:v>Yes</x:v>
      </x:c>
      <x:c r="P21" s="14" t="str">
        <x:v>BY CASH DR BY CASH</x:v>
      </x:c>
      <x:c r="Q21" s="14" t="n">
        <x:v>1</x:v>
      </x:c>
      <x:c r="R21" s="14" t="n">
        <x:v>1</x:v>
      </x:c>
      <x:c r="S21" s="14" t="n">
        <x:v>0</x:v>
      </x:c>
      <x:c r="T21" s="14" t="n">
        <x:v>0</x:v>
      </x:c>
      <x:c r="U21" s="14" t="n">
        <x:v>1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46136</x:v>
      </x:c>
    </x:row>
    <x:row r="22">
      <x:c r="A22" s="14" t="n">
        <x:v>103</x:v>
      </x:c>
      <x:c r="B22" s="14" t="str">
        <x:v>273.pdf</x:v>
      </x:c>
      <x:c r="C22" s="15" t="n">
        <x:v>45181</x:v>
      </x:c>
      <x:c r="D22" s="15" t="n">
        <x:v>46146</x:v>
      </x:c>
      <x:c r="E22" s="15" t="n">
        <x:v>46136</x:v>
      </x:c>
      <x:c r="F22" s="15" t="n">
        <x:v>46136</x:v>
      </x:c>
      <x:c r="G22" s="16" t="str">
        <x:v>VIRARW-THANE/B Dr BY CASH</x:v>
      </x:c>
      <x:c r="H22" s="14" t="str"/>
      <x:c r="I22" s="14" t="str">
        <x:v>Receipt</x:v>
      </x:c>
      <x:c r="J22" s="17" t="n">
        <x:v>0</x:v>
      </x:c>
      <x:c r="K22" s="17" t="n">
        <x:v>250000</x:v>
      </x:c>
      <x:c r="L22" s="17" t="n">
        <x:v>250000</x:v>
      </x:c>
      <x:c r="M22" s="17" t="n">
        <x:v>-8845234.03</x:v>
      </x:c>
      <x:c r="N22" s="14" t="str">
        <x:v>Cash; High Transaction; Recurring Transaction</x:v>
      </x:c>
      <x:c r="O22" s="14" t="str">
        <x:v>Yes</x:v>
      </x:c>
      <x:c r="P22" s="14" t="str">
        <x:v>B DR BY CASH</x:v>
      </x:c>
      <x:c r="Q22" s="14" t="n">
        <x:v>1</x:v>
      </x:c>
      <x:c r="R22" s="14" t="n">
        <x:v>1</x:v>
      </x:c>
      <x:c r="S22" s="14" t="n">
        <x:v>0</x:v>
      </x:c>
      <x:c r="T22" s="14" t="n">
        <x:v>0</x:v>
      </x:c>
      <x:c r="U22" s="14" t="n">
        <x:v>1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46136</x:v>
      </x:c>
    </x:row>
    <x:row r="23">
      <x:c r="A23" s="14" t="n">
        <x:v>116</x:v>
      </x:c>
      <x:c r="B23" s="14" t="str">
        <x:v>273.pdf</x:v>
      </x:c>
      <x:c r="C23" s="15" t="n">
        <x:v>45181</x:v>
      </x:c>
      <x:c r="D23" s="15" t="n">
        <x:v>46146</x:v>
      </x:c>
      <x:c r="E23" s="15" t="n">
        <x:v>46139</x:v>
      </x:c>
      <x:c r="F23" s="15" t="n">
        <x:v>46139</x:v>
      </x:c>
      <x:c r="G23" s="16" t="str">
        <x:v>BY CASH Dr BY CASH</x:v>
      </x:c>
      <x:c r="H23" s="14" t="str"/>
      <x:c r="I23" s="14" t="str">
        <x:v>Receipt</x:v>
      </x:c>
      <x:c r="J23" s="17" t="n">
        <x:v>0</x:v>
      </x:c>
      <x:c r="K23" s="17" t="n">
        <x:v>774500</x:v>
      </x:c>
      <x:c r="L23" s="17" t="n">
        <x:v>774500</x:v>
      </x:c>
      <x:c r="M23" s="17" t="n">
        <x:v>-8161218.66</x:v>
      </x:c>
      <x:c r="N23" s="14" t="str">
        <x:v>Cash; High Transaction; Recurring Transaction</x:v>
      </x:c>
      <x:c r="O23" s="14" t="str">
        <x:v>Yes</x:v>
      </x:c>
      <x:c r="P23" s="14" t="str">
        <x:v>BY CASH DR BY CASH</x:v>
      </x:c>
      <x:c r="Q23" s="14" t="n">
        <x:v>1</x:v>
      </x:c>
      <x:c r="R23" s="14" t="n">
        <x:v>1</x:v>
      </x:c>
      <x:c r="S23" s="14" t="n">
        <x:v>0</x:v>
      </x:c>
      <x:c r="T23" s="14" t="n">
        <x:v>0</x:v>
      </x:c>
      <x:c r="U23" s="14" t="n">
        <x:v>1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46139</x:v>
      </x:c>
    </x:row>
    <x:row r="24">
      <x:c r="A24" s="14" t="n">
        <x:v>121</x:v>
      </x:c>
      <x:c r="B24" s="14" t="str">
        <x:v>273.pdf</x:v>
      </x:c>
      <x:c r="C24" s="15" t="n">
        <x:v>45181</x:v>
      </x:c>
      <x:c r="D24" s="15" t="n">
        <x:v>46146</x:v>
      </x:c>
      <x:c r="E24" s="15" t="n">
        <x:v>46140</x:v>
      </x:c>
      <x:c r="F24" s="15" t="n">
        <x:v>46140</x:v>
      </x:c>
      <x:c r="G24" s="16" t="str">
        <x:v>BY CASH Dr BY CASH</x:v>
      </x:c>
      <x:c r="H24" s="14" t="str"/>
      <x:c r="I24" s="14" t="str">
        <x:v>Receipt</x:v>
      </x:c>
      <x:c r="J24" s="17" t="n">
        <x:v>0</x:v>
      </x:c>
      <x:c r="K24" s="17" t="n">
        <x:v>246500</x:v>
      </x:c>
      <x:c r="L24" s="17" t="n">
        <x:v>246500</x:v>
      </x:c>
      <x:c r="M24" s="17" t="n">
        <x:v>-9388494.35</x:v>
      </x:c>
      <x:c r="N24" s="14" t="str">
        <x:v>Cash; High Transaction; Recurring Transaction</x:v>
      </x:c>
      <x:c r="O24" s="14" t="str">
        <x:v>Yes</x:v>
      </x:c>
      <x:c r="P24" s="14" t="str">
        <x:v>BY CASH DR BY CASH</x:v>
      </x:c>
      <x:c r="Q24" s="14" t="n">
        <x:v>1</x:v>
      </x:c>
      <x:c r="R24" s="14" t="n">
        <x:v>1</x:v>
      </x:c>
      <x:c r="S24" s="14" t="n">
        <x:v>0</x:v>
      </x:c>
      <x:c r="T24" s="14" t="n">
        <x:v>0</x:v>
      </x:c>
      <x:c r="U24" s="14" t="n">
        <x:v>1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46140</x:v>
      </x:c>
    </x:row>
    <x:row r="25">
      <x:c r="A25" s="14" t="n">
        <x:v>129</x:v>
      </x:c>
      <x:c r="B25" s="14" t="str">
        <x:v>273.pdf</x:v>
      </x:c>
      <x:c r="C25" s="15" t="n">
        <x:v>45181</x:v>
      </x:c>
      <x:c r="D25" s="15" t="n">
        <x:v>46146</x:v>
      </x:c>
      <x:c r="E25" s="15" t="n">
        <x:v>46141</x:v>
      </x:c>
      <x:c r="F25" s="15" t="n">
        <x:v>46141</x:v>
      </x:c>
      <x:c r="G25" s="16" t="str">
        <x:v>BY CASH Dr BY CASH</x:v>
      </x:c>
      <x:c r="H25" s="14" t="str"/>
      <x:c r="I25" s="14" t="str">
        <x:v>Receipt</x:v>
      </x:c>
      <x:c r="J25" s="17" t="n">
        <x:v>0</x:v>
      </x:c>
      <x:c r="K25" s="17" t="n">
        <x:v>116500</x:v>
      </x:c>
      <x:c r="L25" s="17" t="n">
        <x:v>116500</x:v>
      </x:c>
      <x:c r="M25" s="17" t="n">
        <x:v>-8137649.75</x:v>
      </x:c>
      <x:c r="N25" s="14" t="str">
        <x:v>Cash; High Transaction; Recurring Transaction</x:v>
      </x:c>
      <x:c r="O25" s="14" t="str">
        <x:v>Yes</x:v>
      </x:c>
      <x:c r="P25" s="14" t="str">
        <x:v>BY CASH DR BY CASH</x:v>
      </x:c>
      <x:c r="Q25" s="14" t="n">
        <x:v>1</x:v>
      </x:c>
      <x:c r="R25" s="14" t="n">
        <x:v>1</x:v>
      </x:c>
      <x:c r="S25" s="14" t="n">
        <x:v>0</x:v>
      </x:c>
      <x:c r="T25" s="14" t="n">
        <x:v>0</x:v>
      </x:c>
      <x:c r="U25" s="14" t="n">
        <x:v>1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46141</x:v>
      </x:c>
    </x:row>
    <x:row r="26">
      <x:c r="A26" s="14" t="n">
        <x:v>138</x:v>
      </x:c>
      <x:c r="B26" s="14" t="str">
        <x:v>273.pdf</x:v>
      </x:c>
      <x:c r="C26" s="15" t="n">
        <x:v>45181</x:v>
      </x:c>
      <x:c r="D26" s="15" t="n">
        <x:v>46146</x:v>
      </x:c>
      <x:c r="E26" s="15" t="n">
        <x:v>46142</x:v>
      </x:c>
      <x:c r="F26" s="15" t="n">
        <x:v>46142</x:v>
      </x:c>
      <x:c r="G26" s="16" t="str">
        <x:v>BY CASH Dr BY CASH</x:v>
      </x:c>
      <x:c r="H26" s="14" t="str"/>
      <x:c r="I26" s="14" t="str">
        <x:v>Receipt</x:v>
      </x:c>
      <x:c r="J26" s="17" t="n">
        <x:v>0</x:v>
      </x:c>
      <x:c r="K26" s="17" t="n">
        <x:v>273000</x:v>
      </x:c>
      <x:c r="L26" s="17" t="n">
        <x:v>273000</x:v>
      </x:c>
      <x:c r="M26" s="17" t="n">
        <x:v>-9390102.64</x:v>
      </x:c>
      <x:c r="N26" s="14" t="str">
        <x:v>Cash; High Transaction; Recurring Transaction</x:v>
      </x:c>
      <x:c r="O26" s="14" t="str">
        <x:v>Yes</x:v>
      </x:c>
      <x:c r="P26" s="14" t="str">
        <x:v>BY CASH DR BY CASH</x:v>
      </x:c>
      <x:c r="Q26" s="14" t="n">
        <x:v>1</x:v>
      </x:c>
      <x:c r="R26" s="14" t="n">
        <x:v>1</x:v>
      </x:c>
      <x:c r="S26" s="14" t="n">
        <x:v>0</x:v>
      </x:c>
      <x:c r="T26" s="14" t="n">
        <x:v>0</x:v>
      </x:c>
      <x:c r="U26" s="14" t="n">
        <x:v>1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46142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e79cf4f5b1c84c9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Recurring Transaction Transactions</x:v>
      </x:c>
      <x:c r="B1" s="25" t="str">
        <x:v>Recurring Transaction Transactions</x:v>
      </x:c>
      <x:c r="C1" s="25" t="str">
        <x:v>Recurring Transaction Transactions</x:v>
      </x:c>
      <x:c r="D1" s="25" t="str">
        <x:v>Recurring Transaction Transactions</x:v>
      </x:c>
      <x:c r="E1" s="25" t="str">
        <x:v>Recurring Transaction Transactions</x:v>
      </x:c>
      <x:c r="F1" s="25" t="str">
        <x:v>Recurring Transaction Transactions</x:v>
      </x:c>
      <x:c r="G1" s="25" t="str">
        <x:v>Recurring Transaction Transactions</x:v>
      </x:c>
      <x:c r="H1" s="25" t="str">
        <x:v>Recurring Transaction Transactions</x:v>
      </x:c>
      <x:c r="I1" s="25" t="str">
        <x:v>Recurring Transaction Transactions</x:v>
      </x:c>
      <x:c r="J1" s="25" t="str">
        <x:v>Recurring Transaction Transactions</x:v>
      </x:c>
      <x:c r="K1" s="25" t="str">
        <x:v>Recurring Transaction Transactions</x:v>
      </x:c>
      <x:c r="L1" s="25" t="str">
        <x:v>Recurring Transaction Transactions</x:v>
      </x:c>
      <x:c r="M1" s="25" t="str">
        <x:v>Recurring Transaction Transactions</x:v>
      </x:c>
      <x:c r="N1" s="25" t="str">
        <x:v>Recurring Transaction Transactions</x:v>
      </x:c>
      <x:c r="O1" s="25" t="str">
        <x:v>Recurring Transaction Transactions</x:v>
      </x:c>
      <x:c r="P1" s="25" t="str">
        <x:v>Recurring Transaction Transactions</x:v>
      </x:c>
      <x:c r="Q1" s="25" t="str">
        <x:v>Recurring Transaction Transactions</x:v>
      </x:c>
      <x:c r="R1" s="25" t="str">
        <x:v>Recurring Transaction Transactions</x:v>
      </x:c>
      <x:c r="S1" s="25" t="str">
        <x:v>Recurring Transaction Transactions</x:v>
      </x:c>
      <x:c r="T1" s="25" t="str">
        <x:v>Recurring Transaction Transactions</x:v>
      </x:c>
      <x:c r="U1" s="25" t="str">
        <x:v>Recurring Transaction Transactions</x:v>
      </x:c>
      <x:c r="V1" s="25" t="str">
        <x:v>Recurring Transaction Transactions</x:v>
      </x:c>
      <x:c r="W1" s="25" t="str">
        <x:v>Recurring Transaction Transactions</x:v>
      </x:c>
      <x:c r="X1" s="25" t="str">
        <x:v>Recurring Transaction Transactions</x:v>
      </x:c>
      <x:c r="Y1" s="25" t="str">
        <x:v>Recurring Transaction Transactions</x:v>
      </x:c>
      <x:c r="Z1" s="25" t="str">
        <x:v>Recurring Transaction Transactions</x:v>
      </x:c>
      <x:c r="AA1" s="25" t="str">
        <x:v>Recurring Transaction Transactions</x:v>
      </x:c>
    </x:row>
    <x:row r="2">
      <x:c r="A2" s="26" t="str">
        <x:v>Rows</x:v>
      </x:c>
      <x:c r="B2" s="26" t="n">
        <x:v>118</x:v>
      </x:c>
      <x:c r="C2" s="26" t="str">
        <x:v>Match</x:v>
      </x:c>
      <x:c r="D2" s="26" t="str">
        <x:v>Recurring Transaction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3</x:v>
      </x:c>
      <x:c r="B5" s="14" t="str">
        <x:v>273.pdf</x:v>
      </x:c>
      <x:c r="C5" s="15" t="n">
        <x:v>45181</x:v>
      </x:c>
      <x:c r="D5" s="15" t="n">
        <x:v>46146</x:v>
      </x:c>
      <x:c r="E5" s="15" t="n">
        <x:v>46114</x:v>
      </x:c>
      <x:c r="F5" s="15" t="n">
        <x:v>46114</x:v>
      </x:c>
      <x:c r="G5" s="16" t="str">
        <x:v>EBANK:WIB/1502 Dr EBANK:WIB/1502110539/Edfs</x:v>
      </x:c>
      <x:c r="H5" s="14" t="str"/>
      <x:c r="I5" s="14" t="str">
        <x:v>Receipt</x:v>
      </x:c>
      <x:c r="J5" s="17" t="n">
        <x:v>0</x:v>
      </x:c>
      <x:c r="K5" s="17" t="n">
        <x:v>248340</x:v>
      </x:c>
      <x:c r="L5" s="17" t="n">
        <x:v>248340</x:v>
      </x:c>
      <x:c r="M5" s="17" t="n">
        <x:v>-9074643.8</x:v>
      </x:c>
      <x:c r="N5" s="14" t="str">
        <x:v>High Transaction; Recurring Transaction</x:v>
      </x:c>
      <x:c r="O5" s="14" t="str">
        <x:v>Yes</x:v>
      </x:c>
      <x:c r="P5" s="14" t="str">
        <x:v>EBANKWIB</x:v>
      </x:c>
      <x:c r="Q5" s="14" t="n">
        <x:v>0</x:v>
      </x:c>
      <x:c r="R5" s="14" t="n">
        <x:v>1</x:v>
      </x:c>
      <x:c r="S5" s="14" t="n">
        <x:v>0</x:v>
      </x:c>
      <x:c r="T5" s="14" t="n">
        <x:v>0</x:v>
      </x:c>
      <x:c r="U5" s="14" t="n">
        <x:v>1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</x:row>
    <x:row r="6">
      <x:c r="A6" s="14" t="n">
        <x:v>4</x:v>
      </x:c>
      <x:c r="B6" s="14" t="str">
        <x:v>273.pdf</x:v>
      </x:c>
      <x:c r="C6" s="15" t="n">
        <x:v>45181</x:v>
      </x:c>
      <x:c r="D6" s="15" t="n">
        <x:v>46146</x:v>
      </x:c>
      <x:c r="E6" s="15" t="n">
        <x:v>46114</x:v>
      </x:c>
      <x:c r="F6" s="15" t="n">
        <x:v>46114</x:v>
      </x:c>
      <x:c r="G6" s="16" t="str">
        <x:v>BY CASH Dr BY CASH</x:v>
      </x:c>
      <x:c r="H6" s="14" t="str"/>
      <x:c r="I6" s="14" t="str">
        <x:v>Receipt</x:v>
      </x:c>
      <x:c r="J6" s="17" t="n">
        <x:v>0</x:v>
      </x:c>
      <x:c r="K6" s="17" t="n">
        <x:v>67500</x:v>
      </x:c>
      <x:c r="L6" s="17" t="n">
        <x:v>67500</x:v>
      </x:c>
      <x:c r="M6" s="17" t="n">
        <x:v>-9007143.8</x:v>
      </x:c>
      <x:c r="N6" s="14" t="str">
        <x:v>Cash; Recurring Transaction</x:v>
      </x:c>
      <x:c r="O6" s="14" t="str">
        <x:v>Yes</x:v>
      </x:c>
      <x:c r="P6" s="14" t="str">
        <x:v>BY CASH DR BY CASH</x:v>
      </x:c>
      <x:c r="Q6" s="14" t="n">
        <x:v>1</x:v>
      </x:c>
      <x:c r="R6" s="14" t="n">
        <x:v>1</x:v>
      </x:c>
      <x:c r="S6" s="14" t="n">
        <x:v>0</x:v>
      </x:c>
      <x:c r="T6" s="14" t="n">
        <x:v>0</x:v>
      </x:c>
      <x:c r="U6" s="14" t="n">
        <x:v>0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</x:row>
    <x:row r="7">
      <x:c r="A7" s="14" t="n">
        <x:v>5</x:v>
      </x:c>
      <x:c r="B7" s="14" t="str">
        <x:v>273.pdf</x:v>
      </x:c>
      <x:c r="C7" s="15" t="n">
        <x:v>45181</x:v>
      </x:c>
      <x:c r="D7" s="15" t="n">
        <x:v>46146</x:v>
      </x:c>
      <x:c r="E7" s="15" t="n">
        <x:v>46114</x:v>
      </x:c>
      <x:c r="F7" s="15" t="n">
        <x:v>46114</x:v>
      </x:c>
      <x:c r="G7" s="16" t="str">
        <x:v>VIRARW-THANE/B Dr BY CASH</x:v>
      </x:c>
      <x:c r="H7" s="14" t="str"/>
      <x:c r="I7" s="14" t="str">
        <x:v>Receipt</x:v>
      </x:c>
      <x:c r="J7" s="17" t="n">
        <x:v>0</x:v>
      </x:c>
      <x:c r="K7" s="17" t="n">
        <x:v>426000</x:v>
      </x:c>
      <x:c r="L7" s="17" t="n">
        <x:v>426000</x:v>
      </x:c>
      <x:c r="M7" s="17" t="n">
        <x:v>-8581143.8</x:v>
      </x:c>
      <x:c r="N7" s="14" t="str">
        <x:v>Cash; High Transaction; Recurring Transaction</x:v>
      </x:c>
      <x:c r="O7" s="14" t="str">
        <x:v>Yes</x:v>
      </x:c>
      <x:c r="P7" s="14" t="str">
        <x:v>B DR BY CASH</x:v>
      </x:c>
      <x:c r="Q7" s="14" t="n">
        <x:v>1</x:v>
      </x:c>
      <x:c r="R7" s="14" t="n">
        <x:v>1</x:v>
      </x:c>
      <x:c r="S7" s="14" t="n">
        <x:v>0</x:v>
      </x:c>
      <x:c r="T7" s="14" t="n">
        <x:v>0</x:v>
      </x:c>
      <x:c r="U7" s="14" t="n">
        <x:v>1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46114</x:v>
      </x:c>
    </x:row>
    <x:row r="8">
      <x:c r="A8" s="14" t="n">
        <x:v>6</x:v>
      </x:c>
      <x:c r="B8" s="14" t="str">
        <x:v>273.pdf</x:v>
      </x:c>
      <x:c r="C8" s="15" t="n">
        <x:v>45181</x:v>
      </x:c>
      <x:c r="D8" s="15" t="n">
        <x:v>46146</x:v>
      </x:c>
      <x:c r="E8" s="15" t="n">
        <x:v>46114</x:v>
      </x:c>
      <x:c r="F8" s="15" t="n">
        <x:v>46114</x:v>
      </x:c>
      <x:c r="G8" s="16" t="str">
        <x:v>EBANK:WIB/1502 Dr EBANK:WIB/1502234210/Edfs</x:v>
      </x:c>
      <x:c r="H8" s="14" t="str"/>
      <x:c r="I8" s="14" t="str">
        <x:v>Receipt</x:v>
      </x:c>
      <x:c r="J8" s="17" t="n">
        <x:v>0</x:v>
      </x:c>
      <x:c r="K8" s="17" t="n">
        <x:v>791482.5</x:v>
      </x:c>
      <x:c r="L8" s="17" t="n">
        <x:v>791482.5</x:v>
      </x:c>
      <x:c r="M8" s="17" t="n">
        <x:v>-7789661.3</x:v>
      </x:c>
      <x:c r="N8" s="14" t="str">
        <x:v>High Transaction; Recurring Transaction</x:v>
      </x:c>
      <x:c r="O8" s="14" t="str">
        <x:v>Yes</x:v>
      </x:c>
      <x:c r="P8" s="14" t="str">
        <x:v>EBANKWIB</x:v>
      </x:c>
      <x:c r="Q8" s="14" t="n">
        <x:v>0</x:v>
      </x:c>
      <x:c r="R8" s="14" t="n">
        <x:v>1</x:v>
      </x:c>
      <x:c r="S8" s="14" t="n">
        <x:v>0</x:v>
      </x:c>
      <x:c r="T8" s="14" t="n">
        <x:v>0</x:v>
      </x:c>
      <x:c r="U8" s="14" t="n">
        <x:v>1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46114</x:v>
      </x:c>
    </x:row>
    <x:row r="9">
      <x:c r="A9" s="14" t="n">
        <x:v>7</x:v>
      </x:c>
      <x:c r="B9" s="14" t="str">
        <x:v>273.pdf</x:v>
      </x:c>
      <x:c r="C9" s="15" t="n">
        <x:v>45181</x:v>
      </x:c>
      <x:c r="D9" s="15" t="n">
        <x:v>46146</x:v>
      </x:c>
      <x:c r="E9" s="15" t="n">
        <x:v>46114</x:v>
      </x:c>
      <x:c r="F9" s="15" t="n">
        <x:v>46114</x:v>
      </x:c>
      <x:c r="G9" s="16" t="str">
        <x:v>RTGS-BARBR5202 Dr RTGS-BARBR52026040200930050-HINDUSTAN PETROLEUM CO</x:v>
      </x:c>
      <x:c r="H9" s="14" t="str"/>
      <x:c r="I9" s="14" t="str">
        <x:v>Payment</x:v>
      </x:c>
      <x:c r="J9" s="17" t="n">
        <x:v>1410247.26</x:v>
      </x:c>
      <x:c r="K9" s="17" t="n">
        <x:v>0</x:v>
      </x:c>
      <x:c r="L9" s="17" t="n">
        <x:v>1410247.26</x:v>
      </x:c>
      <x:c r="M9" s="17" t="n">
        <x:v>-9199908.56</x:v>
      </x:c>
      <x:c r="N9" s="14" t="str">
        <x:v>High Transaction; Recurring Transaction</x:v>
      </x:c>
      <x:c r="O9" s="14" t="str">
        <x:v>Yes</x:v>
      </x:c>
      <x:c r="P9" s="14" t="str">
        <x:v>BARBR DR RTGS</x:v>
      </x:c>
      <x:c r="Q9" s="14" t="n">
        <x:v>0</x:v>
      </x:c>
      <x:c r="R9" s="14" t="n">
        <x:v>1</x:v>
      </x:c>
      <x:c r="S9" s="14" t="n">
        <x:v>0</x:v>
      </x:c>
      <x:c r="T9" s="14" t="n">
        <x:v>0</x:v>
      </x:c>
      <x:c r="U9" s="14" t="n">
        <x:v>1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46114</x:v>
      </x:c>
    </x:row>
    <x:row r="10">
      <x:c r="A10" s="14" t="n">
        <x:v>8</x:v>
      </x:c>
      <x:c r="B10" s="14" t="str">
        <x:v>273.pdf</x:v>
      </x:c>
      <x:c r="C10" s="15" t="n">
        <x:v>45181</x:v>
      </x:c>
      <x:c r="D10" s="15" t="n">
        <x:v>46146</x:v>
      </x:c>
      <x:c r="E10" s="15" t="n">
        <x:v>46115</x:v>
      </x:c>
      <x:c r="F10" s="15" t="n">
        <x:v>46115</x:v>
      </x:c>
      <x:c r="G10" s="16" t="str">
        <x:v>EBANK:WIB/1502 Dr EBANK:WIB/1502413595/Edfs</x:v>
      </x:c>
      <x:c r="H10" s="14" t="str"/>
      <x:c r="I10" s="14" t="str">
        <x:v>Receipt</x:v>
      </x:c>
      <x:c r="J10" s="17" t="n">
        <x:v>0</x:v>
      </x:c>
      <x:c r="K10" s="17" t="n">
        <x:v>790104.58</x:v>
      </x:c>
      <x:c r="L10" s="17" t="n">
        <x:v>790104.58</x:v>
      </x:c>
      <x:c r="M10" s="17" t="n">
        <x:v>-8409803.98</x:v>
      </x:c>
      <x:c r="N10" s="14" t="str">
        <x:v>High Transaction; Recurring Transaction</x:v>
      </x:c>
      <x:c r="O10" s="14" t="str">
        <x:v>Yes</x:v>
      </x:c>
      <x:c r="P10" s="14" t="str">
        <x:v>EBANKWIB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1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46115</x:v>
      </x:c>
    </x:row>
    <x:row r="11">
      <x:c r="A11" s="14" t="n">
        <x:v>9</x:v>
      </x:c>
      <x:c r="B11" s="14" t="str">
        <x:v>273.pdf</x:v>
      </x:c>
      <x:c r="C11" s="15" t="n">
        <x:v>45181</x:v>
      </x:c>
      <x:c r="D11" s="15" t="n">
        <x:v>46146</x:v>
      </x:c>
      <x:c r="E11" s="15" t="n">
        <x:v>46116</x:v>
      </x:c>
      <x:c r="F11" s="15" t="n">
        <x:v>46116</x:v>
      </x:c>
      <x:c r="G11" s="16" t="str">
        <x:v>0000-MUMBAI/IN Dr INT260322DEAL6217382</x:v>
      </x:c>
      <x:c r="H11" s="14" t="str"/>
      <x:c r="I11" s="14" t="str">
        <x:v>Payment</x:v>
      </x:c>
      <x:c r="J11" s="17" t="n">
        <x:v>5204.27</x:v>
      </x:c>
      <x:c r="K11" s="17" t="n">
        <x:v>0</x:v>
      </x:c>
      <x:c r="L11" s="17" t="n">
        <x:v>5204.27</x:v>
      </x:c>
      <x:c r="M11" s="17" t="n">
        <x:v>-8415008.25</x:v>
      </x:c>
      <x:c r="N11" s="14" t="str">
        <x:v>Recurring Transaction</x:v>
      </x:c>
      <x:c r="O11" s="14" t="str">
        <x:v>Yes</x:v>
      </x:c>
      <x:c r="P11" s="14" t="str">
        <x:v>IN DR INTDEAL</x:v>
      </x:c>
      <x:c r="Q11" s="14" t="n">
        <x:v>0</x:v>
      </x:c>
      <x:c r="R11" s="14" t="n">
        <x:v>1</x:v>
      </x:c>
      <x:c r="S11" s="14" t="n">
        <x:v>0</x:v>
      </x:c>
      <x:c r="T11" s="14" t="n">
        <x:v>0</x:v>
      </x:c>
      <x:c r="U11" s="14" t="n">
        <x:v>0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46116</x:v>
      </x:c>
    </x:row>
    <x:row r="12">
      <x:c r="A12" s="14" t="n">
        <x:v>11</x:v>
      </x:c>
      <x:c r="B12" s="14" t="str">
        <x:v>273.pdf</x:v>
      </x:c>
      <x:c r="C12" s="15" t="n">
        <x:v>45181</x:v>
      </x:c>
      <x:c r="D12" s="15" t="n">
        <x:v>46146</x:v>
      </x:c>
      <x:c r="E12" s="15" t="n">
        <x:v>46116</x:v>
      </x:c>
      <x:c r="F12" s="15" t="n">
        <x:v>46116</x:v>
      </x:c>
      <x:c r="G12" s="16" t="str">
        <x:v>EBANK:WIB/1502 Dr EBANK:WIB/1502423934/Edfs</x:v>
      </x:c>
      <x:c r="H12" s="14" t="str"/>
      <x:c r="I12" s="14" t="str">
        <x:v>Receipt</x:v>
      </x:c>
      <x:c r="J12" s="17" t="n">
        <x:v>0</x:v>
      </x:c>
      <x:c r="K12" s="17" t="n">
        <x:v>240091</x:v>
      </x:c>
      <x:c r="L12" s="17" t="n">
        <x:v>240091</x:v>
      </x:c>
      <x:c r="M12" s="17" t="n">
        <x:v>-8174971.7</x:v>
      </x:c>
      <x:c r="N12" s="14" t="str">
        <x:v>High Transaction; Recurring Transaction</x:v>
      </x:c>
      <x:c r="O12" s="14" t="str">
        <x:v>Yes</x:v>
      </x:c>
      <x:c r="P12" s="14" t="str">
        <x:v>EBANKWIB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1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46116</x:v>
      </x:c>
    </x:row>
    <x:row r="13">
      <x:c r="A13" s="14" t="n">
        <x:v>12</x:v>
      </x:c>
      <x:c r="B13" s="14" t="str">
        <x:v>273.pdf</x:v>
      </x:c>
      <x:c r="C13" s="15" t="n">
        <x:v>45181</x:v>
      </x:c>
      <x:c r="D13" s="15" t="n">
        <x:v>46146</x:v>
      </x:c>
      <x:c r="E13" s="15" t="n">
        <x:v>46116</x:v>
      </x:c>
      <x:c r="F13" s="15" t="n">
        <x:v>46116</x:v>
      </x:c>
      <x:c r="G13" s="16" t="str">
        <x:v>BY CASH Dr BY CASH</x:v>
      </x:c>
      <x:c r="H13" s="14" t="str"/>
      <x:c r="I13" s="14" t="str">
        <x:v>Receipt</x:v>
      </x:c>
      <x:c r="J13" s="17" t="n">
        <x:v>0</x:v>
      </x:c>
      <x:c r="K13" s="17" t="n">
        <x:v>423500</x:v>
      </x:c>
      <x:c r="L13" s="17" t="n">
        <x:v>423500</x:v>
      </x:c>
      <x:c r="M13" s="17" t="n">
        <x:v>-7751471.7</x:v>
      </x:c>
      <x:c r="N13" s="14" t="str">
        <x:v>Cash; High Transaction; Recurring Transaction</x:v>
      </x:c>
      <x:c r="O13" s="14" t="str">
        <x:v>Yes</x:v>
      </x:c>
      <x:c r="P13" s="14" t="str">
        <x:v>BY CASH DR BY CASH</x:v>
      </x:c>
      <x:c r="Q13" s="14" t="n">
        <x:v>1</x:v>
      </x:c>
      <x:c r="R13" s="14" t="n">
        <x:v>1</x:v>
      </x:c>
      <x:c r="S13" s="14" t="n">
        <x:v>0</x:v>
      </x:c>
      <x:c r="T13" s="14" t="n">
        <x:v>0</x:v>
      </x:c>
      <x:c r="U13" s="14" t="n">
        <x:v>1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46116</x:v>
      </x:c>
    </x:row>
    <x:row r="14">
      <x:c r="A14" s="14" t="n">
        <x:v>13</x:v>
      </x:c>
      <x:c r="B14" s="14" t="str">
        <x:v>273.pdf</x:v>
      </x:c>
      <x:c r="C14" s="15" t="n">
        <x:v>45181</x:v>
      </x:c>
      <x:c r="D14" s="15" t="n">
        <x:v>46146</x:v>
      </x:c>
      <x:c r="E14" s="15" t="n">
        <x:v>46116</x:v>
      </x:c>
      <x:c r="F14" s="15" t="n">
        <x:v>46116</x:v>
      </x:c>
      <x:c r="G14" s="16" t="str">
        <x:v>EBANK:WIB/1502 Dr ---------------------------------------------------------------------------------------------------------------------------------- Page Total: 14,20,752.58 37,89,230.05 76,31,141.33Dr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</x:v>
      </x:c>
      <x:c r="H14" s="14" t="str"/>
      <x:c r="I14" s="14" t="str">
        <x:v>Receipt</x:v>
      </x:c>
      <x:c r="J14" s="17" t="n">
        <x:v>0</x:v>
      </x:c>
      <x:c r="K14" s="17" t="n">
        <x:v>120330.37</x:v>
      </x:c>
      <x:c r="L14" s="17" t="n">
        <x:v>120330.37</x:v>
      </x:c>
      <x:c r="M14" s="17" t="n">
        <x:v>-7631141.33</x:v>
      </x:c>
      <x:c r="N14" s="14" t="str">
        <x:v>High Transaction; Recurring Transaction</x:v>
      </x:c>
      <x:c r="O14" s="14" t="str">
        <x:v>Yes</x:v>
      </x:c>
      <x:c r="P14" s="14" t="str">
        <x:v>EBANKWIB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1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46116</x:v>
      </x:c>
    </x:row>
    <x:row r="15">
      <x:c r="A15" s="14" t="n">
        <x:v>14</x:v>
      </x:c>
      <x:c r="B15" s="14" t="str">
        <x:v>273.pdf</x:v>
      </x:c>
      <x:c r="C15" s="15" t="n">
        <x:v>45181</x:v>
      </x:c>
      <x:c r="D15" s="15" t="n">
        <x:v>46146</x:v>
      </x:c>
      <x:c r="E15" s="15" t="n">
        <x:v>46116</x:v>
      </x:c>
      <x:c r="F15" s="15" t="n">
        <x:v>46116</x:v>
      </x:c>
      <x:c r="G15" s="16" t="str">
        <x:v>RTGS-BARBR5202 Dr RTGS-BARBR52026040400789528-HINDUSTAN PETROLEUM CO</x:v>
      </x:c>
      <x:c r="H15" s="14" t="str"/>
      <x:c r="I15" s="14" t="str">
        <x:v>Payment</x:v>
      </x:c>
      <x:c r="J15" s="17" t="n">
        <x:v>1854884.36</x:v>
      </x:c>
      <x:c r="K15" s="17" t="n">
        <x:v>0</x:v>
      </x:c>
      <x:c r="L15" s="17" t="n">
        <x:v>1854884.36</x:v>
      </x:c>
      <x:c r="M15" s="17" t="n">
        <x:v>-9486025.69</x:v>
      </x:c>
      <x:c r="N15" s="14" t="str">
        <x:v>High Transaction; Recurring Transaction</x:v>
      </x:c>
      <x:c r="O15" s="14" t="str">
        <x:v>Yes</x:v>
      </x:c>
      <x:c r="P15" s="14" t="str">
        <x:v>BARBR DR RTGS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1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46116</x:v>
      </x:c>
    </x:row>
    <x:row r="16">
      <x:c r="A16" s="14" t="n">
        <x:v>15</x:v>
      </x:c>
      <x:c r="B16" s="14" t="str">
        <x:v>273.pdf</x:v>
      </x:c>
      <x:c r="C16" s="15" t="n">
        <x:v>45181</x:v>
      </x:c>
      <x:c r="D16" s="15" t="n">
        <x:v>46146</x:v>
      </x:c>
      <x:c r="E16" s="15" t="n">
        <x:v>46117</x:v>
      </x:c>
      <x:c r="F16" s="15" t="n">
        <x:v>46117</x:v>
      </x:c>
      <x:c r="G16" s="16" t="str">
        <x:v>EBANK:WIB/1502 Dr EBANK:WIB/1502577386/Edfs</x:v>
      </x:c>
      <x:c r="H16" s="14" t="str"/>
      <x:c r="I16" s="14" t="str">
        <x:v>Receipt</x:v>
      </x:c>
      <x:c r="J16" s="17" t="n">
        <x:v>0</x:v>
      </x:c>
      <x:c r="K16" s="17" t="n">
        <x:v>300403.36</x:v>
      </x:c>
      <x:c r="L16" s="17" t="n">
        <x:v>300403.36</x:v>
      </x:c>
      <x:c r="M16" s="17" t="n">
        <x:v>-9185622.33</x:v>
      </x:c>
      <x:c r="N16" s="14" t="str">
        <x:v>High Transaction; Recurring Transaction</x:v>
      </x:c>
      <x:c r="O16" s="14" t="str">
        <x:v>Yes</x:v>
      </x:c>
      <x:c r="P16" s="14" t="str">
        <x:v>EBANKWIB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46117</x:v>
      </x:c>
    </x:row>
    <x:row r="17">
      <x:c r="A17" s="14" t="n">
        <x:v>16</x:v>
      </x:c>
      <x:c r="B17" s="14" t="str">
        <x:v>273.pdf</x:v>
      </x:c>
      <x:c r="C17" s="15" t="n">
        <x:v>45181</x:v>
      </x:c>
      <x:c r="D17" s="15" t="n">
        <x:v>46146</x:v>
      </x:c>
      <x:c r="E17" s="15" t="n">
        <x:v>46118</x:v>
      </x:c>
      <x:c r="F17" s="15" t="n">
        <x:v>46118</x:v>
      </x:c>
      <x:c r="G17" s="16" t="str">
        <x:v>EBANK:WIB/1502 Dr https://cbdrpt101.bankofbaroda.co.in:22000/finbranch/arjspmorph/INFENG/tran_rpt.jsp?... 04-05-2026 EBANK:WIB/1502642025/Edfs</x:v>
      </x:c>
      <x:c r="H17" s="14" t="str"/>
      <x:c r="I17" s="14" t="str">
        <x:v>Receipt</x:v>
      </x:c>
      <x:c r="J17" s="17" t="n">
        <x:v>0</x:v>
      </x:c>
      <x:c r="K17" s="17" t="n">
        <x:v>365780.21</x:v>
      </x:c>
      <x:c r="L17" s="17" t="n">
        <x:v>365780.21</x:v>
      </x:c>
      <x:c r="M17" s="17" t="n">
        <x:v>-8819842.12</x:v>
      </x:c>
      <x:c r="N17" s="14" t="str">
        <x:v>High Transaction; Recurring Transaction</x:v>
      </x:c>
      <x:c r="O17" s="14" t="str">
        <x:v>Yes</x:v>
      </x:c>
      <x:c r="P17" s="14" t="str">
        <x:v>EBANKWIB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1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46118</x:v>
      </x:c>
    </x:row>
    <x:row r="18">
      <x:c r="A18" s="14" t="n">
        <x:v>17</x:v>
      </x:c>
      <x:c r="B18" s="14" t="str">
        <x:v>273.pdf</x:v>
      </x:c>
      <x:c r="C18" s="15" t="n">
        <x:v>45181</x:v>
      </x:c>
      <x:c r="D18" s="15" t="n">
        <x:v>46146</x:v>
      </x:c>
      <x:c r="E18" s="15" t="n">
        <x:v>46118</x:v>
      </x:c>
      <x:c r="F18" s="15" t="n">
        <x:v>46118</x:v>
      </x:c>
      <x:c r="G18" s="16" t="str">
        <x:v>BY CASH Dr BY CASH</x:v>
      </x:c>
      <x:c r="H18" s="14" t="str"/>
      <x:c r="I18" s="14" t="str">
        <x:v>Receipt</x:v>
      </x:c>
      <x:c r="J18" s="17" t="n">
        <x:v>0</x:v>
      </x:c>
      <x:c r="K18" s="17" t="n">
        <x:v>273000</x:v>
      </x:c>
      <x:c r="L18" s="17" t="n">
        <x:v>273000</x:v>
      </x:c>
      <x:c r="M18" s="17" t="n">
        <x:v>-8546842.12</x:v>
      </x:c>
      <x:c r="N18" s="14" t="str">
        <x:v>Cash; High Transaction; Recurring Transaction</x:v>
      </x:c>
      <x:c r="O18" s="14" t="str">
        <x:v>Yes</x:v>
      </x:c>
      <x:c r="P18" s="14" t="str">
        <x:v>BY CASH DR BY CASH</x:v>
      </x:c>
      <x:c r="Q18" s="14" t="n">
        <x:v>1</x:v>
      </x:c>
      <x:c r="R18" s="14" t="n">
        <x:v>1</x:v>
      </x:c>
      <x:c r="S18" s="14" t="n">
        <x:v>0</x:v>
      </x:c>
      <x:c r="T18" s="14" t="n">
        <x:v>0</x:v>
      </x:c>
      <x:c r="U18" s="14" t="n">
        <x:v>1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46118</x:v>
      </x:c>
    </x:row>
    <x:row r="19">
      <x:c r="A19" s="14" t="n">
        <x:v>18</x:v>
      </x:c>
      <x:c r="B19" s="14" t="str">
        <x:v>273.pdf</x:v>
      </x:c>
      <x:c r="C19" s="15" t="n">
        <x:v>45181</x:v>
      </x:c>
      <x:c r="D19" s="15" t="n">
        <x:v>46146</x:v>
      </x:c>
      <x:c r="E19" s="15" t="n">
        <x:v>46118</x:v>
      </x:c>
      <x:c r="F19" s="15" t="n">
        <x:v>46118</x:v>
      </x:c>
      <x:c r="G19" s="16" t="str">
        <x:v>EBANK:WIB/1502 Dr EBANK:WIB/1502790855/Edfs</x:v>
      </x:c>
      <x:c r="H19" s="14" t="str"/>
      <x:c r="I19" s="14" t="str">
        <x:v>Receipt</x:v>
      </x:c>
      <x:c r="J19" s="17" t="n">
        <x:v>0</x:v>
      </x:c>
      <x:c r="K19" s="17" t="n">
        <x:v>198114</x:v>
      </x:c>
      <x:c r="L19" s="17" t="n">
        <x:v>198114</x:v>
      </x:c>
      <x:c r="M19" s="17" t="n">
        <x:v>-8348728.12</x:v>
      </x:c>
      <x:c r="N19" s="14" t="str">
        <x:v>High Transaction; Recurring Transaction</x:v>
      </x:c>
      <x:c r="O19" s="14" t="str">
        <x:v>Yes</x:v>
      </x:c>
      <x:c r="P19" s="14" t="str">
        <x:v>EBANKWIB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1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46118</x:v>
      </x:c>
    </x:row>
    <x:row r="20">
      <x:c r="A20" s="14" t="n">
        <x:v>20</x:v>
      </x:c>
      <x:c r="B20" s="14" t="str">
        <x:v>273.pdf</x:v>
      </x:c>
      <x:c r="C20" s="15" t="n">
        <x:v>45181</x:v>
      </x:c>
      <x:c r="D20" s="15" t="n">
        <x:v>46146</x:v>
      </x:c>
      <x:c r="E20" s="15" t="n">
        <x:v>46119</x:v>
      </x:c>
      <x:c r="F20" s="15" t="n">
        <x:v>46119</x:v>
      </x:c>
      <x:c r="G20" s="16" t="str">
        <x:v>EBANK:WIB/1502 Dr EBANK:WIB/1502821939/Edfs</x:v>
      </x:c>
      <x:c r="H20" s="14" t="str"/>
      <x:c r="I20" s="14" t="str">
        <x:v>Receipt</x:v>
      </x:c>
      <x:c r="J20" s="17" t="n">
        <x:v>0</x:v>
      </x:c>
      <x:c r="K20" s="17" t="n">
        <x:v>330493.07</x:v>
      </x:c>
      <x:c r="L20" s="17" t="n">
        <x:v>330493.07</x:v>
      </x:c>
      <x:c r="M20" s="17" t="n">
        <x:v>-8023967.45</x:v>
      </x:c>
      <x:c r="N20" s="14" t="str">
        <x:v>High Transaction; Recurring Transaction</x:v>
      </x:c>
      <x:c r="O20" s="14" t="str">
        <x:v>Yes</x:v>
      </x:c>
      <x:c r="P20" s="14" t="str">
        <x:v>EBANKWIB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1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46119</x:v>
      </x:c>
    </x:row>
    <x:row r="21">
      <x:c r="A21" s="14" t="n">
        <x:v>21</x:v>
      </x:c>
      <x:c r="B21" s="14" t="str">
        <x:v>273.pdf</x:v>
      </x:c>
      <x:c r="C21" s="15" t="n">
        <x:v>45181</x:v>
      </x:c>
      <x:c r="D21" s="15" t="n">
        <x:v>46146</x:v>
      </x:c>
      <x:c r="E21" s="15" t="n">
        <x:v>46119</x:v>
      </x:c>
      <x:c r="F21" s="15" t="n">
        <x:v>46119</x:v>
      </x:c>
      <x:c r="G21" s="16" t="str">
        <x:v>EBANK:WIB/1502 Dr EBANK:WIB/1502986421/Edfs</x:v>
      </x:c>
      <x:c r="H21" s="14" t="str"/>
      <x:c r="I21" s="14" t="str">
        <x:v>Receipt</x:v>
      </x:c>
      <x:c r="J21" s="17" t="n">
        <x:v>0</x:v>
      </x:c>
      <x:c r="K21" s="17" t="n">
        <x:v>137582.35</x:v>
      </x:c>
      <x:c r="L21" s="17" t="n">
        <x:v>137582.35</x:v>
      </x:c>
      <x:c r="M21" s="17" t="n">
        <x:v>-7886385.1</x:v>
      </x:c>
      <x:c r="N21" s="14" t="str">
        <x:v>High Transaction; Recurring Transaction</x:v>
      </x:c>
      <x:c r="O21" s="14" t="str">
        <x:v>Yes</x:v>
      </x:c>
      <x:c r="P21" s="14" t="str">
        <x:v>EBANKWIB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1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46119</x:v>
      </x:c>
    </x:row>
    <x:row r="22">
      <x:c r="A22" s="14" t="n">
        <x:v>22</x:v>
      </x:c>
      <x:c r="B22" s="14" t="str">
        <x:v>273.pdf</x:v>
      </x:c>
      <x:c r="C22" s="15" t="n">
        <x:v>45181</x:v>
      </x:c>
      <x:c r="D22" s="15" t="n">
        <x:v>46146</x:v>
      </x:c>
      <x:c r="E22" s="15" t="n">
        <x:v>46119</x:v>
      </x:c>
      <x:c r="F22" s="15" t="n">
        <x:v>46119</x:v>
      </x:c>
      <x:c r="G22" s="16" t="str">
        <x:v>RTGS-BARBR5202 Dr RTGS-BARBR52026040700945156-HINDUSTAN PETROLEUM CO</x:v>
      </x:c>
      <x:c r="H22" s="14" t="str"/>
      <x:c r="I22" s="14" t="str">
        <x:v>Payment</x:v>
      </x:c>
      <x:c r="J22" s="17" t="n">
        <x:v>1902609.28</x:v>
      </x:c>
      <x:c r="K22" s="17" t="n">
        <x:v>0</x:v>
      </x:c>
      <x:c r="L22" s="17" t="n">
        <x:v>1902609.28</x:v>
      </x:c>
      <x:c r="M22" s="17" t="n">
        <x:v>-9788994.38</x:v>
      </x:c>
      <x:c r="N22" s="14" t="str">
        <x:v>High Transaction; Recurring Transaction</x:v>
      </x:c>
      <x:c r="O22" s="14" t="str">
        <x:v>Yes</x:v>
      </x:c>
      <x:c r="P22" s="14" t="str">
        <x:v>BARBR DR RTGS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1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46119</x:v>
      </x:c>
    </x:row>
    <x:row r="23">
      <x:c r="A23" s="14" t="n">
        <x:v>23</x:v>
      </x:c>
      <x:c r="B23" s="14" t="str">
        <x:v>273.pdf</x:v>
      </x:c>
      <x:c r="C23" s="15" t="n">
        <x:v>45181</x:v>
      </x:c>
      <x:c r="D23" s="15" t="n">
        <x:v>46146</x:v>
      </x:c>
      <x:c r="E23" s="15" t="n">
        <x:v>46120</x:v>
      </x:c>
      <x:c r="F23" s="15" t="n">
        <x:v>46120</x:v>
      </x:c>
      <x:c r="G23" s="16" t="str">
        <x:v>EBANK:WIB/1503 Dr EBANK:WIB/1503050809/Edfs</x:v>
      </x:c>
      <x:c r="H23" s="14" t="str"/>
      <x:c r="I23" s="14" t="str">
        <x:v>Receipt</x:v>
      </x:c>
      <x:c r="J23" s="17" t="n">
        <x:v>0</x:v>
      </x:c>
      <x:c r="K23" s="17" t="n">
        <x:v>381113</x:v>
      </x:c>
      <x:c r="L23" s="17" t="n">
        <x:v>381113</x:v>
      </x:c>
      <x:c r="M23" s="17" t="n">
        <x:v>-9407881.38</x:v>
      </x:c>
      <x:c r="N23" s="14" t="str">
        <x:v>High Transaction; Recurring Transaction</x:v>
      </x:c>
      <x:c r="O23" s="14" t="str">
        <x:v>Yes</x:v>
      </x:c>
      <x:c r="P23" s="14" t="str">
        <x:v>EBANKWIB</x:v>
      </x:c>
      <x:c r="Q23" s="14" t="n">
        <x:v>0</x:v>
      </x:c>
      <x:c r="R23" s="14" t="n">
        <x:v>1</x:v>
      </x:c>
      <x:c r="S23" s="14" t="n">
        <x:v>0</x:v>
      </x:c>
      <x:c r="T23" s="14" t="n">
        <x:v>0</x:v>
      </x:c>
      <x:c r="U23" s="14" t="n">
        <x:v>1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46120</x:v>
      </x:c>
    </x:row>
    <x:row r="24">
      <x:c r="A24" s="14" t="n">
        <x:v>24</x:v>
      </x:c>
      <x:c r="B24" s="14" t="str">
        <x:v>273.pdf</x:v>
      </x:c>
      <x:c r="C24" s="15" t="n">
        <x:v>45181</x:v>
      </x:c>
      <x:c r="D24" s="15" t="n">
        <x:v>46146</x:v>
      </x:c>
      <x:c r="E24" s="15" t="n">
        <x:v>46120</x:v>
      </x:c>
      <x:c r="F24" s="15" t="n">
        <x:v>46120</x:v>
      </x:c>
      <x:c r="G24" s="16" t="str">
        <x:v>BY CASH Dr BY CASH</x:v>
      </x:c>
      <x:c r="H24" s="14" t="str"/>
      <x:c r="I24" s="14" t="str">
        <x:v>Receipt</x:v>
      </x:c>
      <x:c r="J24" s="17" t="n">
        <x:v>0</x:v>
      </x:c>
      <x:c r="K24" s="17" t="n">
        <x:v>115000</x:v>
      </x:c>
      <x:c r="L24" s="17" t="n">
        <x:v>115000</x:v>
      </x:c>
      <x:c r="M24" s="17" t="n">
        <x:v>-9292881.38</x:v>
      </x:c>
      <x:c r="N24" s="14" t="str">
        <x:v>Cash; High Transaction; Recurring Transaction</x:v>
      </x:c>
      <x:c r="O24" s="14" t="str">
        <x:v>Yes</x:v>
      </x:c>
      <x:c r="P24" s="14" t="str">
        <x:v>BY CASH DR BY CASH</x:v>
      </x:c>
      <x:c r="Q24" s="14" t="n">
        <x:v>1</x:v>
      </x:c>
      <x:c r="R24" s="14" t="n">
        <x:v>1</x:v>
      </x:c>
      <x:c r="S24" s="14" t="n">
        <x:v>0</x:v>
      </x:c>
      <x:c r="T24" s="14" t="n">
        <x:v>0</x:v>
      </x:c>
      <x:c r="U24" s="14" t="n">
        <x:v>1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46120</x:v>
      </x:c>
    </x:row>
    <x:row r="25">
      <x:c r="A25" s="14" t="n">
        <x:v>25</x:v>
      </x:c>
      <x:c r="B25" s="14" t="str">
        <x:v>273.pdf</x:v>
      </x:c>
      <x:c r="C25" s="15" t="n">
        <x:v>45181</x:v>
      </x:c>
      <x:c r="D25" s="15" t="n">
        <x:v>46146</x:v>
      </x:c>
      <x:c r="E25" s="15" t="n">
        <x:v>46120</x:v>
      </x:c>
      <x:c r="F25" s="15" t="n">
        <x:v>46120</x:v>
      </x:c>
      <x:c r="G25" s="16" t="str">
        <x:v>EBANK:WIB/1503 Dr EBANK:WIB/1503170712/Edfs</x:v>
      </x:c>
      <x:c r="H25" s="14" t="str"/>
      <x:c r="I25" s="14" t="str">
        <x:v>Receipt</x:v>
      </x:c>
      <x:c r="J25" s="17" t="n">
        <x:v>0</x:v>
      </x:c>
      <x:c r="K25" s="17" t="n">
        <x:v>108620</x:v>
      </x:c>
      <x:c r="L25" s="17" t="n">
        <x:v>108620</x:v>
      </x:c>
      <x:c r="M25" s="17" t="n">
        <x:v>-9184261.38</x:v>
      </x:c>
      <x:c r="N25" s="14" t="str">
        <x:v>High Transaction; Recurring Transaction</x:v>
      </x:c>
      <x:c r="O25" s="14" t="str">
        <x:v>Yes</x:v>
      </x:c>
      <x:c r="P25" s="14" t="str">
        <x:v>EBANKWIB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1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46120</x:v>
      </x:c>
    </x:row>
    <x:row r="26">
      <x:c r="A26" s="14" t="n">
        <x:v>26</x:v>
      </x:c>
      <x:c r="B26" s="14" t="str">
        <x:v>273.pdf</x:v>
      </x:c>
      <x:c r="C26" s="15" t="n">
        <x:v>45181</x:v>
      </x:c>
      <x:c r="D26" s="15" t="n">
        <x:v>46146</x:v>
      </x:c>
      <x:c r="E26" s="15" t="n">
        <x:v>46121</x:v>
      </x:c>
      <x:c r="F26" s="15" t="n">
        <x:v>46121</x:v>
      </x:c>
      <x:c r="G26" s="16" t="str">
        <x:v>0000-MUMBAI/IN Dr INT260325DEAL6242558</x:v>
      </x:c>
      <x:c r="H26" s="14" t="str"/>
      <x:c r="I26" s="14" t="str">
        <x:v>Payment</x:v>
      </x:c>
      <x:c r="J26" s="17" t="n">
        <x:v>5694.93</x:v>
      </x:c>
      <x:c r="K26" s="17" t="n">
        <x:v>0</x:v>
      </x:c>
      <x:c r="L26" s="17" t="n">
        <x:v>5694.93</x:v>
      </x:c>
      <x:c r="M26" s="17" t="n">
        <x:v>-9189956.31</x:v>
      </x:c>
      <x:c r="N26" s="14" t="str">
        <x:v>Recurring Transaction</x:v>
      </x:c>
      <x:c r="O26" s="14" t="str">
        <x:v>Yes</x:v>
      </x:c>
      <x:c r="P26" s="14" t="str">
        <x:v>IN DR INTDEAL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0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46121</x:v>
      </x:c>
    </x:row>
    <x:row r="27">
      <x:c r="A27" s="14" t="n">
        <x:v>27</x:v>
      </x:c>
      <x:c r="B27" s="14" t="str">
        <x:v>273.pdf</x:v>
      </x:c>
      <x:c r="C27" s="15" t="n">
        <x:v>45181</x:v>
      </x:c>
      <x:c r="D27" s="15" t="n">
        <x:v>46146</x:v>
      </x:c>
      <x:c r="E27" s="15" t="n">
        <x:v>46121</x:v>
      </x:c>
      <x:c r="F27" s="15" t="n">
        <x:v>46121</x:v>
      </x:c>
      <x:c r="G27" s="16" t="str">
        <x:v>0000-MUMBAI/IN Dr INT260325DEAL6242558</x:v>
      </x:c>
      <x:c r="H27" s="14" t="str"/>
      <x:c r="I27" s="14" t="str">
        <x:v>Receipt</x:v>
      </x:c>
      <x:c r="J27" s="17" t="n">
        <x:v>0</x:v>
      </x:c>
      <x:c r="K27" s="17" t="n">
        <x:v>25.59</x:v>
      </x:c>
      <x:c r="L27" s="17" t="n">
        <x:v>25.59</x:v>
      </x:c>
      <x:c r="M27" s="17" t="n">
        <x:v>-9189930.72</x:v>
      </x:c>
      <x:c r="N27" s="14" t="str">
        <x:v>Recurring Transaction</x:v>
      </x:c>
      <x:c r="O27" s="14" t="str">
        <x:v>Yes</x:v>
      </x:c>
      <x:c r="P27" s="14" t="str">
        <x:v>IN DR INTDEAL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0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46121</x:v>
      </x:c>
    </x:row>
    <x:row r="28">
      <x:c r="A28" s="14" t="n">
        <x:v>28</x:v>
      </x:c>
      <x:c r="B28" s="14" t="str">
        <x:v>273.pdf</x:v>
      </x:c>
      <x:c r="C28" s="15" t="n">
        <x:v>45181</x:v>
      </x:c>
      <x:c r="D28" s="15" t="n">
        <x:v>46146</x:v>
      </x:c>
      <x:c r="E28" s="15" t="n">
        <x:v>46121</x:v>
      </x:c>
      <x:c r="F28" s="15" t="n">
        <x:v>46121</x:v>
      </x:c>
      <x:c r="G28" s="16" t="str">
        <x:v>BY CASH Dr BY CASH</x:v>
      </x:c>
      <x:c r="H28" s="14" t="str"/>
      <x:c r="I28" s="14" t="str">
        <x:v>Receipt</x:v>
      </x:c>
      <x:c r="J28" s="17" t="n">
        <x:v>0</x:v>
      </x:c>
      <x:c r="K28" s="17" t="n">
        <x:v>180000</x:v>
      </x:c>
      <x:c r="L28" s="17" t="n">
        <x:v>180000</x:v>
      </x:c>
      <x:c r="M28" s="17" t="n">
        <x:v>-9009930.72</x:v>
      </x:c>
      <x:c r="N28" s="14" t="str">
        <x:v>Cash; High Transaction; Recurring Transaction</x:v>
      </x:c>
      <x:c r="O28" s="14" t="str">
        <x:v>Yes</x:v>
      </x:c>
      <x:c r="P28" s="14" t="str">
        <x:v>BY CASH DR BY CASH</x:v>
      </x:c>
      <x:c r="Q28" s="14" t="n">
        <x:v>1</x:v>
      </x:c>
      <x:c r="R28" s="14" t="n">
        <x:v>1</x:v>
      </x:c>
      <x:c r="S28" s="14" t="n">
        <x:v>0</x:v>
      </x:c>
      <x:c r="T28" s="14" t="n">
        <x:v>0</x:v>
      </x:c>
      <x:c r="U28" s="14" t="n">
        <x:v>1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46121</x:v>
      </x:c>
    </x:row>
    <x:row r="29">
      <x:c r="A29" s="14" t="n">
        <x:v>29</x:v>
      </x:c>
      <x:c r="B29" s="14" t="str">
        <x:v>273.pdf</x:v>
      </x:c>
      <x:c r="C29" s="15" t="n">
        <x:v>45181</x:v>
      </x:c>
      <x:c r="D29" s="15" t="n">
        <x:v>46146</x:v>
      </x:c>
      <x:c r="E29" s="15" t="n">
        <x:v>46121</x:v>
      </x:c>
      <x:c r="F29" s="15" t="n">
        <x:v>46121</x:v>
      </x:c>
      <x:c r="G29" s="16" t="str">
        <x:v>EBANK:WIB/1503 Dr EBANK:WIB/1503311707/Edfs ---------------------------------------------------------------------------------------------------------------------------------- Page Total: 37,68,920.97 27,70,249.58 86,29,812.72Dr ---------------------------------------------------------------------------------------------------------------------------------- Note: Cheques received in inward clearing will be considered for debiting/ returning on the basis opening balance in account Unless the const</x:v>
      </x:c>
      <x:c r="H29" s="14" t="str"/>
      <x:c r="I29" s="14" t="str">
        <x:v>Receipt</x:v>
      </x:c>
      <x:c r="J29" s="17" t="n">
        <x:v>0</x:v>
      </x:c>
      <x:c r="K29" s="17" t="n">
        <x:v>380118</x:v>
      </x:c>
      <x:c r="L29" s="17" t="n">
        <x:v>380118</x:v>
      </x:c>
      <x:c r="M29" s="17" t="n">
        <x:v>-8629812.72</x:v>
      </x:c>
      <x:c r="N29" s="14" t="str">
        <x:v>High Transaction; Recurring Transaction</x:v>
      </x:c>
      <x:c r="O29" s="14" t="str">
        <x:v>Yes</x:v>
      </x:c>
      <x:c r="P29" s="14" t="str">
        <x:v>EBANKWIB</x:v>
      </x:c>
      <x:c r="Q29" s="14" t="n">
        <x:v>0</x:v>
      </x:c>
      <x:c r="R29" s="14" t="n">
        <x:v>1</x:v>
      </x:c>
      <x:c r="S29" s="14" t="n">
        <x:v>0</x:v>
      </x:c>
      <x:c r="T29" s="14" t="n">
        <x:v>0</x:v>
      </x:c>
      <x:c r="U29" s="14" t="n">
        <x:v>1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46121</x:v>
      </x:c>
    </x:row>
    <x:row r="30">
      <x:c r="A30" s="14" t="n">
        <x:v>30</x:v>
      </x:c>
      <x:c r="B30" s="14" t="str">
        <x:v>273.pdf</x:v>
      </x:c>
      <x:c r="C30" s="15" t="n">
        <x:v>45181</x:v>
      </x:c>
      <x:c r="D30" s="15" t="n">
        <x:v>46146</x:v>
      </x:c>
      <x:c r="E30" s="15" t="n">
        <x:v>46122</x:v>
      </x:c>
      <x:c r="F30" s="15" t="n">
        <x:v>46122</x:v>
      </x:c>
      <x:c r="G30" s="16" t="str">
        <x:v>EBANK:WIB/1503 Dr EBANK:WIB/1503339201/Edfs</x:v>
      </x:c>
      <x:c r="H30" s="14" t="str"/>
      <x:c r="I30" s="14" t="str">
        <x:v>Receipt</x:v>
      </x:c>
      <x:c r="J30" s="17" t="n">
        <x:v>0</x:v>
      </x:c>
      <x:c r="K30" s="17" t="n">
        <x:v>432999</x:v>
      </x:c>
      <x:c r="L30" s="17" t="n">
        <x:v>432999</x:v>
      </x:c>
      <x:c r="M30" s="17" t="n">
        <x:v>-8196813.72</x:v>
      </x:c>
      <x:c r="N30" s="14" t="str">
        <x:v>High Transaction; Recurring Transaction</x:v>
      </x:c>
      <x:c r="O30" s="14" t="str">
        <x:v>Yes</x:v>
      </x:c>
      <x:c r="P30" s="14" t="str">
        <x:v>EBANKWIB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1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46122</x:v>
      </x:c>
    </x:row>
    <x:row r="31">
      <x:c r="A31" s="14" t="n">
        <x:v>31</x:v>
      </x:c>
      <x:c r="B31" s="14" t="str">
        <x:v>273.pdf</x:v>
      </x:c>
      <x:c r="C31" s="15" t="n">
        <x:v>45181</x:v>
      </x:c>
      <x:c r="D31" s="15" t="n">
        <x:v>46146</x:v>
      </x:c>
      <x:c r="E31" s="15" t="n">
        <x:v>46122</x:v>
      </x:c>
      <x:c r="F31" s="15" t="n">
        <x:v>46122</x:v>
      </x:c>
      <x:c r="G31" s="16" t="str">
        <x:v>0000-MUMBAI/IN Dr INT260326DEAL6244623</x:v>
      </x:c>
      <x:c r="H31" s="14" t="str"/>
      <x:c r="I31" s="14" t="str">
        <x:v>Payment</x:v>
      </x:c>
      <x:c r="J31" s="17" t="n">
        <x:v>1193.25</x:v>
      </x:c>
      <x:c r="K31" s="17" t="n">
        <x:v>0</x:v>
      </x:c>
      <x:c r="L31" s="17" t="n">
        <x:v>1193.25</x:v>
      </x:c>
      <x:c r="M31" s="17" t="n">
        <x:v>-8198006.97</x:v>
      </x:c>
      <x:c r="N31" s="14" t="str">
        <x:v>Recurring Transaction</x:v>
      </x:c>
      <x:c r="O31" s="14" t="str">
        <x:v>Yes</x:v>
      </x:c>
      <x:c r="P31" s="14" t="str">
        <x:v>IN DR INTDEAL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0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46122</x:v>
      </x:c>
    </x:row>
    <x:row r="32">
      <x:c r="A32" s="14" t="n">
        <x:v>32</x:v>
      </x:c>
      <x:c r="B32" s="14" t="str">
        <x:v>273.pdf</x:v>
      </x:c>
      <x:c r="C32" s="15" t="n">
        <x:v>45181</x:v>
      </x:c>
      <x:c r="D32" s="15" t="n">
        <x:v>46146</x:v>
      </x:c>
      <x:c r="E32" s="15" t="n">
        <x:v>46122</x:v>
      </x:c>
      <x:c r="F32" s="15" t="n">
        <x:v>46122</x:v>
      </x:c>
      <x:c r="G32" s="16" t="str">
        <x:v>RTGS-BARBR5202 Dr RTGS-BARBR52026041000833640-HINDUSTAN PETROLEUM CO</x:v>
      </x:c>
      <x:c r="H32" s="14" t="str"/>
      <x:c r="I32" s="14" t="str">
        <x:v>Payment</x:v>
      </x:c>
      <x:c r="J32" s="17" t="n">
        <x:v>1801993</x:v>
      </x:c>
      <x:c r="K32" s="17" t="n">
        <x:v>0</x:v>
      </x:c>
      <x:c r="L32" s="17" t="n">
        <x:v>1801993</x:v>
      </x:c>
      <x:c r="M32" s="17" t="n">
        <x:v>-9999999.97</x:v>
      </x:c>
      <x:c r="N32" s="14" t="str">
        <x:v>High Transaction; Recurring Transaction</x:v>
      </x:c>
      <x:c r="O32" s="14" t="str">
        <x:v>Yes</x:v>
      </x:c>
      <x:c r="P32" s="14" t="str">
        <x:v>BARBR DR RTGS</x:v>
      </x:c>
      <x:c r="Q32" s="14" t="n">
        <x:v>0</x:v>
      </x:c>
      <x:c r="R32" s="14" t="n">
        <x:v>1</x:v>
      </x:c>
      <x:c r="S32" s="14" t="n">
        <x:v>0</x:v>
      </x:c>
      <x:c r="T32" s="14" t="n">
        <x:v>0</x:v>
      </x:c>
      <x:c r="U32" s="14" t="n">
        <x:v>1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46122</x:v>
      </x:c>
    </x:row>
    <x:row r="33">
      <x:c r="A33" s="14" t="n">
        <x:v>33</x:v>
      </x:c>
      <x:c r="B33" s="14" t="str">
        <x:v>273.pdf</x:v>
      </x:c>
      <x:c r="C33" s="15" t="n">
        <x:v>45181</x:v>
      </x:c>
      <x:c r="D33" s="15" t="n">
        <x:v>46146</x:v>
      </x:c>
      <x:c r="E33" s="15" t="n">
        <x:v>46122</x:v>
      </x:c>
      <x:c r="F33" s="15" t="n">
        <x:v>46122</x:v>
      </x:c>
      <x:c r="G33" s="16" t="str">
        <x:v>EBANK:WIB/1503 Dr EBANK:WIB/1503385381/Edfs</x:v>
      </x:c>
      <x:c r="H33" s="14" t="str"/>
      <x:c r="I33" s="14" t="str">
        <x:v>Receipt</x:v>
      </x:c>
      <x:c r="J33" s="17" t="n">
        <x:v>0</x:v>
      </x:c>
      <x:c r="K33" s="17" t="n">
        <x:v>49686</x:v>
      </x:c>
      <x:c r="L33" s="17" t="n">
        <x:v>49686</x:v>
      </x:c>
      <x:c r="M33" s="17" t="n">
        <x:v>-9950313.97</x:v>
      </x:c>
      <x:c r="N33" s="14" t="str">
        <x:v>Recurring Transaction</x:v>
      </x:c>
      <x:c r="O33" s="14" t="str">
        <x:v>Yes</x:v>
      </x:c>
      <x:c r="P33" s="14" t="str">
        <x:v>EBANKWIB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0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46122</x:v>
      </x:c>
    </x:row>
    <x:row r="34">
      <x:c r="A34" s="14" t="n">
        <x:v>34</x:v>
      </x:c>
      <x:c r="B34" s="14" t="str">
        <x:v>273.pdf</x:v>
      </x:c>
      <x:c r="C34" s="15" t="n">
        <x:v>45181</x:v>
      </x:c>
      <x:c r="D34" s="15" t="n">
        <x:v>46146</x:v>
      </x:c>
      <x:c r="E34" s="15" t="n">
        <x:v>46122</x:v>
      </x:c>
      <x:c r="F34" s="15" t="n">
        <x:v>46122</x:v>
      </x:c>
      <x:c r="G34" s="16" t="str">
        <x:v>BY CASH Dr BY CASH</x:v>
      </x:c>
      <x:c r="H34" s="14" t="str"/>
      <x:c r="I34" s="14" t="str">
        <x:v>Receipt</x:v>
      </x:c>
      <x:c r="J34" s="17" t="n">
        <x:v>0</x:v>
      </x:c>
      <x:c r="K34" s="17" t="n">
        <x:v>171000</x:v>
      </x:c>
      <x:c r="L34" s="17" t="n">
        <x:v>171000</x:v>
      </x:c>
      <x:c r="M34" s="17" t="n">
        <x:v>-9779313.97</x:v>
      </x:c>
      <x:c r="N34" s="14" t="str">
        <x:v>Cash; High Transaction; Recurring Transaction</x:v>
      </x:c>
      <x:c r="O34" s="14" t="str">
        <x:v>Yes</x:v>
      </x:c>
      <x:c r="P34" s="14" t="str">
        <x:v>BY CASH DR BY CASH</x:v>
      </x:c>
      <x:c r="Q34" s="14" t="n">
        <x:v>1</x:v>
      </x:c>
      <x:c r="R34" s="14" t="n">
        <x:v>1</x:v>
      </x:c>
      <x:c r="S34" s="14" t="n">
        <x:v>0</x:v>
      </x:c>
      <x:c r="T34" s="14" t="n">
        <x:v>0</x:v>
      </x:c>
      <x:c r="U34" s="14" t="n">
        <x:v>1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46122</x:v>
      </x:c>
    </x:row>
    <x:row r="35">
      <x:c r="A35" s="14" t="n">
        <x:v>35</x:v>
      </x:c>
      <x:c r="B35" s="14" t="str">
        <x:v>273.pdf</x:v>
      </x:c>
      <x:c r="C35" s="15" t="n">
        <x:v>45181</x:v>
      </x:c>
      <x:c r="D35" s="15" t="n">
        <x:v>46146</x:v>
      </x:c>
      <x:c r="E35" s="15" t="n">
        <x:v>46122</x:v>
      </x:c>
      <x:c r="F35" s="15" t="n">
        <x:v>46122</x:v>
      </x:c>
      <x:c r="G35" s="16" t="str">
        <x:v>NEFT-BARBQ2610 Dr NEFT-BARBQ26100745025-HINDUSTAN PETROLEUM CORPORAT</x:v>
      </x:c>
      <x:c r="H35" s="14" t="str"/>
      <x:c r="I35" s="14" t="str">
        <x:v>Payment</x:v>
      </x:c>
      <x:c r="J35" s="17" t="n">
        <x:v>20471.76</x:v>
      </x:c>
      <x:c r="K35" s="17" t="n">
        <x:v>0</x:v>
      </x:c>
      <x:c r="L35" s="17" t="n">
        <x:v>20471.76</x:v>
      </x:c>
      <x:c r="M35" s="17" t="n">
        <x:v>-9799785.73</x:v>
      </x:c>
      <x:c r="N35" s="14" t="str">
        <x:v>Recurring Transaction</x:v>
      </x:c>
      <x:c r="O35" s="14" t="str">
        <x:v>Yes</x:v>
      </x:c>
      <x:c r="P35" s="14" t="str">
        <x:v>BARBQ DR NEFT</x:v>
      </x:c>
      <x:c r="Q35" s="14" t="n">
        <x:v>0</x:v>
      </x:c>
      <x:c r="R35" s="14" t="n">
        <x:v>1</x:v>
      </x:c>
      <x:c r="S35" s="14" t="n">
        <x:v>0</x:v>
      </x:c>
      <x:c r="T35" s="14" t="n">
        <x:v>0</x:v>
      </x:c>
      <x:c r="U35" s="14" t="n">
        <x:v>0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46122</x:v>
      </x:c>
    </x:row>
    <x:row r="36">
      <x:c r="A36" s="14" t="n">
        <x:v>36</x:v>
      </x:c>
      <x:c r="B36" s="14" t="str">
        <x:v>273.pdf</x:v>
      </x:c>
      <x:c r="C36" s="15" t="n">
        <x:v>45181</x:v>
      </x:c>
      <x:c r="D36" s="15" t="n">
        <x:v>46146</x:v>
      </x:c>
      <x:c r="E36" s="15" t="n">
        <x:v>46123</x:v>
      </x:c>
      <x:c r="F36" s="15" t="n">
        <x:v>46123</x:v>
      </x:c>
      <x:c r="G36" s="16" t="str">
        <x:v>0000-MUMBAI/IN Dr INT260327DEAL6258765</x:v>
      </x:c>
      <x:c r="H36" s="14" t="str"/>
      <x:c r="I36" s="14" t="str">
        <x:v>Payment</x:v>
      </x:c>
      <x:c r="J36" s="17" t="n">
        <x:v>7076.83</x:v>
      </x:c>
      <x:c r="K36" s="17" t="n">
        <x:v>0</x:v>
      </x:c>
      <x:c r="L36" s="17" t="n">
        <x:v>7076.83</x:v>
      </x:c>
      <x:c r="M36" s="17" t="n">
        <x:v>-9806862.56</x:v>
      </x:c>
      <x:c r="N36" s="14" t="str">
        <x:v>Recurring Transaction</x:v>
      </x:c>
      <x:c r="O36" s="14" t="str">
        <x:v>Yes</x:v>
      </x:c>
      <x:c r="P36" s="14" t="str">
        <x:v>IN DR INTDEAL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0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46123</x:v>
      </x:c>
    </x:row>
    <x:row r="37">
      <x:c r="A37" s="14" t="n">
        <x:v>37</x:v>
      </x:c>
      <x:c r="B37" s="14" t="str">
        <x:v>273.pdf</x:v>
      </x:c>
      <x:c r="C37" s="15" t="n">
        <x:v>45181</x:v>
      </x:c>
      <x:c r="D37" s="15" t="n">
        <x:v>46146</x:v>
      </x:c>
      <x:c r="E37" s="15" t="n">
        <x:v>46123</x:v>
      </x:c>
      <x:c r="F37" s="15" t="n">
        <x:v>46123</x:v>
      </x:c>
      <x:c r="G37" s="16" t="str">
        <x:v>0000-MUMBAI/IN Dr INT260327DEAL6258950</x:v>
      </x:c>
      <x:c r="H37" s="14" t="str"/>
      <x:c r="I37" s="14" t="str">
        <x:v>Payment</x:v>
      </x:c>
      <x:c r="J37" s="17" t="n">
        <x:v>350.17</x:v>
      </x:c>
      <x:c r="K37" s="17" t="n">
        <x:v>0</x:v>
      </x:c>
      <x:c r="L37" s="17" t="n">
        <x:v>350.17</x:v>
      </x:c>
      <x:c r="M37" s="17" t="n">
        <x:v>-9807212.73</x:v>
      </x:c>
      <x:c r="N37" s="14" t="str">
        <x:v>Recurring Transaction</x:v>
      </x:c>
      <x:c r="O37" s="14" t="str">
        <x:v>Yes</x:v>
      </x:c>
      <x:c r="P37" s="14" t="str">
        <x:v>IN DR INTDEAL</x:v>
      </x:c>
      <x:c r="Q37" s="14" t="n">
        <x:v>0</x:v>
      </x:c>
      <x:c r="R37" s="14" t="n">
        <x:v>1</x:v>
      </x:c>
      <x:c r="S37" s="14" t="n">
        <x:v>0</x:v>
      </x:c>
      <x:c r="T37" s="14" t="n">
        <x:v>0</x:v>
      </x:c>
      <x:c r="U37" s="14" t="n">
        <x:v>0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46123</x:v>
      </x:c>
    </x:row>
    <x:row r="38">
      <x:c r="A38" s="14" t="n">
        <x:v>38</x:v>
      </x:c>
      <x:c r="B38" s="14" t="str">
        <x:v>273.pdf</x:v>
      </x:c>
      <x:c r="C38" s="15" t="n">
        <x:v>45181</x:v>
      </x:c>
      <x:c r="D38" s="15" t="n">
        <x:v>46146</x:v>
      </x:c>
      <x:c r="E38" s="15" t="n">
        <x:v>46123</x:v>
      </x:c>
      <x:c r="F38" s="15" t="n">
        <x:v>46123</x:v>
      </x:c>
      <x:c r="G38" s="16" t="str">
        <x:v>EBANK:WIB/1503 Dr EBANK:WIB/1503559058/Edfs</x:v>
      </x:c>
      <x:c r="H38" s="14" t="str"/>
      <x:c r="I38" s="14" t="str">
        <x:v>Receipt</x:v>
      </x:c>
      <x:c r="J38" s="17" t="n">
        <x:v>0</x:v>
      </x:c>
      <x:c r="K38" s="17" t="n">
        <x:v>353767.15</x:v>
      </x:c>
      <x:c r="L38" s="17" t="n">
        <x:v>353767.15</x:v>
      </x:c>
      <x:c r="M38" s="17" t="n">
        <x:v>-9453445.58</x:v>
      </x:c>
      <x:c r="N38" s="14" t="str">
        <x:v>High Transaction; Recurring Transaction</x:v>
      </x:c>
      <x:c r="O38" s="14" t="str">
        <x:v>Yes</x:v>
      </x:c>
      <x:c r="P38" s="14" t="str">
        <x:v>EBANKWIB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1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46123</x:v>
      </x:c>
    </x:row>
    <x:row r="39">
      <x:c r="A39" s="14" t="n">
        <x:v>39</x:v>
      </x:c>
      <x:c r="B39" s="14" t="str">
        <x:v>273.pdf</x:v>
      </x:c>
      <x:c r="C39" s="15" t="n">
        <x:v>45181</x:v>
      </x:c>
      <x:c r="D39" s="15" t="n">
        <x:v>46146</x:v>
      </x:c>
      <x:c r="E39" s="15" t="n">
        <x:v>46124</x:v>
      </x:c>
      <x:c r="F39" s="15" t="n">
        <x:v>46124</x:v>
      </x:c>
      <x:c r="G39" s="16" t="str">
        <x:v>EBANK:WIB/1503 Dr EBANK:WIB/1503691094/Edfs</x:v>
      </x:c>
      <x:c r="H39" s="14" t="str"/>
      <x:c r="I39" s="14" t="str">
        <x:v>Receipt</x:v>
      </x:c>
      <x:c r="J39" s="17" t="n">
        <x:v>0</x:v>
      </x:c>
      <x:c r="K39" s="17" t="n">
        <x:v>521281.39</x:v>
      </x:c>
      <x:c r="L39" s="17" t="n">
        <x:v>521281.39</x:v>
      </x:c>
      <x:c r="M39" s="17" t="n">
        <x:v>-8932164.19</x:v>
      </x:c>
      <x:c r="N39" s="14" t="str">
        <x:v>High Transaction; Recurring Transaction</x:v>
      </x:c>
      <x:c r="O39" s="14" t="str">
        <x:v>Yes</x:v>
      </x:c>
      <x:c r="P39" s="14" t="str">
        <x:v>EBANKWIB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1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46124</x:v>
      </x:c>
    </x:row>
    <x:row r="40">
      <x:c r="A40" s="14" t="n">
        <x:v>40</x:v>
      </x:c>
      <x:c r="B40" s="14" t="str">
        <x:v>273.pdf</x:v>
      </x:c>
      <x:c r="C40" s="15" t="n">
        <x:v>45181</x:v>
      </x:c>
      <x:c r="D40" s="15" t="n">
        <x:v>46146</x:v>
      </x:c>
      <x:c r="E40" s="15" t="n">
        <x:v>46125</x:v>
      </x:c>
      <x:c r="F40" s="15" t="n">
        <x:v>46125</x:v>
      </x:c>
      <x:c r="G40" s="16" t="str">
        <x:v>0000-MUMBAI/IN Dr INT260327DEAL6258765</x:v>
      </x:c>
      <x:c r="H40" s="14" t="str"/>
      <x:c r="I40" s="14" t="str">
        <x:v>Payment</x:v>
      </x:c>
      <x:c r="J40" s="17" t="n">
        <x:v>305.5</x:v>
      </x:c>
      <x:c r="K40" s="17" t="n">
        <x:v>0</x:v>
      </x:c>
      <x:c r="L40" s="17" t="n">
        <x:v>305.5</x:v>
      </x:c>
      <x:c r="M40" s="17" t="n">
        <x:v>-8932469.69</x:v>
      </x:c>
      <x:c r="N40" s="14" t="str">
        <x:v>Recurring Transaction</x:v>
      </x:c>
      <x:c r="O40" s="14" t="str">
        <x:v>Yes</x:v>
      </x:c>
      <x:c r="P40" s="14" t="str">
        <x:v>IN DR INTDEAL</x:v>
      </x:c>
      <x:c r="Q40" s="14" t="n">
        <x:v>0</x:v>
      </x:c>
      <x:c r="R40" s="14" t="n">
        <x:v>1</x:v>
      </x:c>
      <x:c r="S40" s="14" t="n">
        <x:v>0</x:v>
      </x:c>
      <x:c r="T40" s="14" t="n">
        <x:v>0</x:v>
      </x:c>
      <x:c r="U40" s="14" t="n">
        <x:v>0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46125</x:v>
      </x:c>
    </x:row>
    <x:row r="41">
      <x:c r="A41" s="14" t="n">
        <x:v>42</x:v>
      </x:c>
      <x:c r="B41" s="14" t="str">
        <x:v>273.pdf</x:v>
      </x:c>
      <x:c r="C41" s="15" t="n">
        <x:v>45181</x:v>
      </x:c>
      <x:c r="D41" s="15" t="n">
        <x:v>46146</x:v>
      </x:c>
      <x:c r="E41" s="15" t="n">
        <x:v>46125</x:v>
      </x:c>
      <x:c r="F41" s="15" t="n">
        <x:v>46125</x:v>
      </x:c>
      <x:c r="G41" s="16" t="str">
        <x:v>DIGITA-MUMBAI/ Dr INT260327DEAL6258765</x:v>
      </x:c>
      <x:c r="H41" s="14" t="str"/>
      <x:c r="I41" s="14" t="str">
        <x:v>Payment</x:v>
      </x:c>
      <x:c r="J41" s="17" t="n">
        <x:v>182.75</x:v>
      </x:c>
      <x:c r="K41" s="17" t="n">
        <x:v>0</x:v>
      </x:c>
      <x:c r="L41" s="17" t="n">
        <x:v>182.75</x:v>
      </x:c>
      <x:c r="M41" s="17" t="n">
        <x:v>-8493652.44</x:v>
      </x:c>
      <x:c r="N41" s="14" t="str">
        <x:v>Recurring Transaction</x:v>
      </x:c>
      <x:c r="O41" s="14" t="str">
        <x:v>Yes</x:v>
      </x:c>
      <x:c r="P41" s="14" t="str">
        <x:v>DR INTDEAL</x:v>
      </x:c>
      <x:c r="Q41" s="14" t="n">
        <x:v>0</x:v>
      </x:c>
      <x:c r="R41" s="14" t="n">
        <x:v>1</x:v>
      </x:c>
      <x:c r="S41" s="14" t="n">
        <x:v>0</x:v>
      </x:c>
      <x:c r="T41" s="14" t="n">
        <x:v>0</x:v>
      </x:c>
      <x:c r="U41" s="14" t="n">
        <x:v>0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46125</x:v>
      </x:c>
    </x:row>
    <x:row r="42">
      <x:c r="A42" s="14" t="n">
        <x:v>43</x:v>
      </x:c>
      <x:c r="B42" s="14" t="str">
        <x:v>273.pdf</x:v>
      </x:c>
      <x:c r="C42" s="15" t="n">
        <x:v>45181</x:v>
      </x:c>
      <x:c r="D42" s="15" t="n">
        <x:v>46146</x:v>
      </x:c>
      <x:c r="E42" s="15" t="n">
        <x:v>46125</x:v>
      </x:c>
      <x:c r="F42" s="15" t="n">
        <x:v>46125</x:v>
      </x:c>
      <x:c r="G42" s="16" t="str">
        <x:v>EBANK:WIB/1503 Dr EBANK:WIB/1503777187/Edfs</x:v>
      </x:c>
      <x:c r="H42" s="14" t="str"/>
      <x:c r="I42" s="14" t="str">
        <x:v>Receipt</x:v>
      </x:c>
      <x:c r="J42" s="17" t="n">
        <x:v>0</x:v>
      </x:c>
      <x:c r="K42" s="17" t="n">
        <x:v>610444.28</x:v>
      </x:c>
      <x:c r="L42" s="17" t="n">
        <x:v>610444.28</x:v>
      </x:c>
      <x:c r="M42" s="17" t="n">
        <x:v>-7883208.16</x:v>
      </x:c>
      <x:c r="N42" s="14" t="str">
        <x:v>High Transaction; Recurring Transaction</x:v>
      </x:c>
      <x:c r="O42" s="14" t="str">
        <x:v>Yes</x:v>
      </x:c>
      <x:c r="P42" s="14" t="str">
        <x:v>EBANKWIB</x:v>
      </x:c>
      <x:c r="Q42" s="14" t="n">
        <x:v>0</x:v>
      </x:c>
      <x:c r="R42" s="14" t="n">
        <x:v>1</x:v>
      </x:c>
      <x:c r="S42" s="14" t="n">
        <x:v>0</x:v>
      </x:c>
      <x:c r="T42" s="14" t="n">
        <x:v>0</x:v>
      </x:c>
      <x:c r="U42" s="14" t="n">
        <x:v>1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46125</x:v>
      </x:c>
    </x:row>
    <x:row r="43">
      <x:c r="A43" s="14" t="n">
        <x:v>44</x:v>
      </x:c>
      <x:c r="B43" s="14" t="str">
        <x:v>273.pdf</x:v>
      </x:c>
      <x:c r="C43" s="15" t="n">
        <x:v>45181</x:v>
      </x:c>
      <x:c r="D43" s="15" t="n">
        <x:v>46146</x:v>
      </x:c>
      <x:c r="E43" s="15" t="n">
        <x:v>46125</x:v>
      </x:c>
      <x:c r="F43" s="15" t="n">
        <x:v>46125</x:v>
      </x:c>
      <x:c r="G43" s="16" t="str">
        <x:v>DIGITA-MUMBAI/ Dr INT260327DEAL6258950</x:v>
      </x:c>
      <x:c r="H43" s="14" t="str"/>
      <x:c r="I43" s="14" t="str">
        <x:v>Payment</x:v>
      </x:c>
      <x:c r="J43" s="17" t="n">
        <x:v>46.82</x:v>
      </x:c>
      <x:c r="K43" s="17" t="n">
        <x:v>0</x:v>
      </x:c>
      <x:c r="L43" s="17" t="n">
        <x:v>46.82</x:v>
      </x:c>
      <x:c r="M43" s="17" t="n">
        <x:v>-7883254.98</x:v>
      </x:c>
      <x:c r="N43" s="14" t="str">
        <x:v>Recurring Transaction</x:v>
      </x:c>
      <x:c r="O43" s="14" t="str">
        <x:v>Yes</x:v>
      </x:c>
      <x:c r="P43" s="14" t="str">
        <x:v>DR INTDEAL</x:v>
      </x:c>
      <x:c r="Q43" s="14" t="n">
        <x:v>0</x:v>
      </x:c>
      <x:c r="R43" s="14" t="n">
        <x:v>1</x:v>
      </x:c>
      <x:c r="S43" s="14" t="n">
        <x:v>0</x:v>
      </x:c>
      <x:c r="T43" s="14" t="n">
        <x:v>0</x:v>
      </x:c>
      <x:c r="U43" s="14" t="n">
        <x:v>0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46125</x:v>
      </x:c>
    </x:row>
    <x:row r="44">
      <x:c r="A44" s="14" t="n">
        <x:v>45</x:v>
      </x:c>
      <x:c r="B44" s="14" t="str">
        <x:v>273.pdf</x:v>
      </x:c>
      <x:c r="C44" s="15" t="n">
        <x:v>45181</x:v>
      </x:c>
      <x:c r="D44" s="15" t="n">
        <x:v>46146</x:v>
      </x:c>
      <x:c r="E44" s="15" t="n">
        <x:v>46125</x:v>
      </x:c>
      <x:c r="F44" s="15" t="n">
        <x:v>46125</x:v>
      </x:c>
      <x:c r="G44" s="16" t="str">
        <x:v>BY CASH Dr BY CASH</x:v>
      </x:c>
      <x:c r="H44" s="14" t="str"/>
      <x:c r="I44" s="14" t="str">
        <x:v>Receipt</x:v>
      </x:c>
      <x:c r="J44" s="17" t="n">
        <x:v>0</x:v>
      </x:c>
      <x:c r="K44" s="17" t="n">
        <x:v>78500</x:v>
      </x:c>
      <x:c r="L44" s="17" t="n">
        <x:v>78500</x:v>
      </x:c>
      <x:c r="M44" s="17" t="n">
        <x:v>-7804754.98</x:v>
      </x:c>
      <x:c r="N44" s="14" t="str">
        <x:v>Cash; Recurring Transaction</x:v>
      </x:c>
      <x:c r="O44" s="14" t="str">
        <x:v>Yes</x:v>
      </x:c>
      <x:c r="P44" s="14" t="str">
        <x:v>BY CASH DR BY CASH</x:v>
      </x:c>
      <x:c r="Q44" s="14" t="n">
        <x:v>1</x:v>
      </x:c>
      <x:c r="R44" s="14" t="n">
        <x:v>1</x:v>
      </x:c>
      <x:c r="S44" s="14" t="n">
        <x:v>0</x:v>
      </x:c>
      <x:c r="T44" s="14" t="n">
        <x:v>0</x:v>
      </x:c>
      <x:c r="U44" s="14" t="n">
        <x:v>0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46125</x:v>
      </x:c>
    </x:row>
    <x:row r="45">
      <x:c r="A45" s="14" t="n">
        <x:v>46</x:v>
      </x:c>
      <x:c r="B45" s="14" t="str">
        <x:v>273.pdf</x:v>
      </x:c>
      <x:c r="C45" s="15" t="n">
        <x:v>45181</x:v>
      </x:c>
      <x:c r="D45" s="15" t="n">
        <x:v>46146</x:v>
      </x:c>
      <x:c r="E45" s="15" t="n">
        <x:v>46125</x:v>
      </x:c>
      <x:c r="F45" s="15" t="n">
        <x:v>46125</x:v>
      </x:c>
      <x:c r="G45" s="16" t="str">
        <x:v>EBANK:WIB/1503 Dr ---------------------------------------------------------------------------------------------------------------------------------- Page Total: 18,31,620.08 27,64,671.60 76,96,761.20Dr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</x:v>
      </x:c>
      <x:c r="H45" s="14" t="str"/>
      <x:c r="I45" s="14" t="str">
        <x:v>Receipt</x:v>
      </x:c>
      <x:c r="J45" s="17" t="n">
        <x:v>0</x:v>
      </x:c>
      <x:c r="K45" s="17" t="n">
        <x:v>107993.78</x:v>
      </x:c>
      <x:c r="L45" s="17" t="n">
        <x:v>107993.78</x:v>
      </x:c>
      <x:c r="M45" s="17" t="n">
        <x:v>-7696761.2</x:v>
      </x:c>
      <x:c r="N45" s="14" t="str">
        <x:v>High Transaction; Recurring Transaction</x:v>
      </x:c>
      <x:c r="O45" s="14" t="str">
        <x:v>Yes</x:v>
      </x:c>
      <x:c r="P45" s="14" t="str">
        <x:v>EBANKWIB</x:v>
      </x:c>
      <x:c r="Q45" s="14" t="n">
        <x:v>0</x:v>
      </x:c>
      <x:c r="R45" s="14" t="n">
        <x:v>1</x:v>
      </x:c>
      <x:c r="S45" s="14" t="n">
        <x:v>0</x:v>
      </x:c>
      <x:c r="T45" s="14" t="n">
        <x:v>0</x:v>
      </x:c>
      <x:c r="U45" s="14" t="n">
        <x:v>1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46125</x:v>
      </x:c>
    </x:row>
    <x:row r="46">
      <x:c r="A46" s="14" t="n">
        <x:v>47</x:v>
      </x:c>
      <x:c r="B46" s="14" t="str">
        <x:v>273.pdf</x:v>
      </x:c>
      <x:c r="C46" s="15" t="n">
        <x:v>45181</x:v>
      </x:c>
      <x:c r="D46" s="15" t="n">
        <x:v>46146</x:v>
      </x:c>
      <x:c r="E46" s="15" t="n">
        <x:v>46125</x:v>
      </x:c>
      <x:c r="F46" s="15" t="n">
        <x:v>46125</x:v>
      </x:c>
      <x:c r="G46" s="16" t="str">
        <x:v>RTGS-BARBR5202 Dr RTGS-BARBR52026041300983458-HINDUSTAN PETROLEUM CO</x:v>
      </x:c>
      <x:c r="H46" s="14" t="str"/>
      <x:c r="I46" s="14" t="str">
        <x:v>Payment</x:v>
      </x:c>
      <x:c r="J46" s="17" t="n">
        <x:v>1962976.51</x:v>
      </x:c>
      <x:c r="K46" s="17" t="n">
        <x:v>0</x:v>
      </x:c>
      <x:c r="L46" s="17" t="n">
        <x:v>1962976.51</x:v>
      </x:c>
      <x:c r="M46" s="17" t="n">
        <x:v>-9659737.71</x:v>
      </x:c>
      <x:c r="N46" s="14" t="str">
        <x:v>High Transaction; Recurring Transaction</x:v>
      </x:c>
      <x:c r="O46" s="14" t="str">
        <x:v>Yes</x:v>
      </x:c>
      <x:c r="P46" s="14" t="str">
        <x:v>BARBR DR RTGS</x:v>
      </x:c>
      <x:c r="Q46" s="14" t="n">
        <x:v>0</x:v>
      </x:c>
      <x:c r="R46" s="14" t="n">
        <x:v>1</x:v>
      </x:c>
      <x:c r="S46" s="14" t="n">
        <x:v>0</x:v>
      </x:c>
      <x:c r="T46" s="14" t="n">
        <x:v>0</x:v>
      </x:c>
      <x:c r="U46" s="14" t="n">
        <x:v>1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46125</x:v>
      </x:c>
    </x:row>
    <x:row r="47">
      <x:c r="A47" s="14" t="n">
        <x:v>48</x:v>
      </x:c>
      <x:c r="B47" s="14" t="str">
        <x:v>273.pdf</x:v>
      </x:c>
      <x:c r="C47" s="15" t="n">
        <x:v>45181</x:v>
      </x:c>
      <x:c r="D47" s="15" t="n">
        <x:v>46146</x:v>
      </x:c>
      <x:c r="E47" s="15" t="n">
        <x:v>46126</x:v>
      </x:c>
      <x:c r="F47" s="15" t="n">
        <x:v>46126</x:v>
      </x:c>
      <x:c r="G47" s="16" t="str">
        <x:v>0000-MUMBAI/IN Dr INT260330DEAL6270027</x:v>
      </x:c>
      <x:c r="H47" s="14" t="str"/>
      <x:c r="I47" s="14" t="str">
        <x:v>Payment</x:v>
      </x:c>
      <x:c r="J47" s="17" t="n">
        <x:v>7127.18</x:v>
      </x:c>
      <x:c r="K47" s="17" t="n">
        <x:v>0</x:v>
      </x:c>
      <x:c r="L47" s="17" t="n">
        <x:v>7127.18</x:v>
      </x:c>
      <x:c r="M47" s="17" t="n">
        <x:v>-9666864.89</x:v>
      </x:c>
      <x:c r="N47" s="14" t="str">
        <x:v>Recurring Transaction</x:v>
      </x:c>
      <x:c r="O47" s="14" t="str">
        <x:v>Yes</x:v>
      </x:c>
      <x:c r="P47" s="14" t="str">
        <x:v>IN DR INTDEAL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0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46126</x:v>
      </x:c>
    </x:row>
    <x:row r="48">
      <x:c r="A48" s="14" t="n">
        <x:v>49</x:v>
      </x:c>
      <x:c r="B48" s="14" t="str">
        <x:v>273.pdf</x:v>
      </x:c>
      <x:c r="C48" s="15" t="n">
        <x:v>45181</x:v>
      </x:c>
      <x:c r="D48" s="15" t="n">
        <x:v>46146</x:v>
      </x:c>
      <x:c r="E48" s="15" t="n">
        <x:v>46126</x:v>
      </x:c>
      <x:c r="F48" s="15" t="n">
        <x:v>46126</x:v>
      </x:c>
      <x:c r="G48" s="16" t="str">
        <x:v>EBANK:WIB/1503 Dr EBANK:WIB/1503879023/Edfs</x:v>
      </x:c>
      <x:c r="H48" s="14" t="str"/>
      <x:c r="I48" s="14" t="str">
        <x:v>Receipt</x:v>
      </x:c>
      <x:c r="J48" s="17" t="n">
        <x:v>0</x:v>
      </x:c>
      <x:c r="K48" s="17" t="n">
        <x:v>421121.65</x:v>
      </x:c>
      <x:c r="L48" s="17" t="n">
        <x:v>421121.65</x:v>
      </x:c>
      <x:c r="M48" s="17" t="n">
        <x:v>-9245743.24</x:v>
      </x:c>
      <x:c r="N48" s="14" t="str">
        <x:v>High Transaction; Recurring Transaction</x:v>
      </x:c>
      <x:c r="O48" s="14" t="str">
        <x:v>Yes</x:v>
      </x:c>
      <x:c r="P48" s="14" t="str">
        <x:v>EBANKWIB</x:v>
      </x:c>
      <x:c r="Q48" s="14" t="n">
        <x:v>0</x:v>
      </x:c>
      <x:c r="R48" s="14" t="n">
        <x:v>1</x:v>
      </x:c>
      <x:c r="S48" s="14" t="n">
        <x:v>0</x:v>
      </x:c>
      <x:c r="T48" s="14" t="n">
        <x:v>0</x:v>
      </x:c>
      <x:c r="U48" s="14" t="n">
        <x:v>1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46126</x:v>
      </x:c>
    </x:row>
    <x:row r="49">
      <x:c r="A49" s="14" t="n">
        <x:v>50</x:v>
      </x:c>
      <x:c r="B49" s="14" t="str">
        <x:v>273.pdf</x:v>
      </x:c>
      <x:c r="C49" s="15" t="n">
        <x:v>45181</x:v>
      </x:c>
      <x:c r="D49" s="15" t="n">
        <x:v>46146</x:v>
      </x:c>
      <x:c r="E49" s="15" t="n">
        <x:v>46126</x:v>
      </x:c>
      <x:c r="F49" s="15" t="n">
        <x:v>46126</x:v>
      </x:c>
      <x:c r="G49" s="16" t="str">
        <x:v>EBANK:WIB/1504 Dr EBANK:WIB/1504010401/Edfs</x:v>
      </x:c>
      <x:c r="H49" s="14" t="str"/>
      <x:c r="I49" s="14" t="str">
        <x:v>Receipt</x:v>
      </x:c>
      <x:c r="J49" s="17" t="n">
        <x:v>0</x:v>
      </x:c>
      <x:c r="K49" s="17" t="n">
        <x:v>240000</x:v>
      </x:c>
      <x:c r="L49" s="17" t="n">
        <x:v>240000</x:v>
      </x:c>
      <x:c r="M49" s="17" t="n">
        <x:v>-9005743.24</x:v>
      </x:c>
      <x:c r="N49" s="14" t="str">
        <x:v>High Transaction; Recurring Transaction</x:v>
      </x:c>
      <x:c r="O49" s="14" t="str">
        <x:v>Yes</x:v>
      </x:c>
      <x:c r="P49" s="14" t="str">
        <x:v>EBANKWIB</x:v>
      </x:c>
      <x:c r="Q49" s="14" t="n">
        <x:v>0</x:v>
      </x:c>
      <x:c r="R49" s="14" t="n">
        <x:v>1</x:v>
      </x:c>
      <x:c r="S49" s="14" t="n">
        <x:v>0</x:v>
      </x:c>
      <x:c r="T49" s="14" t="n">
        <x:v>0</x:v>
      </x:c>
      <x:c r="U49" s="14" t="n">
        <x:v>1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46126</x:v>
      </x:c>
    </x:row>
    <x:row r="50">
      <x:c r="A50" s="14" t="n">
        <x:v>51</x:v>
      </x:c>
      <x:c r="B50" s="14" t="str">
        <x:v>273.pdf</x:v>
      </x:c>
      <x:c r="C50" s="15" t="n">
        <x:v>45181</x:v>
      </x:c>
      <x:c r="D50" s="15" t="n">
        <x:v>46146</x:v>
      </x:c>
      <x:c r="E50" s="15" t="n">
        <x:v>46127</x:v>
      </x:c>
      <x:c r="F50" s="15" t="n">
        <x:v>46127</x:v>
      </x:c>
      <x:c r="G50" s="16" t="str">
        <x:v>0000-MUMBAI/IN Dr INT260331DEAL6279575</x:v>
      </x:c>
      <x:c r="H50" s="14" t="str"/>
      <x:c r="I50" s="14" t="str">
        <x:v>Payment</x:v>
      </x:c>
      <x:c r="J50" s="17" t="n">
        <x:v>1795.79</x:v>
      </x:c>
      <x:c r="K50" s="17" t="n">
        <x:v>0</x:v>
      </x:c>
      <x:c r="L50" s="17" t="n">
        <x:v>1795.79</x:v>
      </x:c>
      <x:c r="M50" s="17" t="n">
        <x:v>-9007539.03</x:v>
      </x:c>
      <x:c r="N50" s="14" t="str">
        <x:v>Recurring Transaction</x:v>
      </x:c>
      <x:c r="O50" s="14" t="str">
        <x:v>Yes</x:v>
      </x:c>
      <x:c r="P50" s="14" t="str">
        <x:v>IN DR INTDEAL</x:v>
      </x:c>
      <x:c r="Q50" s="14" t="n">
        <x:v>0</x:v>
      </x:c>
      <x:c r="R50" s="14" t="n">
        <x:v>1</x:v>
      </x:c>
      <x:c r="S50" s="14" t="n">
        <x:v>0</x:v>
      </x:c>
      <x:c r="T50" s="14" t="n">
        <x:v>0</x:v>
      </x:c>
      <x:c r="U50" s="14" t="n">
        <x:v>0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46127</x:v>
      </x:c>
    </x:row>
    <x:row r="51">
      <x:c r="A51" s="14" t="n">
        <x:v>52</x:v>
      </x:c>
      <x:c r="B51" s="14" t="str">
        <x:v>273.pdf</x:v>
      </x:c>
      <x:c r="C51" s="15" t="n">
        <x:v>45181</x:v>
      </x:c>
      <x:c r="D51" s="15" t="n">
        <x:v>46146</x:v>
      </x:c>
      <x:c r="E51" s="15" t="n">
        <x:v>46127</x:v>
      </x:c>
      <x:c r="F51" s="15" t="n">
        <x:v>46127</x:v>
      </x:c>
      <x:c r="G51" s="16" t="str">
        <x:v>EBANK:WIB/1504 Dr EBANK:WIB/1504019959/Edfs</x:v>
      </x:c>
      <x:c r="H51" s="14" t="str"/>
      <x:c r="I51" s="14" t="str">
        <x:v>Receipt</x:v>
      </x:c>
      <x:c r="J51" s="17" t="n">
        <x:v>0</x:v>
      </x:c>
      <x:c r="K51" s="17" t="n">
        <x:v>401141.57</x:v>
      </x:c>
      <x:c r="L51" s="17" t="n">
        <x:v>401141.57</x:v>
      </x:c>
      <x:c r="M51" s="17" t="n">
        <x:v>-8606397.46</x:v>
      </x:c>
      <x:c r="N51" s="14" t="str">
        <x:v>High Transaction; Recurring Transaction</x:v>
      </x:c>
      <x:c r="O51" s="14" t="str">
        <x:v>Yes</x:v>
      </x:c>
      <x:c r="P51" s="14" t="str">
        <x:v>EBANKWIB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1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46127</x:v>
      </x:c>
    </x:row>
    <x:row r="52">
      <x:c r="A52" s="14" t="n">
        <x:v>54</x:v>
      </x:c>
      <x:c r="B52" s="14" t="str">
        <x:v>273.pdf</x:v>
      </x:c>
      <x:c r="C52" s="15" t="n">
        <x:v>45181</x:v>
      </x:c>
      <x:c r="D52" s="15" t="n">
        <x:v>46146</x:v>
      </x:c>
      <x:c r="E52" s="15" t="n">
        <x:v>46127</x:v>
      </x:c>
      <x:c r="F52" s="15" t="n">
        <x:v>46127</x:v>
      </x:c>
      <x:c r="G52" s="16" t="str">
        <x:v>EBANK:WIB/1504 Dr EBANK:WIB/1504096201/Edfs</x:v>
      </x:c>
      <x:c r="H52" s="14" t="str"/>
      <x:c r="I52" s="14" t="str">
        <x:v>Receipt</x:v>
      </x:c>
      <x:c r="J52" s="17" t="n">
        <x:v>0</x:v>
      </x:c>
      <x:c r="K52" s="17" t="n">
        <x:v>125424</x:v>
      </x:c>
      <x:c r="L52" s="17" t="n">
        <x:v>125424</x:v>
      </x:c>
      <x:c r="M52" s="17" t="n">
        <x:v>-8481214.99</x:v>
      </x:c>
      <x:c r="N52" s="14" t="str">
        <x:v>High Transaction; Recurring Transaction</x:v>
      </x:c>
      <x:c r="O52" s="14" t="str">
        <x:v>Yes</x:v>
      </x:c>
      <x:c r="P52" s="14" t="str">
        <x:v>EBANKWIB</x:v>
      </x:c>
      <x:c r="Q52" s="14" t="n">
        <x:v>0</x:v>
      </x:c>
      <x:c r="R52" s="14" t="n">
        <x:v>1</x:v>
      </x:c>
      <x:c r="S52" s="14" t="n">
        <x:v>0</x:v>
      </x:c>
      <x:c r="T52" s="14" t="n">
        <x:v>0</x:v>
      </x:c>
      <x:c r="U52" s="14" t="n">
        <x:v>1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46127</x:v>
      </x:c>
    </x:row>
    <x:row r="53">
      <x:c r="A53" s="14" t="n">
        <x:v>55</x:v>
      </x:c>
      <x:c r="B53" s="14" t="str">
        <x:v>273.pdf</x:v>
      </x:c>
      <x:c r="C53" s="15" t="n">
        <x:v>45181</x:v>
      </x:c>
      <x:c r="D53" s="15" t="n">
        <x:v>46146</x:v>
      </x:c>
      <x:c r="E53" s="15" t="n">
        <x:v>46127</x:v>
      </x:c>
      <x:c r="F53" s="15" t="n">
        <x:v>46127</x:v>
      </x:c>
      <x:c r="G53" s="16" t="str">
        <x:v>BY CASH Dr BY CASH</x:v>
      </x:c>
      <x:c r="H53" s="14" t="str"/>
      <x:c r="I53" s="14" t="str">
        <x:v>Receipt</x:v>
      </x:c>
      <x:c r="J53" s="17" t="n">
        <x:v>0</x:v>
      </x:c>
      <x:c r="K53" s="17" t="n">
        <x:v>371000</x:v>
      </x:c>
      <x:c r="L53" s="17" t="n">
        <x:v>371000</x:v>
      </x:c>
      <x:c r="M53" s="17" t="n">
        <x:v>-8110214.99</x:v>
      </x:c>
      <x:c r="N53" s="14" t="str">
        <x:v>Cash; High Transaction; Recurring Transaction</x:v>
      </x:c>
      <x:c r="O53" s="14" t="str">
        <x:v>Yes</x:v>
      </x:c>
      <x:c r="P53" s="14" t="str">
        <x:v>BY CASH DR BY CASH</x:v>
      </x:c>
      <x:c r="Q53" s="14" t="n">
        <x:v>1</x:v>
      </x:c>
      <x:c r="R53" s="14" t="n">
        <x:v>1</x:v>
      </x:c>
      <x:c r="S53" s="14" t="n">
        <x:v>0</x:v>
      </x:c>
      <x:c r="T53" s="14" t="n">
        <x:v>0</x:v>
      </x:c>
      <x:c r="U53" s="14" t="n">
        <x:v>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46127</x:v>
      </x:c>
    </x:row>
    <x:row r="54">
      <x:c r="A54" s="14" t="n">
        <x:v>56</x:v>
      </x:c>
      <x:c r="B54" s="14" t="str">
        <x:v>273.pdf</x:v>
      </x:c>
      <x:c r="C54" s="15" t="n">
        <x:v>45181</x:v>
      </x:c>
      <x:c r="D54" s="15" t="n">
        <x:v>46146</x:v>
      </x:c>
      <x:c r="E54" s="15" t="n">
        <x:v>46127</x:v>
      </x:c>
      <x:c r="F54" s="15" t="n">
        <x:v>46127</x:v>
      </x:c>
      <x:c r="G54" s="16" t="str">
        <x:v>EBANK:WIB/1504 Dr EBANK:WIB/1504156827/Edfs</x:v>
      </x:c>
      <x:c r="H54" s="14" t="str"/>
      <x:c r="I54" s="14" t="str">
        <x:v>Receipt</x:v>
      </x:c>
      <x:c r="J54" s="17" t="n">
        <x:v>0</x:v>
      </x:c>
      <x:c r="K54" s="17" t="n">
        <x:v>13736</x:v>
      </x:c>
      <x:c r="L54" s="17" t="n">
        <x:v>13736</x:v>
      </x:c>
      <x:c r="M54" s="17" t="n">
        <x:v>-8096478.99</x:v>
      </x:c>
      <x:c r="N54" s="14" t="str">
        <x:v>Recurring Transaction</x:v>
      </x:c>
      <x:c r="O54" s="14" t="str">
        <x:v>Yes</x:v>
      </x:c>
      <x:c r="P54" s="14" t="str">
        <x:v>EBANKWIB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46127</x:v>
      </x:c>
    </x:row>
    <x:row r="55">
      <x:c r="A55" s="14" t="n">
        <x:v>57</x:v>
      </x:c>
      <x:c r="B55" s="14" t="str">
        <x:v>273.pdf</x:v>
      </x:c>
      <x:c r="C55" s="15" t="n">
        <x:v>45181</x:v>
      </x:c>
      <x:c r="D55" s="15" t="n">
        <x:v>46146</x:v>
      </x:c>
      <x:c r="E55" s="15" t="n">
        <x:v>46127</x:v>
      </x:c>
      <x:c r="F55" s="15" t="n">
        <x:v>46127</x:v>
      </x:c>
      <x:c r="G55" s="16" t="str">
        <x:v>RTGS-BARBR5202 Dr RTGS-BARBR52026041500840540-HINDUSTAN PETROLEUM CO</x:v>
      </x:c>
      <x:c r="H55" s="14" t="str"/>
      <x:c r="I55" s="14" t="str">
        <x:v>Payment</x:v>
      </x:c>
      <x:c r="J55" s="17" t="n">
        <x:v>1889785</x:v>
      </x:c>
      <x:c r="K55" s="17" t="n">
        <x:v>0</x:v>
      </x:c>
      <x:c r="L55" s="17" t="n">
        <x:v>1889785</x:v>
      </x:c>
      <x:c r="M55" s="17" t="n">
        <x:v>-9986263.99</x:v>
      </x:c>
      <x:c r="N55" s="14" t="str">
        <x:v>High Transaction; Recurring Transaction</x:v>
      </x:c>
      <x:c r="O55" s="14" t="str">
        <x:v>Yes</x:v>
      </x:c>
      <x:c r="P55" s="14" t="str">
        <x:v>BARBR DR RTGS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1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46127</x:v>
      </x:c>
    </x:row>
    <x:row r="56">
      <x:c r="A56" s="14" t="n">
        <x:v>58</x:v>
      </x:c>
      <x:c r="B56" s="14" t="str">
        <x:v>273.pdf</x:v>
      </x:c>
      <x:c r="C56" s="15" t="n">
        <x:v>45181</x:v>
      </x:c>
      <x:c r="D56" s="15" t="n">
        <x:v>46146</x:v>
      </x:c>
      <x:c r="E56" s="15" t="n">
        <x:v>46127</x:v>
      </x:c>
      <x:c r="F56" s="15" t="n">
        <x:v>46127</x:v>
      </x:c>
      <x:c r="G56" s="16" t="str">
        <x:v>EBANK:WIB/1504 Dr EBANK:WIB/1504160264/Edfs</x:v>
      </x:c>
      <x:c r="H56" s="14" t="str"/>
      <x:c r="I56" s="14" t="str">
        <x:v>Receipt</x:v>
      </x:c>
      <x:c r="J56" s="17" t="n">
        <x:v>0</x:v>
      </x:c>
      <x:c r="K56" s="17" t="n">
        <x:v>54252.8</x:v>
      </x:c>
      <x:c r="L56" s="17" t="n">
        <x:v>54252.8</x:v>
      </x:c>
      <x:c r="M56" s="17" t="n">
        <x:v>-9932011.19</x:v>
      </x:c>
      <x:c r="N56" s="14" t="str">
        <x:v>Recurring Transaction</x:v>
      </x:c>
      <x:c r="O56" s="14" t="str">
        <x:v>Yes</x:v>
      </x:c>
      <x:c r="P56" s="14" t="str">
        <x:v>EBANKWIB</x:v>
      </x:c>
      <x:c r="Q56" s="14" t="n">
        <x:v>0</x:v>
      </x:c>
      <x:c r="R56" s="14" t="n">
        <x:v>1</x:v>
      </x:c>
      <x:c r="S56" s="14" t="n">
        <x:v>0</x:v>
      </x:c>
      <x:c r="T56" s="14" t="n">
        <x:v>0</x:v>
      </x:c>
      <x:c r="U56" s="14" t="n">
        <x:v>0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46127</x:v>
      </x:c>
    </x:row>
    <x:row r="57">
      <x:c r="A57" s="14" t="n">
        <x:v>59</x:v>
      </x:c>
      <x:c r="B57" s="14" t="str">
        <x:v>273.pdf</x:v>
      </x:c>
      <x:c r="C57" s="15" t="n">
        <x:v>45181</x:v>
      </x:c>
      <x:c r="D57" s="15" t="n">
        <x:v>46146</x:v>
      </x:c>
      <x:c r="E57" s="15" t="n">
        <x:v>46127</x:v>
      </x:c>
      <x:c r="F57" s="15" t="n">
        <x:v>46127</x:v>
      </x:c>
      <x:c r="G57" s="16" t="str">
        <x:v>NEFT-BARBQ2610 Dr NEFT-BARBQ26105757267-HINDUSTAN PETROLEUM CORPORAT</x:v>
      </x:c>
      <x:c r="H57" s="14" t="str"/>
      <x:c r="I57" s="14" t="str">
        <x:v>Payment</x:v>
      </x:c>
      <x:c r="J57" s="17" t="n">
        <x:v>67988</x:v>
      </x:c>
      <x:c r="K57" s="17" t="n">
        <x:v>0</x:v>
      </x:c>
      <x:c r="L57" s="17" t="n">
        <x:v>67988</x:v>
      </x:c>
      <x:c r="M57" s="17" t="n">
        <x:v>-9999999.19</x:v>
      </x:c>
      <x:c r="N57" s="14" t="str">
        <x:v>Recurring Transaction</x:v>
      </x:c>
      <x:c r="O57" s="14" t="str">
        <x:v>Yes</x:v>
      </x:c>
      <x:c r="P57" s="14" t="str">
        <x:v>BARBQ DR NEFT</x:v>
      </x:c>
      <x:c r="Q57" s="14" t="n">
        <x:v>0</x:v>
      </x:c>
      <x:c r="R57" s="14" t="n">
        <x:v>1</x:v>
      </x:c>
      <x:c r="S57" s="14" t="n">
        <x:v>0</x:v>
      </x:c>
      <x:c r="T57" s="14" t="n">
        <x:v>0</x:v>
      </x:c>
      <x:c r="U57" s="14" t="n">
        <x:v>0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46127</x:v>
      </x:c>
    </x:row>
    <x:row r="58">
      <x:c r="A58" s="14" t="n">
        <x:v>60</x:v>
      </x:c>
      <x:c r="B58" s="14" t="str">
        <x:v>273.pdf</x:v>
      </x:c>
      <x:c r="C58" s="15" t="n">
        <x:v>45181</x:v>
      </x:c>
      <x:c r="D58" s="15" t="n">
        <x:v>46146</x:v>
      </x:c>
      <x:c r="E58" s="15" t="n">
        <x:v>46127</x:v>
      </x:c>
      <x:c r="F58" s="15" t="n">
        <x:v>46127</x:v>
      </x:c>
      <x:c r="G58" s="16" t="str">
        <x:v>EBANK:WIB/1504 Dr EBANK:WIB/1504165308/Edfs</x:v>
      </x:c>
      <x:c r="H58" s="14" t="str"/>
      <x:c r="I58" s="14" t="str">
        <x:v>Receipt</x:v>
      </x:c>
      <x:c r="J58" s="17" t="n">
        <x:v>0</x:v>
      </x:c>
      <x:c r="K58" s="17" t="n">
        <x:v>44496</x:v>
      </x:c>
      <x:c r="L58" s="17" t="n">
        <x:v>44496</x:v>
      </x:c>
      <x:c r="M58" s="17" t="n">
        <x:v>-9955503.19</x:v>
      </x:c>
      <x:c r="N58" s="14" t="str">
        <x:v>Recurring Transaction</x:v>
      </x:c>
      <x:c r="O58" s="14" t="str">
        <x:v>Yes</x:v>
      </x:c>
      <x:c r="P58" s="14" t="str">
        <x:v>EBANKWIB</x:v>
      </x:c>
      <x:c r="Q58" s="14" t="n">
        <x:v>0</x:v>
      </x:c>
      <x:c r="R58" s="14" t="n">
        <x:v>1</x:v>
      </x:c>
      <x:c r="S58" s="14" t="n">
        <x:v>0</x:v>
      </x:c>
      <x:c r="T58" s="14" t="n">
        <x:v>0</x:v>
      </x:c>
      <x:c r="U58" s="14" t="n">
        <x:v>0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46127</x:v>
      </x:c>
    </x:row>
    <x:row r="59">
      <x:c r="A59" s="14" t="n">
        <x:v>62</x:v>
      </x:c>
      <x:c r="B59" s="14" t="str">
        <x:v>273.pdf</x:v>
      </x:c>
      <x:c r="C59" s="15" t="n">
        <x:v>45181</x:v>
      </x:c>
      <x:c r="D59" s="15" t="n">
        <x:v>46146</x:v>
      </x:c>
      <x:c r="E59" s="15" t="n">
        <x:v>46128</x:v>
      </x:c>
      <x:c r="F59" s="15" t="n">
        <x:v>46128</x:v>
      </x:c>
      <x:c r="G59" s="16" t="str">
        <x:v>EBANK:WIB/1504 Dr ---------------------------------------------------------------------------------------------------------------------------------- Page Total: 39,70,606.25 25,69,345.80 90,98,021.65Dr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</x:v>
      </x:c>
      <x:c r="H59" s="14" t="str"/>
      <x:c r="I59" s="14" t="str">
        <x:v>Receipt</x:v>
      </x:c>
      <x:c r="J59" s="17" t="n">
        <x:v>0</x:v>
      </x:c>
      <x:c r="K59" s="17" t="n">
        <x:v>898173.78</x:v>
      </x:c>
      <x:c r="L59" s="17" t="n">
        <x:v>898173.78</x:v>
      </x:c>
      <x:c r="M59" s="17" t="n">
        <x:v>-9098021.65</x:v>
      </x:c>
      <x:c r="N59" s="14" t="str">
        <x:v>High Transaction; Recurring Transaction</x:v>
      </x:c>
      <x:c r="O59" s="14" t="str">
        <x:v>Yes</x:v>
      </x:c>
      <x:c r="P59" s="14" t="str">
        <x:v>EBANKWIB</x:v>
      </x:c>
      <x:c r="Q59" s="14" t="n">
        <x:v>0</x:v>
      </x:c>
      <x:c r="R59" s="14" t="n">
        <x:v>1</x:v>
      </x:c>
      <x:c r="S59" s="14" t="n">
        <x:v>0</x:v>
      </x:c>
      <x:c r="T59" s="14" t="n">
        <x:v>0</x:v>
      </x:c>
      <x:c r="U59" s="14" t="n">
        <x:v>1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46128</x:v>
      </x:c>
    </x:row>
    <x:row r="60">
      <x:c r="A60" s="14" t="n">
        <x:v>63</x:v>
      </x:c>
      <x:c r="B60" s="14" t="str">
        <x:v>273.pdf</x:v>
      </x:c>
      <x:c r="C60" s="15" t="n">
        <x:v>45181</x:v>
      </x:c>
      <x:c r="D60" s="15" t="n">
        <x:v>46146</x:v>
      </x:c>
      <x:c r="E60" s="15" t="n">
        <x:v>46128</x:v>
      </x:c>
      <x:c r="F60" s="15" t="n">
        <x:v>46128</x:v>
      </x:c>
      <x:c r="G60" s="16" t="str">
        <x:v>BY CASH Dr BY CASH</x:v>
      </x:c>
      <x:c r="H60" s="14" t="str"/>
      <x:c r="I60" s="14" t="str">
        <x:v>Receipt</x:v>
      </x:c>
      <x:c r="J60" s="17" t="n">
        <x:v>0</x:v>
      </x:c>
      <x:c r="K60" s="17" t="n">
        <x:v>166000</x:v>
      </x:c>
      <x:c r="L60" s="17" t="n">
        <x:v>166000</x:v>
      </x:c>
      <x:c r="M60" s="17" t="n">
        <x:v>-8932021.65</x:v>
      </x:c>
      <x:c r="N60" s="14" t="str">
        <x:v>Cash; High Transaction; Recurring Transaction</x:v>
      </x:c>
      <x:c r="O60" s="14" t="str">
        <x:v>Yes</x:v>
      </x:c>
      <x:c r="P60" s="14" t="str">
        <x:v>BY CASH DR BY CASH</x:v>
      </x:c>
      <x:c r="Q60" s="14" t="n">
        <x:v>1</x:v>
      </x:c>
      <x:c r="R60" s="14" t="n">
        <x:v>1</x:v>
      </x:c>
      <x:c r="S60" s="14" t="n">
        <x:v>0</x:v>
      </x:c>
      <x:c r="T60" s="14" t="n">
        <x:v>0</x:v>
      </x:c>
      <x:c r="U60" s="14" t="n">
        <x:v>1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46128</x:v>
      </x:c>
    </x:row>
    <x:row r="61">
      <x:c r="A61" s="14" t="n">
        <x:v>64</x:v>
      </x:c>
      <x:c r="B61" s="14" t="str">
        <x:v>273.pdf</x:v>
      </x:c>
      <x:c r="C61" s="15" t="n">
        <x:v>45181</x:v>
      </x:c>
      <x:c r="D61" s="15" t="n">
        <x:v>46146</x:v>
      </x:c>
      <x:c r="E61" s="15" t="n">
        <x:v>46128</x:v>
      </x:c>
      <x:c r="F61" s="15" t="n">
        <x:v>46128</x:v>
      </x:c>
      <x:c r="G61" s="16" t="str">
        <x:v>DIGITA-MUMBAI/ Dr INT260330DEAL6270027</x:v>
      </x:c>
      <x:c r="H61" s="14" t="str"/>
      <x:c r="I61" s="14" t="str">
        <x:v>Payment</x:v>
      </x:c>
      <x:c r="J61" s="17" t="n">
        <x:v>3.6</x:v>
      </x:c>
      <x:c r="K61" s="17" t="n">
        <x:v>0</x:v>
      </x:c>
      <x:c r="L61" s="17" t="n">
        <x:v>3.6</x:v>
      </x:c>
      <x:c r="M61" s="17" t="n">
        <x:v>-8932025.25</x:v>
      </x:c>
      <x:c r="N61" s="14" t="str">
        <x:v>Recurring Transaction</x:v>
      </x:c>
      <x:c r="O61" s="14" t="str">
        <x:v>Yes</x:v>
      </x:c>
      <x:c r="P61" s="14" t="str">
        <x:v>DR INTDEAL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0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46128</x:v>
      </x:c>
    </x:row>
    <x:row r="62">
      <x:c r="A62" s="14" t="n">
        <x:v>66</x:v>
      </x:c>
      <x:c r="B62" s="14" t="str">
        <x:v>273.pdf</x:v>
      </x:c>
      <x:c r="C62" s="15" t="n">
        <x:v>45181</x:v>
      </x:c>
      <x:c r="D62" s="15" t="n">
        <x:v>46146</x:v>
      </x:c>
      <x:c r="E62" s="15" t="n">
        <x:v>46129</x:v>
      </x:c>
      <x:c r="F62" s="15" t="n">
        <x:v>46129</x:v>
      </x:c>
      <x:c r="G62" s="16" t="str">
        <x:v>EBANK:WIB/1504 Dr EBANK:WIB/1504347697/Edfs</x:v>
      </x:c>
      <x:c r="H62" s="14" t="str"/>
      <x:c r="I62" s="14" t="str">
        <x:v>Receipt</x:v>
      </x:c>
      <x:c r="J62" s="17" t="n">
        <x:v>0</x:v>
      </x:c>
      <x:c r="K62" s="17" t="n">
        <x:v>328514.76</x:v>
      </x:c>
      <x:c r="L62" s="17" t="n">
        <x:v>328514.76</x:v>
      </x:c>
      <x:c r="M62" s="17" t="n">
        <x:v>-8603630.61</x:v>
      </x:c>
      <x:c r="N62" s="14" t="str">
        <x:v>High Transaction; Recurring Transaction</x:v>
      </x:c>
      <x:c r="O62" s="14" t="str">
        <x:v>Yes</x:v>
      </x:c>
      <x:c r="P62" s="14" t="str">
        <x:v>EBANKWIB</x:v>
      </x:c>
      <x:c r="Q62" s="14" t="n">
        <x:v>0</x:v>
      </x:c>
      <x:c r="R62" s="14" t="n">
        <x:v>1</x:v>
      </x:c>
      <x:c r="S62" s="14" t="n">
        <x:v>0</x:v>
      </x:c>
      <x:c r="T62" s="14" t="n">
        <x:v>0</x:v>
      </x:c>
      <x:c r="U62" s="14" t="n">
        <x:v>1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46129</x:v>
      </x:c>
    </x:row>
    <x:row r="63">
      <x:c r="A63" s="14" t="n">
        <x:v>67</x:v>
      </x:c>
      <x:c r="B63" s="14" t="str">
        <x:v>273.pdf</x:v>
      </x:c>
      <x:c r="C63" s="15" t="n">
        <x:v>45181</x:v>
      </x:c>
      <x:c r="D63" s="15" t="n">
        <x:v>46146</x:v>
      </x:c>
      <x:c r="E63" s="15" t="n">
        <x:v>46129</x:v>
      </x:c>
      <x:c r="F63" s="15" t="n">
        <x:v>46129</x:v>
      </x:c>
      <x:c r="G63" s="16" t="str">
        <x:v>0000-MUMBAI/IN Dr INT260402DEAL6291634</x:v>
      </x:c>
      <x:c r="H63" s="14" t="str"/>
      <x:c r="I63" s="14" t="str">
        <x:v>Payment</x:v>
      </x:c>
      <x:c r="J63" s="17" t="n">
        <x:v>4857.17</x:v>
      </x:c>
      <x:c r="K63" s="17" t="n">
        <x:v>0</x:v>
      </x:c>
      <x:c r="L63" s="17" t="n">
        <x:v>4857.17</x:v>
      </x:c>
      <x:c r="M63" s="17" t="n">
        <x:v>-8608487.78</x:v>
      </x:c>
      <x:c r="N63" s="14" t="str">
        <x:v>Recurring Transaction</x:v>
      </x:c>
      <x:c r="O63" s="14" t="str">
        <x:v>Yes</x:v>
      </x:c>
      <x:c r="P63" s="14" t="str">
        <x:v>IN DR INTDEAL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0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46129</x:v>
      </x:c>
    </x:row>
    <x:row r="64">
      <x:c r="A64" s="14" t="n">
        <x:v>68</x:v>
      </x:c>
      <x:c r="B64" s="14" t="str">
        <x:v>273.pdf</x:v>
      </x:c>
      <x:c r="C64" s="15" t="n">
        <x:v>45181</x:v>
      </x:c>
      <x:c r="D64" s="15" t="n">
        <x:v>46146</x:v>
      </x:c>
      <x:c r="E64" s="15" t="n">
        <x:v>46129</x:v>
      </x:c>
      <x:c r="F64" s="15" t="n">
        <x:v>46129</x:v>
      </x:c>
      <x:c r="G64" s="16" t="str">
        <x:v>EBANK:WIB/1504 Dr EBANK:WIB/1504424773/Edfs</x:v>
      </x:c>
      <x:c r="H64" s="14" t="str"/>
      <x:c r="I64" s="14" t="str">
        <x:v>Receipt</x:v>
      </x:c>
      <x:c r="J64" s="17" t="n">
        <x:v>0</x:v>
      </x:c>
      <x:c r="K64" s="17" t="n">
        <x:v>150000</x:v>
      </x:c>
      <x:c r="L64" s="17" t="n">
        <x:v>150000</x:v>
      </x:c>
      <x:c r="M64" s="17" t="n">
        <x:v>-8458487.78</x:v>
      </x:c>
      <x:c r="N64" s="14" t="str">
        <x:v>High Transaction; Recurring Transaction</x:v>
      </x:c>
      <x:c r="O64" s="14" t="str">
        <x:v>Yes</x:v>
      </x:c>
      <x:c r="P64" s="14" t="str">
        <x:v>EBANKWIB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1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46129</x:v>
      </x:c>
    </x:row>
    <x:row r="65">
      <x:c r="A65" s="14" t="n">
        <x:v>69</x:v>
      </x:c>
      <x:c r="B65" s="14" t="str">
        <x:v>273.pdf</x:v>
      </x:c>
      <x:c r="C65" s="15" t="n">
        <x:v>45181</x:v>
      </x:c>
      <x:c r="D65" s="15" t="n">
        <x:v>46146</x:v>
      </x:c>
      <x:c r="E65" s="15" t="n">
        <x:v>46130</x:v>
      </x:c>
      <x:c r="F65" s="15" t="n">
        <x:v>46130</x:v>
      </x:c>
      <x:c r="G65" s="16" t="str">
        <x:v>0000-MUMBAI/IN Dr INT260404DEAL6301802</x:v>
      </x:c>
      <x:c r="H65" s="14" t="str"/>
      <x:c r="I65" s="14" t="str">
        <x:v>Payment</x:v>
      </x:c>
      <x:c r="J65" s="17" t="n">
        <x:v>6118.58</x:v>
      </x:c>
      <x:c r="K65" s="17" t="n">
        <x:v>0</x:v>
      </x:c>
      <x:c r="L65" s="17" t="n">
        <x:v>6118.58</x:v>
      </x:c>
      <x:c r="M65" s="17" t="n">
        <x:v>-8464606.36</x:v>
      </x:c>
      <x:c r="N65" s="14" t="str">
        <x:v>Recurring Transaction</x:v>
      </x:c>
      <x:c r="O65" s="14" t="str">
        <x:v>Yes</x:v>
      </x:c>
      <x:c r="P65" s="14" t="str">
        <x:v>IN DR INTDEAL</x:v>
      </x:c>
      <x:c r="Q65" s="14" t="n">
        <x:v>0</x:v>
      </x:c>
      <x:c r="R65" s="14" t="n">
        <x:v>1</x:v>
      </x:c>
      <x:c r="S65" s="14" t="n">
        <x:v>0</x:v>
      </x:c>
      <x:c r="T65" s="14" t="n">
        <x:v>0</x:v>
      </x:c>
      <x:c r="U65" s="14" t="n">
        <x:v>0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46130</x:v>
      </x:c>
    </x:row>
    <x:row r="66">
      <x:c r="A66" s="14" t="n">
        <x:v>70</x:v>
      </x:c>
      <x:c r="B66" s="14" t="str">
        <x:v>273.pdf</x:v>
      </x:c>
      <x:c r="C66" s="15" t="n">
        <x:v>45181</x:v>
      </x:c>
      <x:c r="D66" s="15" t="n">
        <x:v>46146</x:v>
      </x:c>
      <x:c r="E66" s="15" t="n">
        <x:v>46130</x:v>
      </x:c>
      <x:c r="F66" s="15" t="n">
        <x:v>46130</x:v>
      </x:c>
      <x:c r="G66" s="16" t="str">
        <x:v>BY CASH Dr BY CASH</x:v>
      </x:c>
      <x:c r="H66" s="14" t="str"/>
      <x:c r="I66" s="14" t="str">
        <x:v>Receipt</x:v>
      </x:c>
      <x:c r="J66" s="17" t="n">
        <x:v>0</x:v>
      </x:c>
      <x:c r="K66" s="17" t="n">
        <x:v>394500</x:v>
      </x:c>
      <x:c r="L66" s="17" t="n">
        <x:v>394500</x:v>
      </x:c>
      <x:c r="M66" s="17" t="n">
        <x:v>-8070106.36</x:v>
      </x:c>
      <x:c r="N66" s="14" t="str">
        <x:v>Cash; High Transaction; Recurring Transaction</x:v>
      </x:c>
      <x:c r="O66" s="14" t="str">
        <x:v>Yes</x:v>
      </x:c>
      <x:c r="P66" s="14" t="str">
        <x:v>BY CASH DR BY CASH</x:v>
      </x:c>
      <x:c r="Q66" s="14" t="n">
        <x:v>1</x:v>
      </x:c>
      <x:c r="R66" s="14" t="n">
        <x:v>1</x:v>
      </x:c>
      <x:c r="S66" s="14" t="n">
        <x:v>0</x:v>
      </x:c>
      <x:c r="T66" s="14" t="n">
        <x:v>0</x:v>
      </x:c>
      <x:c r="U66" s="14" t="n">
        <x:v>1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46130</x:v>
      </x:c>
    </x:row>
    <x:row r="67">
      <x:c r="A67" s="14" t="n">
        <x:v>72</x:v>
      </x:c>
      <x:c r="B67" s="14" t="str">
        <x:v>273.pdf</x:v>
      </x:c>
      <x:c r="C67" s="15" t="n">
        <x:v>45181</x:v>
      </x:c>
      <x:c r="D67" s="15" t="n">
        <x:v>46146</x:v>
      </x:c>
      <x:c r="E67" s="15" t="n">
        <x:v>46130</x:v>
      </x:c>
      <x:c r="F67" s="15" t="n">
        <x:v>46130</x:v>
      </x:c>
      <x:c r="G67" s="16" t="str">
        <x:v>EBANK:WIB/1504 Dr EBANK:WIB/1504650433/Edfs</x:v>
      </x:c>
      <x:c r="H67" s="14" t="str"/>
      <x:c r="I67" s="14" t="str">
        <x:v>Receipt</x:v>
      </x:c>
      <x:c r="J67" s="17" t="n">
        <x:v>0</x:v>
      </x:c>
      <x:c r="K67" s="17" t="n">
        <x:v>480667.28</x:v>
      </x:c>
      <x:c r="L67" s="17" t="n">
        <x:v>480667.28</x:v>
      </x:c>
      <x:c r="M67" s="17" t="n">
        <x:v>-7589532.77</x:v>
      </x:c>
      <x:c r="N67" s="14" t="str">
        <x:v>High Transaction; Recurring Transaction</x:v>
      </x:c>
      <x:c r="O67" s="14" t="str">
        <x:v>Yes</x:v>
      </x:c>
      <x:c r="P67" s="14" t="str">
        <x:v>EBANKWIB</x:v>
      </x:c>
      <x:c r="Q67" s="14" t="n">
        <x:v>0</x:v>
      </x:c>
      <x:c r="R67" s="14" t="n">
        <x:v>1</x:v>
      </x:c>
      <x:c r="S67" s="14" t="n">
        <x:v>0</x:v>
      </x:c>
      <x:c r="T67" s="14" t="n">
        <x:v>0</x:v>
      </x:c>
      <x:c r="U67" s="14" t="n">
        <x:v>1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46130</x:v>
      </x:c>
    </x:row>
    <x:row r="68">
      <x:c r="A68" s="14" t="n">
        <x:v>73</x:v>
      </x:c>
      <x:c r="B68" s="14" t="str">
        <x:v>273.pdf</x:v>
      </x:c>
      <x:c r="C68" s="15" t="n">
        <x:v>45181</x:v>
      </x:c>
      <x:c r="D68" s="15" t="n">
        <x:v>46146</x:v>
      </x:c>
      <x:c r="E68" s="15" t="n">
        <x:v>46131</x:v>
      </x:c>
      <x:c r="F68" s="15" t="n">
        <x:v>46131</x:v>
      </x:c>
      <x:c r="G68" s="16" t="str">
        <x:v>EBANK:WIB/1504 Dr EBANK:WIB/1504657570/Edfs</x:v>
      </x:c>
      <x:c r="H68" s="14" t="str"/>
      <x:c r="I68" s="14" t="str">
        <x:v>Receipt</x:v>
      </x:c>
      <x:c r="J68" s="17" t="n">
        <x:v>0</x:v>
      </x:c>
      <x:c r="K68" s="17" t="n">
        <x:v>259433</x:v>
      </x:c>
      <x:c r="L68" s="17" t="n">
        <x:v>259433</x:v>
      </x:c>
      <x:c r="M68" s="17" t="n">
        <x:v>-7330099.77</x:v>
      </x:c>
      <x:c r="N68" s="14" t="str">
        <x:v>High Transaction; Recurring Transaction</x:v>
      </x:c>
      <x:c r="O68" s="14" t="str">
        <x:v>Yes</x:v>
      </x:c>
      <x:c r="P68" s="14" t="str">
        <x:v>EBANKWIB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1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46131</x:v>
      </x:c>
    </x:row>
    <x:row r="69">
      <x:c r="A69" s="14" t="n">
        <x:v>74</x:v>
      </x:c>
      <x:c r="B69" s="14" t="str">
        <x:v>273.pdf</x:v>
      </x:c>
      <x:c r="C69" s="15" t="n">
        <x:v>45181</x:v>
      </x:c>
      <x:c r="D69" s="15" t="n">
        <x:v>46146</x:v>
      </x:c>
      <x:c r="E69" s="15" t="n">
        <x:v>46131</x:v>
      </x:c>
      <x:c r="F69" s="15" t="n">
        <x:v>46131</x:v>
      </x:c>
      <x:c r="G69" s="16" t="str">
        <x:v>RTGS-BARBR5202 Dr RTGS-BARBR52026041900792985-HINDUSTAN PETROLEUM CO</x:v>
      </x:c>
      <x:c r="H69" s="14" t="str"/>
      <x:c r="I69" s="14" t="str">
        <x:v>Payment</x:v>
      </x:c>
      <x:c r="J69" s="17" t="n">
        <x:v>1933014</x:v>
      </x:c>
      <x:c r="K69" s="17" t="n">
        <x:v>0</x:v>
      </x:c>
      <x:c r="L69" s="17" t="n">
        <x:v>1933014</x:v>
      </x:c>
      <x:c r="M69" s="17" t="n">
        <x:v>-9263113.77</x:v>
      </x:c>
      <x:c r="N69" s="14" t="str">
        <x:v>High Transaction; Recurring Transaction</x:v>
      </x:c>
      <x:c r="O69" s="14" t="str">
        <x:v>Yes</x:v>
      </x:c>
      <x:c r="P69" s="14" t="str">
        <x:v>BARBR DR RTGS</x:v>
      </x:c>
      <x:c r="Q69" s="14" t="n">
        <x:v>0</x:v>
      </x:c>
      <x:c r="R69" s="14" t="n">
        <x:v>1</x:v>
      </x:c>
      <x:c r="S69" s="14" t="n">
        <x:v>0</x:v>
      </x:c>
      <x:c r="T69" s="14" t="n">
        <x:v>0</x:v>
      </x:c>
      <x:c r="U69" s="14" t="n">
        <x:v>1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46131</x:v>
      </x:c>
    </x:row>
    <x:row r="70">
      <x:c r="A70" s="14" t="n">
        <x:v>76</x:v>
      </x:c>
      <x:c r="B70" s="14" t="str">
        <x:v>273.pdf</x:v>
      </x:c>
      <x:c r="C70" s="15" t="n">
        <x:v>45181</x:v>
      </x:c>
      <x:c r="D70" s="15" t="n">
        <x:v>46146</x:v>
      </x:c>
      <x:c r="E70" s="15" t="n">
        <x:v>46131</x:v>
      </x:c>
      <x:c r="F70" s="15" t="n">
        <x:v>46131</x:v>
      </x:c>
      <x:c r="G70" s="16" t="str">
        <x:v>EBANK:WIB/1504 Dr EBANK:WIB/1504707135/Edfs</x:v>
      </x:c>
      <x:c r="H70" s="14" t="str"/>
      <x:c r="I70" s="14" t="str">
        <x:v>Receipt</x:v>
      </x:c>
      <x:c r="J70" s="17" t="n">
        <x:v>0</x:v>
      </x:c>
      <x:c r="K70" s="17" t="n">
        <x:v>211310.53</x:v>
      </x:c>
      <x:c r="L70" s="17" t="n">
        <x:v>211310.53</x:v>
      </x:c>
      <x:c r="M70" s="17" t="n">
        <x:v>-9052129.23</x:v>
      </x:c>
      <x:c r="N70" s="14" t="str">
        <x:v>High Transaction; Recurring Transaction</x:v>
      </x:c>
      <x:c r="O70" s="14" t="str">
        <x:v>Yes</x:v>
      </x:c>
      <x:c r="P70" s="14" t="str">
        <x:v>EBANKWIB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1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46131</x:v>
      </x:c>
    </x:row>
    <x:row r="71">
      <x:c r="A71" s="14" t="n">
        <x:v>77</x:v>
      </x:c>
      <x:c r="B71" s="14" t="str">
        <x:v>273.pdf</x:v>
      </x:c>
      <x:c r="C71" s="15" t="n">
        <x:v>45181</x:v>
      </x:c>
      <x:c r="D71" s="15" t="n">
        <x:v>46146</x:v>
      </x:c>
      <x:c r="E71" s="15" t="n">
        <x:v>46132</x:v>
      </x:c>
      <x:c r="F71" s="15" t="n">
        <x:v>46132</x:v>
      </x:c>
      <x:c r="G71" s="16" t="str">
        <x:v>EBANK:WIB/1504 Dr EBANK:WIB/1504717278/Edfs</x:v>
      </x:c>
      <x:c r="H71" s="14" t="str"/>
      <x:c r="I71" s="14" t="str">
        <x:v>Receipt</x:v>
      </x:c>
      <x:c r="J71" s="17" t="n">
        <x:v>0</x:v>
      </x:c>
      <x:c r="K71" s="17" t="n">
        <x:v>260572.52</x:v>
      </x:c>
      <x:c r="L71" s="17" t="n">
        <x:v>260572.52</x:v>
      </x:c>
      <x:c r="M71" s="17" t="n">
        <x:v>-8791556.71</x:v>
      </x:c>
      <x:c r="N71" s="14" t="str">
        <x:v>High Transaction; Recurring Transaction</x:v>
      </x:c>
      <x:c r="O71" s="14" t="str">
        <x:v>Yes</x:v>
      </x:c>
      <x:c r="P71" s="14" t="str">
        <x:v>EBANKWIB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1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46132</x:v>
      </x:c>
    </x:row>
    <x:row r="72">
      <x:c r="A72" s="14" t="n">
        <x:v>79</x:v>
      </x:c>
      <x:c r="B72" s="14" t="str">
        <x:v>273.pdf</x:v>
      </x:c>
      <x:c r="C72" s="15" t="n">
        <x:v>45181</x:v>
      </x:c>
      <x:c r="D72" s="15" t="n">
        <x:v>46146</x:v>
      </x:c>
      <x:c r="E72" s="15" t="n">
        <x:v>46132</x:v>
      </x:c>
      <x:c r="F72" s="15" t="n">
        <x:v>46132</x:v>
      </x:c>
      <x:c r="G72" s="16" t="str">
        <x:v>BY CASH Dr BY CASH</x:v>
      </x:c>
      <x:c r="H72" s="14" t="str"/>
      <x:c r="I72" s="14" t="str">
        <x:v>Receipt</x:v>
      </x:c>
      <x:c r="J72" s="17" t="n">
        <x:v>0</x:v>
      </x:c>
      <x:c r="K72" s="17" t="n">
        <x:v>336500</x:v>
      </x:c>
      <x:c r="L72" s="17" t="n">
        <x:v>336500</x:v>
      </x:c>
      <x:c r="M72" s="17" t="n">
        <x:v>-8455271.86</x:v>
      </x:c>
      <x:c r="N72" s="14" t="str">
        <x:v>Cash; High Transaction; Recurring Transaction</x:v>
      </x:c>
      <x:c r="O72" s="14" t="str">
        <x:v>Yes</x:v>
      </x:c>
      <x:c r="P72" s="14" t="str">
        <x:v>BY CASH DR BY CASH</x:v>
      </x:c>
      <x:c r="Q72" s="14" t="n">
        <x:v>1</x:v>
      </x:c>
      <x:c r="R72" s="14" t="n">
        <x:v>1</x:v>
      </x:c>
      <x:c r="S72" s="14" t="n">
        <x:v>0</x:v>
      </x:c>
      <x:c r="T72" s="14" t="n">
        <x:v>0</x:v>
      </x:c>
      <x:c r="U72" s="14" t="n">
        <x:v>1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46132</x:v>
      </x:c>
    </x:row>
    <x:row r="73">
      <x:c r="A73" s="14" t="n">
        <x:v>80</x:v>
      </x:c>
      <x:c r="B73" s="14" t="str">
        <x:v>273.pdf</x:v>
      </x:c>
      <x:c r="C73" s="15" t="n">
        <x:v>45181</x:v>
      </x:c>
      <x:c r="D73" s="15" t="n">
        <x:v>46146</x:v>
      </x:c>
      <x:c r="E73" s="15" t="n">
        <x:v>46132</x:v>
      </x:c>
      <x:c r="F73" s="15" t="n">
        <x:v>46132</x:v>
      </x:c>
      <x:c r="G73" s="16" t="str">
        <x:v>EBANK:WIB/1504 Dr EBANK:WIB/1504868004/Edfs</x:v>
      </x:c>
      <x:c r="H73" s="14" t="str"/>
      <x:c r="I73" s="14" t="str">
        <x:v>Receipt</x:v>
      </x:c>
      <x:c r="J73" s="17" t="n">
        <x:v>0</x:v>
      </x:c>
      <x:c r="K73" s="17" t="n">
        <x:v>287084.78</x:v>
      </x:c>
      <x:c r="L73" s="17" t="n">
        <x:v>287084.78</x:v>
      </x:c>
      <x:c r="M73" s="17" t="n">
        <x:v>-8168187.08</x:v>
      </x:c>
      <x:c r="N73" s="14" t="str">
        <x:v>High Transaction; Recurring Transaction</x:v>
      </x:c>
      <x:c r="O73" s="14" t="str">
        <x:v>Yes</x:v>
      </x:c>
      <x:c r="P73" s="14" t="str">
        <x:v>EBANKWIB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1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46132</x:v>
      </x:c>
    </x:row>
    <x:row r="74">
      <x:c r="A74" s="14" t="n">
        <x:v>81</x:v>
      </x:c>
      <x:c r="B74" s="14" t="str">
        <x:v>273.pdf</x:v>
      </x:c>
      <x:c r="C74" s="15" t="n">
        <x:v>45181</x:v>
      </x:c>
      <x:c r="D74" s="15" t="n">
        <x:v>46146</x:v>
      </x:c>
      <x:c r="E74" s="15" t="n">
        <x:v>46133</x:v>
      </x:c>
      <x:c r="F74" s="15" t="n">
        <x:v>46133</x:v>
      </x:c>
      <x:c r="G74" s="16" t="str">
        <x:v>EBANK:WIB/1504 Dr EBANK:WIB/1504892301/Edfs</x:v>
      </x:c>
      <x:c r="H74" s="14" t="str"/>
      <x:c r="I74" s="14" t="str">
        <x:v>Receipt</x:v>
      </x:c>
      <x:c r="J74" s="17" t="n">
        <x:v>0</x:v>
      </x:c>
      <x:c r="K74" s="17" t="n">
        <x:v>333445.92</x:v>
      </x:c>
      <x:c r="L74" s="17" t="n">
        <x:v>333445.92</x:v>
      </x:c>
      <x:c r="M74" s="17" t="n">
        <x:v>-7834741.16</x:v>
      </x:c>
      <x:c r="N74" s="14" t="str">
        <x:v>High Transaction; Recurring Transaction</x:v>
      </x:c>
      <x:c r="O74" s="14" t="str">
        <x:v>Yes</x:v>
      </x:c>
      <x:c r="P74" s="14" t="str">
        <x:v>EBANKWIB</x:v>
      </x:c>
      <x:c r="Q74" s="14" t="n">
        <x:v>0</x:v>
      </x:c>
      <x:c r="R74" s="14" t="n">
        <x:v>1</x:v>
      </x:c>
      <x:c r="S74" s="14" t="n">
        <x:v>0</x:v>
      </x:c>
      <x:c r="T74" s="14" t="n">
        <x:v>0</x:v>
      </x:c>
      <x:c r="U74" s="14" t="n">
        <x:v>1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46133</x:v>
      </x:c>
    </x:row>
    <x:row r="75">
      <x:c r="A75" s="14" t="n">
        <x:v>83</x:v>
      </x:c>
      <x:c r="B75" s="14" t="str">
        <x:v>273.pdf</x:v>
      </x:c>
      <x:c r="C75" s="15" t="n">
        <x:v>45181</x:v>
      </x:c>
      <x:c r="D75" s="15" t="n">
        <x:v>46146</x:v>
      </x:c>
      <x:c r="E75" s="15" t="n">
        <x:v>46133</x:v>
      </x:c>
      <x:c r="F75" s="15" t="n">
        <x:v>46133</x:v>
      </x:c>
      <x:c r="G75" s="16" t="str">
        <x:v>RTGS-BARBR5202 Dr RTGS-BARBR52026042100866436-HINDUSTAN PETROLEUM CO</x:v>
      </x:c>
      <x:c r="H75" s="14" t="str"/>
      <x:c r="I75" s="14" t="str">
        <x:v>Payment</x:v>
      </x:c>
      <x:c r="J75" s="17" t="n">
        <x:v>2042157.6</x:v>
      </x:c>
      <x:c r="K75" s="17" t="n">
        <x:v>0</x:v>
      </x:c>
      <x:c r="L75" s="17" t="n">
        <x:v>2042157.6</x:v>
      </x:c>
      <x:c r="M75" s="17" t="n">
        <x:v>-9876905.64</x:v>
      </x:c>
      <x:c r="N75" s="14" t="str">
        <x:v>High Transaction; Recurring Transaction</x:v>
      </x:c>
      <x:c r="O75" s="14" t="str">
        <x:v>Yes</x:v>
      </x:c>
      <x:c r="P75" s="14" t="str">
        <x:v>BARBR DR RTGS</x:v>
      </x:c>
      <x:c r="Q75" s="14" t="n">
        <x:v>0</x:v>
      </x:c>
      <x:c r="R75" s="14" t="n">
        <x:v>1</x:v>
      </x:c>
      <x:c r="S75" s="14" t="n">
        <x:v>0</x:v>
      </x:c>
      <x:c r="T75" s="14" t="n">
        <x:v>0</x:v>
      </x:c>
      <x:c r="U75" s="14" t="n">
        <x:v>1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46133</x:v>
      </x:c>
    </x:row>
    <x:row r="76">
      <x:c r="A76" s="14" t="n">
        <x:v>84</x:v>
      </x:c>
      <x:c r="B76" s="14" t="str">
        <x:v>273.pdf</x:v>
      </x:c>
      <x:c r="C76" s="15" t="n">
        <x:v>45181</x:v>
      </x:c>
      <x:c r="D76" s="15" t="n">
        <x:v>46146</x:v>
      </x:c>
      <x:c r="E76" s="15" t="n">
        <x:v>46133</x:v>
      </x:c>
      <x:c r="F76" s="15" t="n">
        <x:v>46133</x:v>
      </x:c>
      <x:c r="G76" s="16" t="str">
        <x:v>BY CASH Dr BY CASH</x:v>
      </x:c>
      <x:c r="H76" s="14" t="str"/>
      <x:c r="I76" s="14" t="str">
        <x:v>Receipt</x:v>
      </x:c>
      <x:c r="J76" s="17" t="n">
        <x:v>0</x:v>
      </x:c>
      <x:c r="K76" s="17" t="n">
        <x:v>150500</x:v>
      </x:c>
      <x:c r="L76" s="17" t="n">
        <x:v>150500</x:v>
      </x:c>
      <x:c r="M76" s="17" t="n">
        <x:v>-9726405.64</x:v>
      </x:c>
      <x:c r="N76" s="14" t="str">
        <x:v>Cash; High Transaction; Recurring Transaction</x:v>
      </x:c>
      <x:c r="O76" s="14" t="str">
        <x:v>Yes</x:v>
      </x:c>
      <x:c r="P76" s="14" t="str">
        <x:v>BY CASH DR BY CASH</x:v>
      </x:c>
      <x:c r="Q76" s="14" t="n">
        <x:v>1</x:v>
      </x:c>
      <x:c r="R76" s="14" t="n">
        <x:v>1</x:v>
      </x:c>
      <x:c r="S76" s="14" t="n">
        <x:v>0</x:v>
      </x:c>
      <x:c r="T76" s="14" t="n">
        <x:v>0</x:v>
      </x:c>
      <x:c r="U76" s="14" t="n">
        <x:v>1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46133</x:v>
      </x:c>
    </x:row>
    <x:row r="77">
      <x:c r="A77" s="14" t="n">
        <x:v>85</x:v>
      </x:c>
      <x:c r="B77" s="14" t="str">
        <x:v>273.pdf</x:v>
      </x:c>
      <x:c r="C77" s="15" t="n">
        <x:v>45181</x:v>
      </x:c>
      <x:c r="D77" s="15" t="n">
        <x:v>46146</x:v>
      </x:c>
      <x:c r="E77" s="15" t="n">
        <x:v>46133</x:v>
      </x:c>
      <x:c r="F77" s="15" t="n">
        <x:v>46133</x:v>
      </x:c>
      <x:c r="G77" s="16" t="str">
        <x:v>EBANK:WIB/1505 Dr EBANK:WIB/1505043394/Edfs</x:v>
      </x:c>
      <x:c r="H77" s="14" t="str"/>
      <x:c r="I77" s="14" t="str">
        <x:v>Receipt</x:v>
      </x:c>
      <x:c r="J77" s="17" t="n">
        <x:v>0</x:v>
      </x:c>
      <x:c r="K77" s="17" t="n">
        <x:v>108963.7</x:v>
      </x:c>
      <x:c r="L77" s="17" t="n">
        <x:v>108963.7</x:v>
      </x:c>
      <x:c r="M77" s="17" t="n">
        <x:v>-9617441.94</x:v>
      </x:c>
      <x:c r="N77" s="14" t="str">
        <x:v>High Transaction; Recurring Transaction</x:v>
      </x:c>
      <x:c r="O77" s="14" t="str">
        <x:v>Yes</x:v>
      </x:c>
      <x:c r="P77" s="14" t="str">
        <x:v>EBANKWIB</x:v>
      </x:c>
      <x:c r="Q77" s="14" t="n">
        <x:v>0</x:v>
      </x:c>
      <x:c r="R77" s="14" t="n">
        <x:v>1</x:v>
      </x:c>
      <x:c r="S77" s="14" t="n">
        <x:v>0</x:v>
      </x:c>
      <x:c r="T77" s="14" t="n">
        <x:v>0</x:v>
      </x:c>
      <x:c r="U77" s="14" t="n">
        <x:v>1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46133</x:v>
      </x:c>
    </x:row>
    <x:row r="78">
      <x:c r="A78" s="14" t="n">
        <x:v>86</x:v>
      </x:c>
      <x:c r="B78" s="14" t="str">
        <x:v>273.pdf</x:v>
      </x:c>
      <x:c r="C78" s="15" t="n">
        <x:v>45181</x:v>
      </x:c>
      <x:c r="D78" s="15" t="n">
        <x:v>46146</x:v>
      </x:c>
      <x:c r="E78" s="15" t="n">
        <x:v>46134</x:v>
      </x:c>
      <x:c r="F78" s="15" t="n">
        <x:v>46134</x:v>
      </x:c>
      <x:c r="G78" s="16" t="str">
        <x:v>0000-MUMBAI/IN Dr INT260407DEAL6316451</x:v>
      </x:c>
      <x:c r="H78" s="14" t="str"/>
      <x:c r="I78" s="14" t="str">
        <x:v>Payment</x:v>
      </x:c>
      <x:c r="J78" s="17" t="n">
        <x:v>6617.14</x:v>
      </x:c>
      <x:c r="K78" s="17" t="n">
        <x:v>0</x:v>
      </x:c>
      <x:c r="L78" s="17" t="n">
        <x:v>6617.14</x:v>
      </x:c>
      <x:c r="M78" s="17" t="n">
        <x:v>-9624059.08</x:v>
      </x:c>
      <x:c r="N78" s="14" t="str">
        <x:v>Recurring Transaction</x:v>
      </x:c>
      <x:c r="O78" s="14" t="str">
        <x:v>Yes</x:v>
      </x:c>
      <x:c r="P78" s="14" t="str">
        <x:v>IN DR INTDEAL</x:v>
      </x:c>
      <x:c r="Q78" s="14" t="n">
        <x:v>0</x:v>
      </x:c>
      <x:c r="R78" s="14" t="n">
        <x:v>1</x:v>
      </x:c>
      <x:c r="S78" s="14" t="n">
        <x:v>0</x:v>
      </x:c>
      <x:c r="T78" s="14" t="n">
        <x:v>0</x:v>
      </x:c>
      <x:c r="U78" s="14" t="n">
        <x:v>0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46134</x:v>
      </x:c>
    </x:row>
    <x:row r="79">
      <x:c r="A79" s="14" t="n">
        <x:v>87</x:v>
      </x:c>
      <x:c r="B79" s="14" t="str">
        <x:v>273.pdf</x:v>
      </x:c>
      <x:c r="C79" s="15" t="n">
        <x:v>45181</x:v>
      </x:c>
      <x:c r="D79" s="15" t="n">
        <x:v>46146</x:v>
      </x:c>
      <x:c r="E79" s="15" t="n">
        <x:v>46134</x:v>
      </x:c>
      <x:c r="F79" s="15" t="n">
        <x:v>46134</x:v>
      </x:c>
      <x:c r="G79" s="16" t="str">
        <x:v>EBANK:WIB/1505 Dr EBANK:WIB/1505048812/Edfs</x:v>
      </x:c>
      <x:c r="H79" s="14" t="str"/>
      <x:c r="I79" s="14" t="str">
        <x:v>Receipt</x:v>
      </x:c>
      <x:c r="J79" s="17" t="n">
        <x:v>0</x:v>
      </x:c>
      <x:c r="K79" s="17" t="n">
        <x:v>259307.24</x:v>
      </x:c>
      <x:c r="L79" s="17" t="n">
        <x:v>259307.24</x:v>
      </x:c>
      <x:c r="M79" s="17" t="n">
        <x:v>-9364751.84</x:v>
      </x:c>
      <x:c r="N79" s="14" t="str">
        <x:v>High Transaction; Recurring Transaction</x:v>
      </x:c>
      <x:c r="O79" s="14" t="str">
        <x:v>Yes</x:v>
      </x:c>
      <x:c r="P79" s="14" t="str">
        <x:v>EBANKWIB</x:v>
      </x:c>
      <x:c r="Q79" s="14" t="n">
        <x:v>0</x:v>
      </x:c>
      <x:c r="R79" s="14" t="n">
        <x:v>1</x:v>
      </x:c>
      <x:c r="S79" s="14" t="n">
        <x:v>0</x:v>
      </x:c>
      <x:c r="T79" s="14" t="n">
        <x:v>0</x:v>
      </x:c>
      <x:c r="U79" s="14" t="n">
        <x:v>1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46134</x:v>
      </x:c>
    </x:row>
    <x:row r="80">
      <x:c r="A80" s="14" t="n">
        <x:v>88</x:v>
      </x:c>
      <x:c r="B80" s="14" t="str">
        <x:v>273.pdf</x:v>
      </x:c>
      <x:c r="C80" s="15" t="n">
        <x:v>45181</x:v>
      </x:c>
      <x:c r="D80" s="15" t="n">
        <x:v>46146</x:v>
      </x:c>
      <x:c r="E80" s="15" t="n">
        <x:v>46134</x:v>
      </x:c>
      <x:c r="F80" s="15" t="n">
        <x:v>46134</x:v>
      </x:c>
      <x:c r="G80" s="16" t="str">
        <x:v>0000-MUMBAI/IN Dr INT260407DEAL6316451</x:v>
      </x:c>
      <x:c r="H80" s="14" t="str"/>
      <x:c r="I80" s="14" t="str">
        <x:v>Receipt</x:v>
      </x:c>
      <x:c r="J80" s="17" t="n">
        <x:v>0</x:v>
      </x:c>
      <x:c r="K80" s="17" t="n">
        <x:v>25.67</x:v>
      </x:c>
      <x:c r="L80" s="17" t="n">
        <x:v>25.67</x:v>
      </x:c>
      <x:c r="M80" s="17" t="n">
        <x:v>-9364726.17</x:v>
      </x:c>
      <x:c r="N80" s="14" t="str">
        <x:v>Recurring Transaction</x:v>
      </x:c>
      <x:c r="O80" s="14" t="str">
        <x:v>Yes</x:v>
      </x:c>
      <x:c r="P80" s="14" t="str">
        <x:v>IN DR INTDEAL</x:v>
      </x:c>
      <x:c r="Q80" s="14" t="n">
        <x:v>0</x:v>
      </x:c>
      <x:c r="R80" s="14" t="n">
        <x:v>1</x:v>
      </x:c>
      <x:c r="S80" s="14" t="n">
        <x:v>0</x:v>
      </x:c>
      <x:c r="T80" s="14" t="n">
        <x:v>0</x:v>
      </x:c>
      <x:c r="U80" s="14" t="n">
        <x:v>0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46134</x:v>
      </x:c>
    </x:row>
    <x:row r="81">
      <x:c r="A81" s="14" t="n">
        <x:v>89</x:v>
      </x:c>
      <x:c r="B81" s="14" t="str">
        <x:v>273.pdf</x:v>
      </x:c>
      <x:c r="C81" s="15" t="n">
        <x:v>45181</x:v>
      </x:c>
      <x:c r="D81" s="15" t="n">
        <x:v>46146</x:v>
      </x:c>
      <x:c r="E81" s="15" t="n">
        <x:v>46134</x:v>
      </x:c>
      <x:c r="F81" s="15" t="n">
        <x:v>46134</x:v>
      </x:c>
      <x:c r="G81" s="16" t="str">
        <x:v>BY CASH Dr BY CASH</x:v>
      </x:c>
      <x:c r="H81" s="14" t="str"/>
      <x:c r="I81" s="14" t="str">
        <x:v>Receipt</x:v>
      </x:c>
      <x:c r="J81" s="17" t="n">
        <x:v>0</x:v>
      </x:c>
      <x:c r="K81" s="17" t="n">
        <x:v>609000</x:v>
      </x:c>
      <x:c r="L81" s="17" t="n">
        <x:v>609000</x:v>
      </x:c>
      <x:c r="M81" s="17" t="n">
        <x:v>-8755726.17</x:v>
      </x:c>
      <x:c r="N81" s="14" t="str">
        <x:v>Cash; High Transaction; Recurring Transaction</x:v>
      </x:c>
      <x:c r="O81" s="14" t="str">
        <x:v>Yes</x:v>
      </x:c>
      <x:c r="P81" s="14" t="str">
        <x:v>BY CASH DR BY CASH</x:v>
      </x:c>
      <x:c r="Q81" s="14" t="n">
        <x:v>1</x:v>
      </x:c>
      <x:c r="R81" s="14" t="n">
        <x:v>1</x:v>
      </x:c>
      <x:c r="S81" s="14" t="n">
        <x:v>0</x:v>
      </x:c>
      <x:c r="T81" s="14" t="n">
        <x:v>0</x:v>
      </x:c>
      <x:c r="U81" s="14" t="n">
        <x:v>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46134</x:v>
      </x:c>
    </x:row>
    <x:row r="82">
      <x:c r="A82" s="14" t="n">
        <x:v>90</x:v>
      </x:c>
      <x:c r="B82" s="14" t="str">
        <x:v>273.pdf</x:v>
      </x:c>
      <x:c r="C82" s="15" t="n">
        <x:v>45181</x:v>
      </x:c>
      <x:c r="D82" s="15" t="n">
        <x:v>46146</x:v>
      </x:c>
      <x:c r="E82" s="15" t="n">
        <x:v>46134</x:v>
      </x:c>
      <x:c r="F82" s="15" t="n">
        <x:v>46134</x:v>
      </x:c>
      <x:c r="G82" s="16" t="str">
        <x:v>EBANK:WIB/1505 Dr EBANK:WIB/1505171210/Edfs</x:v>
      </x:c>
      <x:c r="H82" s="14" t="str"/>
      <x:c r="I82" s="14" t="str">
        <x:v>Receipt</x:v>
      </x:c>
      <x:c r="J82" s="17" t="n">
        <x:v>0</x:v>
      </x:c>
      <x:c r="K82" s="17" t="n">
        <x:v>356256.8</x:v>
      </x:c>
      <x:c r="L82" s="17" t="n">
        <x:v>356256.8</x:v>
      </x:c>
      <x:c r="M82" s="17" t="n">
        <x:v>-8399469.37</x:v>
      </x:c>
      <x:c r="N82" s="14" t="str">
        <x:v>High Transaction; Recurring Transaction</x:v>
      </x:c>
      <x:c r="O82" s="14" t="str">
        <x:v>Yes</x:v>
      </x:c>
      <x:c r="P82" s="14" t="str">
        <x:v>EBANKWIB</x:v>
      </x:c>
      <x:c r="Q82" s="14" t="n">
        <x:v>0</x:v>
      </x:c>
      <x:c r="R82" s="14" t="n">
        <x:v>1</x:v>
      </x:c>
      <x:c r="S82" s="14" t="n">
        <x:v>0</x:v>
      </x:c>
      <x:c r="T82" s="14" t="n">
        <x:v>0</x:v>
      </x:c>
      <x:c r="U82" s="14" t="n">
        <x:v>1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46134</x:v>
      </x:c>
    </x:row>
    <x:row r="83">
      <x:c r="A83" s="14" t="n">
        <x:v>91</x:v>
      </x:c>
      <x:c r="B83" s="14" t="str">
        <x:v>273.pdf</x:v>
      </x:c>
      <x:c r="C83" s="15" t="n">
        <x:v>45181</x:v>
      </x:c>
      <x:c r="D83" s="15" t="n">
        <x:v>46146</x:v>
      </x:c>
      <x:c r="E83" s="15" t="n">
        <x:v>46134</x:v>
      </x:c>
      <x:c r="F83" s="15" t="n">
        <x:v>46134</x:v>
      </x:c>
      <x:c r="G83" s="16" t="str">
        <x:v>RTGS-BARBR5202 Dr RTGS-BARBR52026042200989175-HINDUSTAN PETROLEUM CO</x:v>
      </x:c>
      <x:c r="H83" s="14" t="str"/>
      <x:c r="I83" s="14" t="str">
        <x:v>Payment</x:v>
      </x:c>
      <x:c r="J83" s="17" t="n">
        <x:v>1600530</x:v>
      </x:c>
      <x:c r="K83" s="17" t="n">
        <x:v>0</x:v>
      </x:c>
      <x:c r="L83" s="17" t="n">
        <x:v>1600530</x:v>
      </x:c>
      <x:c r="M83" s="17" t="n">
        <x:v>-9999999.37</x:v>
      </x:c>
      <x:c r="N83" s="14" t="str">
        <x:v>High Transaction; Recurring Transaction</x:v>
      </x:c>
      <x:c r="O83" s="14" t="str">
        <x:v>Yes</x:v>
      </x:c>
      <x:c r="P83" s="14" t="str">
        <x:v>BARBR DR RTGS</x:v>
      </x:c>
      <x:c r="Q83" s="14" t="n">
        <x:v>0</x:v>
      </x:c>
      <x:c r="R83" s="14" t="n">
        <x:v>1</x:v>
      </x:c>
      <x:c r="S83" s="14" t="n">
        <x:v>0</x:v>
      </x:c>
      <x:c r="T83" s="14" t="n">
        <x:v>0</x:v>
      </x:c>
      <x:c r="U83" s="14" t="n">
        <x:v>1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46134</x:v>
      </x:c>
    </x:row>
    <x:row r="84">
      <x:c r="A84" s="14" t="n">
        <x:v>92</x:v>
      </x:c>
      <x:c r="B84" s="14" t="str">
        <x:v>273.pdf</x:v>
      </x:c>
      <x:c r="C84" s="15" t="n">
        <x:v>45181</x:v>
      </x:c>
      <x:c r="D84" s="15" t="n">
        <x:v>46146</x:v>
      </x:c>
      <x:c r="E84" s="15" t="n">
        <x:v>46134</x:v>
      </x:c>
      <x:c r="F84" s="15" t="n">
        <x:v>46134</x:v>
      </x:c>
      <x:c r="G84" s="16" t="str">
        <x:v>EBANK:WIB/1505 Dr EBANK:WIB/1505187993/Edfs</x:v>
      </x:c>
      <x:c r="H84" s="14" t="str"/>
      <x:c r="I84" s="14" t="str">
        <x:v>Receipt</x:v>
      </x:c>
      <x:c r="J84" s="17" t="n">
        <x:v>0</x:v>
      </x:c>
      <x:c r="K84" s="17" t="n">
        <x:v>50000</x:v>
      </x:c>
      <x:c r="L84" s="17" t="n">
        <x:v>50000</x:v>
      </x:c>
      <x:c r="M84" s="17" t="n">
        <x:v>-9949999.37</x:v>
      </x:c>
      <x:c r="N84" s="14" t="str">
        <x:v>Recurring Transaction</x:v>
      </x:c>
      <x:c r="O84" s="14" t="str">
        <x:v>Yes</x:v>
      </x:c>
      <x:c r="P84" s="14" t="str">
        <x:v>EBANKWIB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0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46134</x:v>
      </x:c>
    </x:row>
    <x:row r="85">
      <x:c r="A85" s="14" t="n">
        <x:v>93</x:v>
      </x:c>
      <x:c r="B85" s="14" t="str">
        <x:v>273.pdf</x:v>
      </x:c>
      <x:c r="C85" s="15" t="n">
        <x:v>45181</x:v>
      </x:c>
      <x:c r="D85" s="15" t="n">
        <x:v>46146</x:v>
      </x:c>
      <x:c r="E85" s="15" t="n">
        <x:v>46135</x:v>
      </x:c>
      <x:c r="F85" s="15" t="n">
        <x:v>46135</x:v>
      </x:c>
      <x:c r="G85" s="16" t="str">
        <x:v>EBANK:WIB/1505 Dr EBANK:WIB/1505193929/Edfs</x:v>
      </x:c>
      <x:c r="H85" s="14" t="str"/>
      <x:c r="I85" s="14" t="str">
        <x:v>Receipt</x:v>
      </x:c>
      <x:c r="J85" s="17" t="n">
        <x:v>0</x:v>
      </x:c>
      <x:c r="K85" s="17" t="n">
        <x:v>224683</x:v>
      </x:c>
      <x:c r="L85" s="17" t="n">
        <x:v>224683</x:v>
      </x:c>
      <x:c r="M85" s="17" t="n">
        <x:v>-9725316.37</x:v>
      </x:c>
      <x:c r="N85" s="14" t="str">
        <x:v>High Transaction; Recurring Transaction</x:v>
      </x:c>
      <x:c r="O85" s="14" t="str">
        <x:v>Yes</x:v>
      </x:c>
      <x:c r="P85" s="14" t="str">
        <x:v>EBANKWIB</x:v>
      </x:c>
      <x:c r="Q85" s="14" t="n">
        <x:v>0</x:v>
      </x:c>
      <x:c r="R85" s="14" t="n">
        <x:v>1</x:v>
      </x:c>
      <x:c r="S85" s="14" t="n">
        <x:v>0</x:v>
      </x:c>
      <x:c r="T85" s="14" t="n">
        <x:v>0</x:v>
      </x:c>
      <x:c r="U85" s="14" t="n">
        <x:v>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46135</x:v>
      </x:c>
    </x:row>
    <x:row r="86">
      <x:c r="A86" s="14" t="n">
        <x:v>94</x:v>
      </x:c>
      <x:c r="B86" s="14" t="str">
        <x:v>273.pdf</x:v>
      </x:c>
      <x:c r="C86" s="15" t="n">
        <x:v>45181</x:v>
      </x:c>
      <x:c r="D86" s="15" t="n">
        <x:v>46146</x:v>
      </x:c>
      <x:c r="E86" s="15" t="n">
        <x:v>46135</x:v>
      </x:c>
      <x:c r="F86" s="15" t="n">
        <x:v>46135</x:v>
      </x:c>
      <x:c r="G86" s="16" t="str">
        <x:v>EBANK:WIB/1505 Dr EBANK:WIB/1505194002/Edfs</x:v>
      </x:c>
      <x:c r="H86" s="14" t="str"/>
      <x:c r="I86" s="14" t="str">
        <x:v>Receipt</x:v>
      </x:c>
      <x:c r="J86" s="17" t="n">
        <x:v>0</x:v>
      </x:c>
      <x:c r="K86" s="17" t="n">
        <x:v>82795.52</x:v>
      </x:c>
      <x:c r="L86" s="17" t="n">
        <x:v>82795.52</x:v>
      </x:c>
      <x:c r="M86" s="17" t="n">
        <x:v>-9642520.85</x:v>
      </x:c>
      <x:c r="N86" s="14" t="str">
        <x:v>Recurring Transaction</x:v>
      </x:c>
      <x:c r="O86" s="14" t="str">
        <x:v>Yes</x:v>
      </x:c>
      <x:c r="P86" s="14" t="str">
        <x:v>EBANKWIB</x:v>
      </x:c>
      <x:c r="Q86" s="14" t="n">
        <x:v>0</x:v>
      </x:c>
      <x:c r="R86" s="14" t="n">
        <x:v>1</x:v>
      </x:c>
      <x:c r="S86" s="14" t="n">
        <x:v>0</x:v>
      </x:c>
      <x:c r="T86" s="14" t="n">
        <x:v>0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46135</x:v>
      </x:c>
    </x:row>
    <x:row r="87">
      <x:c r="A87" s="14" t="n">
        <x:v>96</x:v>
      </x:c>
      <x:c r="B87" s="14" t="str">
        <x:v>273.pdf</x:v>
      </x:c>
      <x:c r="C87" s="15" t="n">
        <x:v>45181</x:v>
      </x:c>
      <x:c r="D87" s="15" t="n">
        <x:v>46146</x:v>
      </x:c>
      <x:c r="E87" s="15" t="n">
        <x:v>46135</x:v>
      </x:c>
      <x:c r="F87" s="15" t="n">
        <x:v>46135</x:v>
      </x:c>
      <x:c r="G87" s="16" t="str">
        <x:v>EBANK:WIB/1505 Dr EBANK:WIB/1505205959/Edfs</x:v>
      </x:c>
      <x:c r="H87" s="14" t="str"/>
      <x:c r="I87" s="14" t="str">
        <x:v>Receipt</x:v>
      </x:c>
      <x:c r="J87" s="17" t="n">
        <x:v>0</x:v>
      </x:c>
      <x:c r="K87" s="17" t="n">
        <x:v>269000</x:v>
      </x:c>
      <x:c r="L87" s="17" t="n">
        <x:v>269000</x:v>
      </x:c>
      <x:c r="M87" s="17" t="n">
        <x:v>-9373537.56</x:v>
      </x:c>
      <x:c r="N87" s="14" t="str">
        <x:v>High Transaction; Recurring Transaction</x:v>
      </x:c>
      <x:c r="O87" s="14" t="str">
        <x:v>Yes</x:v>
      </x:c>
      <x:c r="P87" s="14" t="str">
        <x:v>EBANKWIB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46135</x:v>
      </x:c>
    </x:row>
    <x:row r="88">
      <x:c r="A88" s="14" t="n">
        <x:v>97</x:v>
      </x:c>
      <x:c r="B88" s="14" t="str">
        <x:v>273.pdf</x:v>
      </x:c>
      <x:c r="C88" s="15" t="n">
        <x:v>45181</x:v>
      </x:c>
      <x:c r="D88" s="15" t="n">
        <x:v>46146</x:v>
      </x:c>
      <x:c r="E88" s="15" t="n">
        <x:v>46135</x:v>
      </x:c>
      <x:c r="F88" s="15" t="n">
        <x:v>46135</x:v>
      </x:c>
      <x:c r="G88" s="16" t="str">
        <x:v>RTGS-BARBR5202 Dr RTGS-BARBR52026042300993365-HINDUSTAN PETROLEUM CO</x:v>
      </x:c>
      <x:c r="H88" s="14" t="str"/>
      <x:c r="I88" s="14" t="str">
        <x:v>Payment</x:v>
      </x:c>
      <x:c r="J88" s="17" t="n">
        <x:v>428234.82</x:v>
      </x:c>
      <x:c r="K88" s="17" t="n">
        <x:v>0</x:v>
      </x:c>
      <x:c r="L88" s="17" t="n">
        <x:v>428234.82</x:v>
      </x:c>
      <x:c r="M88" s="17" t="n">
        <x:v>-9801772.38</x:v>
      </x:c>
      <x:c r="N88" s="14" t="str">
        <x:v>High Transaction; Recurring Transaction</x:v>
      </x:c>
      <x:c r="O88" s="14" t="str">
        <x:v>Yes</x:v>
      </x:c>
      <x:c r="P88" s="14" t="str">
        <x:v>BARBR DR RTGS</x:v>
      </x:c>
      <x:c r="Q88" s="14" t="n">
        <x:v>0</x:v>
      </x:c>
      <x:c r="R88" s="14" t="n">
        <x:v>1</x:v>
      </x:c>
      <x:c r="S88" s="14" t="n">
        <x:v>0</x:v>
      </x:c>
      <x:c r="T88" s="14" t="n">
        <x:v>0</x:v>
      </x:c>
      <x:c r="U88" s="14" t="n">
        <x:v>1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46135</x:v>
      </x:c>
    </x:row>
    <x:row r="89">
      <x:c r="A89" s="14" t="n">
        <x:v>98</x:v>
      </x:c>
      <x:c r="B89" s="14" t="str">
        <x:v>273.pdf</x:v>
      </x:c>
      <x:c r="C89" s="15" t="n">
        <x:v>45181</x:v>
      </x:c>
      <x:c r="D89" s="15" t="n">
        <x:v>46146</x:v>
      </x:c>
      <x:c r="E89" s="15" t="n">
        <x:v>46135</x:v>
      </x:c>
      <x:c r="F89" s="15" t="n">
        <x:v>46135</x:v>
      </x:c>
      <x:c r="G89" s="16" t="str">
        <x:v>BY CASH Dr BY CASH</x:v>
      </x:c>
      <x:c r="H89" s="14" t="str"/>
      <x:c r="I89" s="14" t="str">
        <x:v>Receipt</x:v>
      </x:c>
      <x:c r="J89" s="17" t="n">
        <x:v>0</x:v>
      </x:c>
      <x:c r="K89" s="17" t="n">
        <x:v>253500</x:v>
      </x:c>
      <x:c r="L89" s="17" t="n">
        <x:v>253500</x:v>
      </x:c>
      <x:c r="M89" s="17" t="n">
        <x:v>-9548272.38</x:v>
      </x:c>
      <x:c r="N89" s="14" t="str">
        <x:v>Cash; High Transaction; Recurring Transaction</x:v>
      </x:c>
      <x:c r="O89" s="14" t="str">
        <x:v>Yes</x:v>
      </x:c>
      <x:c r="P89" s="14" t="str">
        <x:v>BY CASH DR BY CASH</x:v>
      </x:c>
      <x:c r="Q89" s="14" t="n">
        <x:v>1</x:v>
      </x:c>
      <x:c r="R89" s="14" t="n">
        <x:v>1</x:v>
      </x:c>
      <x:c r="S89" s="14" t="n">
        <x:v>0</x:v>
      </x:c>
      <x:c r="T89" s="14" t="n">
        <x:v>0</x:v>
      </x:c>
      <x:c r="U89" s="14" t="n">
        <x:v>1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46135</x:v>
      </x:c>
    </x:row>
    <x:row r="90">
      <x:c r="A90" s="14" t="n">
        <x:v>99</x:v>
      </x:c>
      <x:c r="B90" s="14" t="str">
        <x:v>273.pdf</x:v>
      </x:c>
      <x:c r="C90" s="15" t="n">
        <x:v>45181</x:v>
      </x:c>
      <x:c r="D90" s="15" t="n">
        <x:v>46146</x:v>
      </x:c>
      <x:c r="E90" s="15" t="n">
        <x:v>46135</x:v>
      </x:c>
      <x:c r="F90" s="15" t="n">
        <x:v>46135</x:v>
      </x:c>
      <x:c r="G90" s="16" t="str">
        <x:v>RTGS-BARBR5202 Dr RTGS-BARBR52026042300772587-HINDUSTAN PETROLEUM CO</x:v>
      </x:c>
      <x:c r="H90" s="14" t="str"/>
      <x:c r="I90" s="14" t="str">
        <x:v>Payment</x:v>
      </x:c>
      <x:c r="J90" s="17" t="n">
        <x:v>451000</x:v>
      </x:c>
      <x:c r="K90" s="17" t="n">
        <x:v>0</x:v>
      </x:c>
      <x:c r="L90" s="17" t="n">
        <x:v>451000</x:v>
      </x:c>
      <x:c r="M90" s="17" t="n">
        <x:v>-9999272.38</x:v>
      </x:c>
      <x:c r="N90" s="14" t="str">
        <x:v>High Transaction; Recurring Transaction</x:v>
      </x:c>
      <x:c r="O90" s="14" t="str">
        <x:v>Yes</x:v>
      </x:c>
      <x:c r="P90" s="14" t="str">
        <x:v>BARBR DR RTGS</x:v>
      </x:c>
      <x:c r="Q90" s="14" t="n">
        <x:v>0</x:v>
      </x:c>
      <x:c r="R90" s="14" t="n">
        <x:v>1</x:v>
      </x:c>
      <x:c r="S90" s="14" t="n">
        <x:v>0</x:v>
      </x:c>
      <x:c r="T90" s="14" t="n">
        <x:v>0</x:v>
      </x:c>
      <x:c r="U90" s="14" t="n">
        <x:v>1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46135</x:v>
      </x:c>
    </x:row>
    <x:row r="91">
      <x:c r="A91" s="14" t="n">
        <x:v>100</x:v>
      </x:c>
      <x:c r="B91" s="14" t="str">
        <x:v>273.pdf</x:v>
      </x:c>
      <x:c r="C91" s="15" t="n">
        <x:v>45181</x:v>
      </x:c>
      <x:c r="D91" s="15" t="n">
        <x:v>46146</x:v>
      </x:c>
      <x:c r="E91" s="15" t="n">
        <x:v>46135</x:v>
      </x:c>
      <x:c r="F91" s="15" t="n">
        <x:v>46135</x:v>
      </x:c>
      <x:c r="G91" s="16" t="str">
        <x:v>EBANK:WIB/1505 Dr EBANK:WIB/1505315722/Edfs</x:v>
      </x:c>
      <x:c r="H91" s="14" t="str"/>
      <x:c r="I91" s="14" t="str">
        <x:v>Receipt</x:v>
      </x:c>
      <x:c r="J91" s="17" t="n">
        <x:v>0</x:v>
      </x:c>
      <x:c r="K91" s="17" t="n">
        <x:v>222635.35</x:v>
      </x:c>
      <x:c r="L91" s="17" t="n">
        <x:v>222635.35</x:v>
      </x:c>
      <x:c r="M91" s="17" t="n">
        <x:v>-9776637.03</x:v>
      </x:c>
      <x:c r="N91" s="14" t="str">
        <x:v>High Transaction; Recurring Transaction</x:v>
      </x:c>
      <x:c r="O91" s="14" t="str">
        <x:v>Yes</x:v>
      </x:c>
      <x:c r="P91" s="14" t="str">
        <x:v>EBANKWIB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1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46135</x:v>
      </x:c>
    </x:row>
    <x:row r="92">
      <x:c r="A92" s="14" t="n">
        <x:v>101</x:v>
      </x:c>
      <x:c r="B92" s="14" t="str">
        <x:v>273.pdf</x:v>
      </x:c>
      <x:c r="C92" s="15" t="n">
        <x:v>45181</x:v>
      </x:c>
      <x:c r="D92" s="15" t="n">
        <x:v>46146</x:v>
      </x:c>
      <x:c r="E92" s="15" t="n">
        <x:v>46136</x:v>
      </x:c>
      <x:c r="F92" s="15" t="n">
        <x:v>46136</x:v>
      </x:c>
      <x:c r="G92" s="16" t="str">
        <x:v>EBANK:WIB/1505 Dr EBANK:WIB/1505337172/Edfs</x:v>
      </x:c>
      <x:c r="H92" s="14" t="str"/>
      <x:c r="I92" s="14" t="str">
        <x:v>Receipt</x:v>
      </x:c>
      <x:c r="J92" s="17" t="n">
        <x:v>0</x:v>
      </x:c>
      <x:c r="K92" s="17" t="n">
        <x:v>400403</x:v>
      </x:c>
      <x:c r="L92" s="17" t="n">
        <x:v>400403</x:v>
      </x:c>
      <x:c r="M92" s="17" t="n">
        <x:v>-9376234.03</x:v>
      </x:c>
      <x:c r="N92" s="14" t="str">
        <x:v>High Transaction; Recurring Transaction</x:v>
      </x:c>
      <x:c r="O92" s="14" t="str">
        <x:v>Yes</x:v>
      </x:c>
      <x:c r="P92" s="14" t="str">
        <x:v>EBANKWIB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1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46136</x:v>
      </x:c>
    </x:row>
    <x:row r="93">
      <x:c r="A93" s="14" t="n">
        <x:v>102</x:v>
      </x:c>
      <x:c r="B93" s="14" t="str">
        <x:v>273.pdf</x:v>
      </x:c>
      <x:c r="C93" s="15" t="n">
        <x:v>45181</x:v>
      </x:c>
      <x:c r="D93" s="15" t="n">
        <x:v>46146</x:v>
      </x:c>
      <x:c r="E93" s="15" t="n">
        <x:v>46136</x:v>
      </x:c>
      <x:c r="F93" s="15" t="n">
        <x:v>46136</x:v>
      </x:c>
      <x:c r="G93" s="16" t="str">
        <x:v>BY CASH Dr BY CASH</x:v>
      </x:c>
      <x:c r="H93" s="14" t="str"/>
      <x:c r="I93" s="14" t="str">
        <x:v>Receipt</x:v>
      </x:c>
      <x:c r="J93" s="17" t="n">
        <x:v>0</x:v>
      </x:c>
      <x:c r="K93" s="17" t="n">
        <x:v>281000</x:v>
      </x:c>
      <x:c r="L93" s="17" t="n">
        <x:v>281000</x:v>
      </x:c>
      <x:c r="M93" s="17" t="n">
        <x:v>-9095234.03</x:v>
      </x:c>
      <x:c r="N93" s="14" t="str">
        <x:v>Cash; High Transaction; Recurring Transaction</x:v>
      </x:c>
      <x:c r="O93" s="14" t="str">
        <x:v>Yes</x:v>
      </x:c>
      <x:c r="P93" s="14" t="str">
        <x:v>BY CASH DR BY CASH</x:v>
      </x:c>
      <x:c r="Q93" s="14" t="n">
        <x:v>1</x:v>
      </x:c>
      <x:c r="R93" s="14" t="n">
        <x:v>1</x:v>
      </x:c>
      <x:c r="S93" s="14" t="n">
        <x:v>0</x:v>
      </x:c>
      <x:c r="T93" s="14" t="n">
        <x:v>0</x:v>
      </x:c>
      <x:c r="U93" s="14" t="n">
        <x:v>1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46136</x:v>
      </x:c>
    </x:row>
    <x:row r="94">
      <x:c r="A94" s="14" t="n">
        <x:v>103</x:v>
      </x:c>
      <x:c r="B94" s="14" t="str">
        <x:v>273.pdf</x:v>
      </x:c>
      <x:c r="C94" s="15" t="n">
        <x:v>45181</x:v>
      </x:c>
      <x:c r="D94" s="15" t="n">
        <x:v>46146</x:v>
      </x:c>
      <x:c r="E94" s="15" t="n">
        <x:v>46136</x:v>
      </x:c>
      <x:c r="F94" s="15" t="n">
        <x:v>46136</x:v>
      </x:c>
      <x:c r="G94" s="16" t="str">
        <x:v>VIRARW-THANE/B Dr BY CASH</x:v>
      </x:c>
      <x:c r="H94" s="14" t="str"/>
      <x:c r="I94" s="14" t="str">
        <x:v>Receipt</x:v>
      </x:c>
      <x:c r="J94" s="17" t="n">
        <x:v>0</x:v>
      </x:c>
      <x:c r="K94" s="17" t="n">
        <x:v>250000</x:v>
      </x:c>
      <x:c r="L94" s="17" t="n">
        <x:v>250000</x:v>
      </x:c>
      <x:c r="M94" s="17" t="n">
        <x:v>-8845234.03</x:v>
      </x:c>
      <x:c r="N94" s="14" t="str">
        <x:v>Cash; High Transaction; Recurring Transaction</x:v>
      </x:c>
      <x:c r="O94" s="14" t="str">
        <x:v>Yes</x:v>
      </x:c>
      <x:c r="P94" s="14" t="str">
        <x:v>B DR BY CASH</x:v>
      </x:c>
      <x:c r="Q94" s="14" t="n">
        <x:v>1</x:v>
      </x:c>
      <x:c r="R94" s="14" t="n">
        <x:v>1</x:v>
      </x:c>
      <x:c r="S94" s="14" t="n">
        <x:v>0</x:v>
      </x:c>
      <x:c r="T94" s="14" t="n">
        <x:v>0</x:v>
      </x:c>
      <x:c r="U94" s="14" t="n">
        <x:v>1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46136</x:v>
      </x:c>
    </x:row>
    <x:row r="95">
      <x:c r="A95" s="14" t="n">
        <x:v>106</x:v>
      </x:c>
      <x:c r="B95" s="14" t="str">
        <x:v>273.pdf</x:v>
      </x:c>
      <x:c r="C95" s="15" t="n">
        <x:v>45181</x:v>
      </x:c>
      <x:c r="D95" s="15" t="n">
        <x:v>46146</x:v>
      </x:c>
      <x:c r="E95" s="15" t="n">
        <x:v>46136</x:v>
      </x:c>
      <x:c r="F95" s="15" t="n">
        <x:v>46136</x:v>
      </x:c>
      <x:c r="G95" s="16" t="str">
        <x:v>RTGS-BARBR5202 Dr RTGS-BARBR52026042400851908-HINDUSTAN PETROLEUM CO</x:v>
      </x:c>
      <x:c r="H95" s="14" t="str"/>
      <x:c r="I95" s="14" t="str">
        <x:v>Payment</x:v>
      </x:c>
      <x:c r="J95" s="17" t="n">
        <x:v>1148985</x:v>
      </x:c>
      <x:c r="K95" s="17" t="n">
        <x:v>0</x:v>
      </x:c>
      <x:c r="L95" s="17" t="n">
        <x:v>1148985</x:v>
      </x:c>
      <x:c r="M95" s="17" t="n">
        <x:v>-9999999.33</x:v>
      </x:c>
      <x:c r="N95" s="14" t="str">
        <x:v>High Transaction; Recurring Transaction</x:v>
      </x:c>
      <x:c r="O95" s="14" t="str">
        <x:v>Yes</x:v>
      </x:c>
      <x:c r="P95" s="14" t="str">
        <x:v>BARBR DR RTGS</x:v>
      </x:c>
      <x:c r="Q95" s="14" t="n">
        <x:v>0</x:v>
      </x:c>
      <x:c r="R95" s="14" t="n">
        <x:v>1</x:v>
      </x:c>
      <x:c r="S95" s="14" t="n">
        <x:v>0</x:v>
      </x:c>
      <x:c r="T95" s="14" t="n">
        <x:v>0</x:v>
      </x:c>
      <x:c r="U95" s="14" t="n">
        <x:v>1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46136</x:v>
      </x:c>
    </x:row>
    <x:row r="96">
      <x:c r="A96" s="14" t="n">
        <x:v>107</x:v>
      </x:c>
      <x:c r="B96" s="14" t="str">
        <x:v>273.pdf</x:v>
      </x:c>
      <x:c r="C96" s="15" t="n">
        <x:v>45181</x:v>
      </x:c>
      <x:c r="D96" s="15" t="n">
        <x:v>46146</x:v>
      </x:c>
      <x:c r="E96" s="15" t="n">
        <x:v>46136</x:v>
      </x:c>
      <x:c r="F96" s="15" t="n">
        <x:v>46136</x:v>
      </x:c>
      <x:c r="G96" s="16" t="str">
        <x:v>EBANK:WIB/1505 Dr EBANK:WIB/1505452714/Edfs https://cbdrpt101.bankofbaroda.co.in:22000/finbranch/arjspmorph/INFENG/tran_rpt.jsp?... 04-05-2026</x:v>
      </x:c>
      <x:c r="H96" s="14" t="str"/>
      <x:c r="I96" s="14" t="str">
        <x:v>Receipt</x:v>
      </x:c>
      <x:c r="J96" s="17" t="n">
        <x:v>0</x:v>
      </x:c>
      <x:c r="K96" s="17" t="n">
        <x:v>115069</x:v>
      </x:c>
      <x:c r="L96" s="17" t="n">
        <x:v>115069</x:v>
      </x:c>
      <x:c r="M96" s="17" t="n">
        <x:v>-9884930.33</x:v>
      </x:c>
      <x:c r="N96" s="14" t="str">
        <x:v>High Transaction; Recurring Transaction</x:v>
      </x:c>
      <x:c r="O96" s="14" t="str">
        <x:v>Yes</x:v>
      </x:c>
      <x:c r="P96" s="14" t="str">
        <x:v>EBANKWIB</x:v>
      </x:c>
      <x:c r="Q96" s="14" t="n">
        <x:v>0</x:v>
      </x:c>
      <x:c r="R96" s="14" t="n">
        <x:v>1</x:v>
      </x:c>
      <x:c r="S96" s="14" t="n">
        <x:v>0</x:v>
      </x:c>
      <x:c r="T96" s="14" t="n">
        <x:v>0</x:v>
      </x:c>
      <x:c r="U96" s="14" t="n">
        <x:v>1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46136</x:v>
      </x:c>
    </x:row>
    <x:row r="97">
      <x:c r="A97" s="14" t="n">
        <x:v>109</x:v>
      </x:c>
      <x:c r="B97" s="14" t="str">
        <x:v>273.pdf</x:v>
      </x:c>
      <x:c r="C97" s="15" t="n">
        <x:v>45181</x:v>
      </x:c>
      <x:c r="D97" s="15" t="n">
        <x:v>46146</x:v>
      </x:c>
      <x:c r="E97" s="15" t="n">
        <x:v>46137</x:v>
      </x:c>
      <x:c r="F97" s="15" t="n">
        <x:v>46137</x:v>
      </x:c>
      <x:c r="G97" s="16" t="str">
        <x:v>EBANK:WIB/1505 Dr EBANK:WIB/1505471306/Edfs</x:v>
      </x:c>
      <x:c r="H97" s="14" t="str"/>
      <x:c r="I97" s="14" t="str">
        <x:v>Receipt</x:v>
      </x:c>
      <x:c r="J97" s="17" t="n">
        <x:v>0</x:v>
      </x:c>
      <x:c r="K97" s="17" t="n">
        <x:v>273418</x:v>
      </x:c>
      <x:c r="L97" s="17" t="n">
        <x:v>273418</x:v>
      </x:c>
      <x:c r="M97" s="17" t="n">
        <x:v>-9726581.33</x:v>
      </x:c>
      <x:c r="N97" s="14" t="str">
        <x:v>High Transaction; Recurring Transaction</x:v>
      </x:c>
      <x:c r="O97" s="14" t="str">
        <x:v>Yes</x:v>
      </x:c>
      <x:c r="P97" s="14" t="str">
        <x:v>EBANKWIB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1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46137</x:v>
      </x:c>
    </x:row>
    <x:row r="98">
      <x:c r="A98" s="14" t="n">
        <x:v>110</x:v>
      </x:c>
      <x:c r="B98" s="14" t="str">
        <x:v>273.pdf</x:v>
      </x:c>
      <x:c r="C98" s="15" t="n">
        <x:v>45181</x:v>
      </x:c>
      <x:c r="D98" s="15" t="n">
        <x:v>46146</x:v>
      </x:c>
      <x:c r="E98" s="15" t="n">
        <x:v>46137</x:v>
      </x:c>
      <x:c r="F98" s="15" t="n">
        <x:v>46137</x:v>
      </x:c>
      <x:c r="G98" s="16" t="str">
        <x:v>EBANK:WIB/1505 Dr EBANK:WIB/1505471386/Edfs</x:v>
      </x:c>
      <x:c r="H98" s="14" t="str"/>
      <x:c r="I98" s="14" t="str">
        <x:v>Receipt</x:v>
      </x:c>
      <x:c r="J98" s="17" t="n">
        <x:v>0</x:v>
      </x:c>
      <x:c r="K98" s="17" t="n">
        <x:v>72545.93</x:v>
      </x:c>
      <x:c r="L98" s="17" t="n">
        <x:v>72545.93</x:v>
      </x:c>
      <x:c r="M98" s="17" t="n">
        <x:v>-9654035.4</x:v>
      </x:c>
      <x:c r="N98" s="14" t="str">
        <x:v>Recurring Transaction</x:v>
      </x:c>
      <x:c r="O98" s="14" t="str">
        <x:v>Yes</x:v>
      </x:c>
      <x:c r="P98" s="14" t="str">
        <x:v>EBANKWIB</x:v>
      </x:c>
      <x:c r="Q98" s="14" t="n">
        <x:v>0</x:v>
      </x:c>
      <x:c r="R98" s="14" t="n">
        <x:v>1</x:v>
      </x:c>
      <x:c r="S98" s="14" t="n">
        <x:v>0</x:v>
      </x:c>
      <x:c r="T98" s="14" t="n">
        <x:v>0</x:v>
      </x:c>
      <x:c r="U98" s="14" t="n">
        <x:v>0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46137</x:v>
      </x:c>
    </x:row>
    <x:row r="99">
      <x:c r="A99" s="14" t="n">
        <x:v>112</x:v>
      </x:c>
      <x:c r="B99" s="14" t="str">
        <x:v>273.pdf</x:v>
      </x:c>
      <x:c r="C99" s="15" t="n">
        <x:v>45181</x:v>
      </x:c>
      <x:c r="D99" s="15" t="n">
        <x:v>46146</x:v>
      </x:c>
      <x:c r="E99" s="15" t="n">
        <x:v>46137</x:v>
      </x:c>
      <x:c r="F99" s="15" t="n">
        <x:v>46137</x:v>
      </x:c>
      <x:c r="G99" s="16" t="str">
        <x:v>EBANK:WIB/1505 Dr EBANK:WIB/1505585919/Edfs</x:v>
      </x:c>
      <x:c r="H99" s="14" t="str"/>
      <x:c r="I99" s="14" t="str">
        <x:v>Receipt</x:v>
      </x:c>
      <x:c r="J99" s="17" t="n">
        <x:v>0</x:v>
      </x:c>
      <x:c r="K99" s="17" t="n">
        <x:v>172247.15</x:v>
      </x:c>
      <x:c r="L99" s="17" t="n">
        <x:v>172247.15</x:v>
      </x:c>
      <x:c r="M99" s="17" t="n">
        <x:v>-9811438.25</x:v>
      </x:c>
      <x:c r="N99" s="14" t="str">
        <x:v>High Transaction; Recurring Transaction</x:v>
      </x:c>
      <x:c r="O99" s="14" t="str">
        <x:v>Yes</x:v>
      </x:c>
      <x:c r="P99" s="14" t="str">
        <x:v>EBANKWIB</x:v>
      </x:c>
      <x:c r="Q99" s="14" t="n">
        <x:v>0</x:v>
      </x:c>
      <x:c r="R99" s="14" t="n">
        <x:v>1</x:v>
      </x:c>
      <x:c r="S99" s="14" t="n">
        <x:v>0</x:v>
      </x:c>
      <x:c r="T99" s="14" t="n">
        <x:v>0</x:v>
      </x:c>
      <x:c r="U99" s="14" t="n">
        <x:v>1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46137</x:v>
      </x:c>
    </x:row>
    <x:row r="100">
      <x:c r="A100" s="14" t="n">
        <x:v>113</x:v>
      </x:c>
      <x:c r="B100" s="14" t="str">
        <x:v>273.pdf</x:v>
      </x:c>
      <x:c r="C100" s="15" t="n">
        <x:v>45181</x:v>
      </x:c>
      <x:c r="D100" s="15" t="n">
        <x:v>46146</x:v>
      </x:c>
      <x:c r="E100" s="15" t="n">
        <x:v>46138</x:v>
      </x:c>
      <x:c r="F100" s="15" t="n">
        <x:v>46138</x:v>
      </x:c>
      <x:c r="G100" s="16" t="str">
        <x:v>EBANK:WIB/1505 Dr EBANK:WIB/1505590344/Edfs</x:v>
      </x:c>
      <x:c r="H100" s="14" t="str"/>
      <x:c r="I100" s="14" t="str">
        <x:v>Receipt</x:v>
      </x:c>
      <x:c r="J100" s="17" t="n">
        <x:v>0</x:v>
      </x:c>
      <x:c r="K100" s="17" t="n">
        <x:v>300990.79</x:v>
      </x:c>
      <x:c r="L100" s="17" t="n">
        <x:v>300990.79</x:v>
      </x:c>
      <x:c r="M100" s="17" t="n">
        <x:v>-9510447.46</x:v>
      </x:c>
      <x:c r="N100" s="14" t="str">
        <x:v>High Transaction; Recurring Transaction</x:v>
      </x:c>
      <x:c r="O100" s="14" t="str">
        <x:v>Yes</x:v>
      </x:c>
      <x:c r="P100" s="14" t="str">
        <x:v>EBANKWIB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1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46138</x:v>
      </x:c>
    </x:row>
    <x:row r="101">
      <x:c r="A101" s="14" t="n">
        <x:v>114</x:v>
      </x:c>
      <x:c r="B101" s="14" t="str">
        <x:v>273.pdf</x:v>
      </x:c>
      <x:c r="C101" s="15" t="n">
        <x:v>45181</x:v>
      </x:c>
      <x:c r="D101" s="15" t="n">
        <x:v>46146</x:v>
      </x:c>
      <x:c r="E101" s="15" t="n">
        <x:v>46138</x:v>
      </x:c>
      <x:c r="F101" s="15" t="n">
        <x:v>46138</x:v>
      </x:c>
      <x:c r="G101" s="16" t="str">
        <x:v>EBANK:WIB/1505 Dr EBANK:WIB/1505633295/Edfs</x:v>
      </x:c>
      <x:c r="H101" s="14" t="str"/>
      <x:c r="I101" s="14" t="str">
        <x:v>Receipt</x:v>
      </x:c>
      <x:c r="J101" s="17" t="n">
        <x:v>0</x:v>
      </x:c>
      <x:c r="K101" s="17" t="n">
        <x:v>114728</x:v>
      </x:c>
      <x:c r="L101" s="17" t="n">
        <x:v>114728</x:v>
      </x:c>
      <x:c r="M101" s="17" t="n">
        <x:v>-9395719.46</x:v>
      </x:c>
      <x:c r="N101" s="14" t="str">
        <x:v>High Transaction; Recurring Transaction</x:v>
      </x:c>
      <x:c r="O101" s="14" t="str">
        <x:v>Yes</x:v>
      </x:c>
      <x:c r="P101" s="14" t="str">
        <x:v>EBANKWIB</x:v>
      </x:c>
      <x:c r="Q101" s="14" t="n">
        <x:v>0</x:v>
      </x:c>
      <x:c r="R101" s="14" t="n">
        <x:v>1</x:v>
      </x:c>
      <x:c r="S101" s="14" t="n">
        <x:v>0</x:v>
      </x:c>
      <x:c r="T101" s="14" t="n">
        <x:v>0</x:v>
      </x:c>
      <x:c r="U101" s="14" t="n">
        <x:v>1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46138</x:v>
      </x:c>
    </x:row>
    <x:row r="102">
      <x:c r="A102" s="14" t="n">
        <x:v>115</x:v>
      </x:c>
      <x:c r="B102" s="14" t="str">
        <x:v>273.pdf</x:v>
      </x:c>
      <x:c r="C102" s="15" t="n">
        <x:v>45181</x:v>
      </x:c>
      <x:c r="D102" s="15" t="n">
        <x:v>46146</x:v>
      </x:c>
      <x:c r="E102" s="15" t="n">
        <x:v>46139</x:v>
      </x:c>
      <x:c r="F102" s="15" t="n">
        <x:v>46139</x:v>
      </x:c>
      <x:c r="G102" s="16" t="str">
        <x:v>EBANK:WIB/1505 Dr EBANK:WIB/1505672686/Edfs</x:v>
      </x:c>
      <x:c r="H102" s="14" t="str"/>
      <x:c r="I102" s="14" t="str">
        <x:v>Receipt</x:v>
      </x:c>
      <x:c r="J102" s="17" t="n">
        <x:v>0</x:v>
      </x:c>
      <x:c r="K102" s="17" t="n">
        <x:v>460000.8</x:v>
      </x:c>
      <x:c r="L102" s="17" t="n">
        <x:v>460000.8</x:v>
      </x:c>
      <x:c r="M102" s="17" t="n">
        <x:v>-8935718.66</x:v>
      </x:c>
      <x:c r="N102" s="14" t="str">
        <x:v>High Transaction; Recurring Transaction</x:v>
      </x:c>
      <x:c r="O102" s="14" t="str">
        <x:v>Yes</x:v>
      </x:c>
      <x:c r="P102" s="14" t="str">
        <x:v>EBANKWIB</x:v>
      </x:c>
      <x:c r="Q102" s="14" t="n">
        <x:v>0</x:v>
      </x:c>
      <x:c r="R102" s="14" t="n">
        <x:v>1</x:v>
      </x:c>
      <x:c r="S102" s="14" t="n">
        <x:v>0</x:v>
      </x:c>
      <x:c r="T102" s="14" t="n">
        <x:v>0</x:v>
      </x:c>
      <x:c r="U102" s="14" t="n">
        <x:v>1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46139</x:v>
      </x:c>
    </x:row>
    <x:row r="103">
      <x:c r="A103" s="14" t="n">
        <x:v>116</x:v>
      </x:c>
      <x:c r="B103" s="14" t="str">
        <x:v>273.pdf</x:v>
      </x:c>
      <x:c r="C103" s="15" t="n">
        <x:v>45181</x:v>
      </x:c>
      <x:c r="D103" s="15" t="n">
        <x:v>46146</x:v>
      </x:c>
      <x:c r="E103" s="15" t="n">
        <x:v>46139</x:v>
      </x:c>
      <x:c r="F103" s="15" t="n">
        <x:v>46139</x:v>
      </x:c>
      <x:c r="G103" s="16" t="str">
        <x:v>BY CASH Dr BY CASH</x:v>
      </x:c>
      <x:c r="H103" s="14" t="str"/>
      <x:c r="I103" s="14" t="str">
        <x:v>Receipt</x:v>
      </x:c>
      <x:c r="J103" s="17" t="n">
        <x:v>0</x:v>
      </x:c>
      <x:c r="K103" s="17" t="n">
        <x:v>774500</x:v>
      </x:c>
      <x:c r="L103" s="17" t="n">
        <x:v>774500</x:v>
      </x:c>
      <x:c r="M103" s="17" t="n">
        <x:v>-8161218.66</x:v>
      </x:c>
      <x:c r="N103" s="14" t="str">
        <x:v>Cash; High Transaction; Recurring Transaction</x:v>
      </x:c>
      <x:c r="O103" s="14" t="str">
        <x:v>Yes</x:v>
      </x:c>
      <x:c r="P103" s="14" t="str">
        <x:v>BY CASH DR BY CASH</x:v>
      </x:c>
      <x:c r="Q103" s="14" t="n">
        <x:v>1</x:v>
      </x:c>
      <x:c r="R103" s="14" t="n">
        <x:v>1</x:v>
      </x:c>
      <x:c r="S103" s="14" t="n">
        <x:v>0</x:v>
      </x:c>
      <x:c r="T103" s="14" t="n">
        <x:v>0</x:v>
      </x:c>
      <x:c r="U103" s="14" t="n">
        <x:v>1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46139</x:v>
      </x:c>
    </x:row>
    <x:row r="104">
      <x:c r="A104" s="14" t="n">
        <x:v>117</x:v>
      </x:c>
      <x:c r="B104" s="14" t="str">
        <x:v>273.pdf</x:v>
      </x:c>
      <x:c r="C104" s="15" t="n">
        <x:v>45181</x:v>
      </x:c>
      <x:c r="D104" s="15" t="n">
        <x:v>46146</x:v>
      </x:c>
      <x:c r="E104" s="15" t="n">
        <x:v>46139</x:v>
      </x:c>
      <x:c r="F104" s="15" t="n">
        <x:v>46139</x:v>
      </x:c>
      <x:c r="G104" s="16" t="str">
        <x:v>DIGITA-MUMBAI/ Dr INT260413DEAL6345818</x:v>
      </x:c>
      <x:c r="H104" s="14" t="str"/>
      <x:c r="I104" s="14" t="str">
        <x:v>Payment</x:v>
      </x:c>
      <x:c r="J104" s="17" t="n">
        <x:v>5991.69</x:v>
      </x:c>
      <x:c r="K104" s="17" t="n">
        <x:v>0</x:v>
      </x:c>
      <x:c r="L104" s="17" t="n">
        <x:v>5991.69</x:v>
      </x:c>
      <x:c r="M104" s="17" t="n">
        <x:v>-8167210.35</x:v>
      </x:c>
      <x:c r="N104" s="14" t="str">
        <x:v>Recurring Transaction</x:v>
      </x:c>
      <x:c r="O104" s="14" t="str">
        <x:v>Yes</x:v>
      </x:c>
      <x:c r="P104" s="14" t="str">
        <x:v>DR INTDEAL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0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46139</x:v>
      </x:c>
    </x:row>
    <x:row r="105">
      <x:c r="A105" s="14" t="n">
        <x:v>118</x:v>
      </x:c>
      <x:c r="B105" s="14" t="str">
        <x:v>273.pdf</x:v>
      </x:c>
      <x:c r="C105" s="15" t="n">
        <x:v>45181</x:v>
      </x:c>
      <x:c r="D105" s="15" t="n">
        <x:v>46146</x:v>
      </x:c>
      <x:c r="E105" s="15" t="n">
        <x:v>46139</x:v>
      </x:c>
      <x:c r="F105" s="15" t="n">
        <x:v>46139</x:v>
      </x:c>
      <x:c r="G105" s="16" t="str">
        <x:v>EBANK:WIB/1505 Dr EBANK:WIB/1505752441/Edfs</x:v>
      </x:c>
      <x:c r="H105" s="14" t="str"/>
      <x:c r="I105" s="14" t="str">
        <x:v>Receipt</x:v>
      </x:c>
      <x:c r="J105" s="17" t="n">
        <x:v>0</x:v>
      </x:c>
      <x:c r="K105" s="17" t="n">
        <x:v>365005</x:v>
      </x:c>
      <x:c r="L105" s="17" t="n">
        <x:v>365005</x:v>
      </x:c>
      <x:c r="M105" s="17" t="n">
        <x:v>-7802205.35</x:v>
      </x:c>
      <x:c r="N105" s="14" t="str">
        <x:v>High Transaction; Recurring Transaction</x:v>
      </x:c>
      <x:c r="O105" s="14" t="str">
        <x:v>Yes</x:v>
      </x:c>
      <x:c r="P105" s="14" t="str">
        <x:v>EBANKWIB</x:v>
      </x:c>
      <x:c r="Q105" s="14" t="n">
        <x:v>0</x:v>
      </x:c>
      <x:c r="R105" s="14" t="n">
        <x:v>1</x:v>
      </x:c>
      <x:c r="S105" s="14" t="n">
        <x:v>0</x:v>
      </x:c>
      <x:c r="T105" s="14" t="n">
        <x:v>0</x:v>
      </x:c>
      <x:c r="U105" s="14" t="n">
        <x:v>1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46139</x:v>
      </x:c>
    </x:row>
    <x:row r="106">
      <x:c r="A106" s="14" t="n">
        <x:v>119</x:v>
      </x:c>
      <x:c r="B106" s="14" t="str">
        <x:v>273.pdf</x:v>
      </x:c>
      <x:c r="C106" s="15" t="n">
        <x:v>45181</x:v>
      </x:c>
      <x:c r="D106" s="15" t="n">
        <x:v>46146</x:v>
      </x:c>
      <x:c r="E106" s="15" t="n">
        <x:v>46139</x:v>
      </x:c>
      <x:c r="F106" s="15" t="n">
        <x:v>46139</x:v>
      </x:c>
      <x:c r="G106" s="16" t="str">
        <x:v>RTGS-BARBR5202 Dr RTGS-BARBR52026042700952483-HINDUSTAN PETROLEUM CO</x:v>
      </x:c>
      <x:c r="H106" s="14" t="str"/>
      <x:c r="I106" s="14" t="str">
        <x:v>Payment</x:v>
      </x:c>
      <x:c r="J106" s="17" t="n">
        <x:v>1064000</x:v>
      </x:c>
      <x:c r="K106" s="17" t="n">
        <x:v>0</x:v>
      </x:c>
      <x:c r="L106" s="17" t="n">
        <x:v>1064000</x:v>
      </x:c>
      <x:c r="M106" s="17" t="n">
        <x:v>-8866205.35</x:v>
      </x:c>
      <x:c r="N106" s="14" t="str">
        <x:v>High Transaction; Recurring Transaction</x:v>
      </x:c>
      <x:c r="O106" s="14" t="str">
        <x:v>Yes</x:v>
      </x:c>
      <x:c r="P106" s="14" t="str">
        <x:v>BARBR DR RTGS</x:v>
      </x:c>
      <x:c r="Q106" s="14" t="n">
        <x:v>0</x:v>
      </x:c>
      <x:c r="R106" s="14" t="n">
        <x:v>1</x:v>
      </x:c>
      <x:c r="S106" s="14" t="n">
        <x:v>0</x:v>
      </x:c>
      <x:c r="T106" s="14" t="n">
        <x:v>0</x:v>
      </x:c>
      <x:c r="U106" s="14" t="n">
        <x:v>1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46139</x:v>
      </x:c>
    </x:row>
    <x:row r="107">
      <x:c r="A107" s="14" t="n">
        <x:v>120</x:v>
      </x:c>
      <x:c r="B107" s="14" t="str">
        <x:v>273.pdf</x:v>
      </x:c>
      <x:c r="C107" s="15" t="n">
        <x:v>45181</x:v>
      </x:c>
      <x:c r="D107" s="15" t="n">
        <x:v>46146</x:v>
      </x:c>
      <x:c r="E107" s="15" t="n">
        <x:v>46139</x:v>
      </x:c>
      <x:c r="F107" s="15" t="n">
        <x:v>46139</x:v>
      </x:c>
      <x:c r="G107" s="16" t="str">
        <x:v>RTGS-BARBR5202 Dr RTGS-BARBR52026042700958299-HINDUSTAN PETROLEUM CO</x:v>
      </x:c>
      <x:c r="H107" s="14" t="str"/>
      <x:c r="I107" s="14" t="str">
        <x:v>Payment</x:v>
      </x:c>
      <x:c r="J107" s="17" t="n">
        <x:v>768789</x:v>
      </x:c>
      <x:c r="K107" s="17" t="n">
        <x:v>0</x:v>
      </x:c>
      <x:c r="L107" s="17" t="n">
        <x:v>768789</x:v>
      </x:c>
      <x:c r="M107" s="17" t="n">
        <x:v>-9634994.35</x:v>
      </x:c>
      <x:c r="N107" s="14" t="str">
        <x:v>High Transaction; Recurring Transaction</x:v>
      </x:c>
      <x:c r="O107" s="14" t="str">
        <x:v>Yes</x:v>
      </x:c>
      <x:c r="P107" s="14" t="str">
        <x:v>BARBR DR RTGS</x:v>
      </x:c>
      <x:c r="Q107" s="14" t="n">
        <x:v>0</x:v>
      </x:c>
      <x:c r="R107" s="14" t="n">
        <x:v>1</x:v>
      </x:c>
      <x:c r="S107" s="14" t="n">
        <x:v>0</x:v>
      </x:c>
      <x:c r="T107" s="14" t="n">
        <x:v>0</x:v>
      </x:c>
      <x:c r="U107" s="14" t="n">
        <x:v>1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5" t="n">
        <x:v>46139</x:v>
      </x:c>
    </x:row>
    <x:row r="108">
      <x:c r="A108" s="14" t="n">
        <x:v>121</x:v>
      </x:c>
      <x:c r="B108" s="14" t="str">
        <x:v>273.pdf</x:v>
      </x:c>
      <x:c r="C108" s="15" t="n">
        <x:v>45181</x:v>
      </x:c>
      <x:c r="D108" s="15" t="n">
        <x:v>46146</x:v>
      </x:c>
      <x:c r="E108" s="15" t="n">
        <x:v>46140</x:v>
      </x:c>
      <x:c r="F108" s="15" t="n">
        <x:v>46140</x:v>
      </x:c>
      <x:c r="G108" s="16" t="str">
        <x:v>BY CASH Dr BY CASH</x:v>
      </x:c>
      <x:c r="H108" s="14" t="str"/>
      <x:c r="I108" s="14" t="str">
        <x:v>Receipt</x:v>
      </x:c>
      <x:c r="J108" s="17" t="n">
        <x:v>0</x:v>
      </x:c>
      <x:c r="K108" s="17" t="n">
        <x:v>246500</x:v>
      </x:c>
      <x:c r="L108" s="17" t="n">
        <x:v>246500</x:v>
      </x:c>
      <x:c r="M108" s="17" t="n">
        <x:v>-9388494.35</x:v>
      </x:c>
      <x:c r="N108" s="14" t="str">
        <x:v>Cash; High Transaction; Recurring Transaction</x:v>
      </x:c>
      <x:c r="O108" s="14" t="str">
        <x:v>Yes</x:v>
      </x:c>
      <x:c r="P108" s="14" t="str">
        <x:v>BY CASH DR BY CASH</x:v>
      </x:c>
      <x:c r="Q108" s="14" t="n">
        <x:v>1</x:v>
      </x:c>
      <x:c r="R108" s="14" t="n">
        <x:v>1</x:v>
      </x:c>
      <x:c r="S108" s="14" t="n">
        <x:v>0</x:v>
      </x:c>
      <x:c r="T108" s="14" t="n">
        <x:v>0</x:v>
      </x:c>
      <x:c r="U108" s="14" t="n">
        <x:v>1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46140</x:v>
      </x:c>
    </x:row>
    <x:row r="109">
      <x:c r="A109" s="14" t="n">
        <x:v>122</x:v>
      </x:c>
      <x:c r="B109" s="14" t="str">
        <x:v>273.pdf</x:v>
      </x:c>
      <x:c r="C109" s="15" t="n">
        <x:v>45181</x:v>
      </x:c>
      <x:c r="D109" s="15" t="n">
        <x:v>46146</x:v>
      </x:c>
      <x:c r="E109" s="15" t="n">
        <x:v>46140</x:v>
      </x:c>
      <x:c r="F109" s="15" t="n">
        <x:v>46140</x:v>
      </x:c>
      <x:c r="G109" s="16" t="str">
        <x:v>EBANK:WIB/1505 Dr EBANK:WIB/1505883831/Edfs</x:v>
      </x:c>
      <x:c r="H109" s="14" t="str"/>
      <x:c r="I109" s="14" t="str">
        <x:v>Receipt</x:v>
      </x:c>
      <x:c r="J109" s="17" t="n">
        <x:v>0</x:v>
      </x:c>
      <x:c r="K109" s="17" t="n">
        <x:v>402798.6</x:v>
      </x:c>
      <x:c r="L109" s="17" t="n">
        <x:v>402798.6</x:v>
      </x:c>
      <x:c r="M109" s="17" t="n">
        <x:v>-8985695.75</x:v>
      </x:c>
      <x:c r="N109" s="14" t="str">
        <x:v>High Transaction; Recurring Transaction</x:v>
      </x:c>
      <x:c r="O109" s="14" t="str">
        <x:v>Yes</x:v>
      </x:c>
      <x:c r="P109" s="14" t="str">
        <x:v>EBANKWIB</x:v>
      </x:c>
      <x:c r="Q109" s="14" t="n">
        <x:v>0</x:v>
      </x:c>
      <x:c r="R109" s="14" t="n">
        <x:v>1</x:v>
      </x:c>
      <x:c r="S109" s="14" t="n">
        <x:v>0</x:v>
      </x:c>
      <x:c r="T109" s="14" t="n">
        <x:v>0</x:v>
      </x:c>
      <x:c r="U109" s="14" t="n">
        <x:v>1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46140</x:v>
      </x:c>
    </x:row>
    <x:row r="110">
      <x:c r="A110" s="14" t="n">
        <x:v>123</x:v>
      </x:c>
      <x:c r="B110" s="14" t="str">
        <x:v>273.pdf</x:v>
      </x:c>
      <x:c r="C110" s="15" t="n">
        <x:v>45181</x:v>
      </x:c>
      <x:c r="D110" s="15" t="n">
        <x:v>46146</x:v>
      </x:c>
      <x:c r="E110" s="15" t="n">
        <x:v>46140</x:v>
      </x:c>
      <x:c r="F110" s="15" t="n">
        <x:v>46140</x:v>
      </x:c>
      <x:c r="G110" s="16" t="str">
        <x:v>EBANK:WIB/1505 Dr EBANK:WIB/1505948506/Edfs</x:v>
      </x:c>
      <x:c r="H110" s="14" t="str"/>
      <x:c r="I110" s="14" t="str">
        <x:v>Receipt</x:v>
      </x:c>
      <x:c r="J110" s="17" t="n">
        <x:v>0</x:v>
      </x:c>
      <x:c r="K110" s="17" t="n">
        <x:v>192251.79</x:v>
      </x:c>
      <x:c r="L110" s="17" t="n">
        <x:v>192251.79</x:v>
      </x:c>
      <x:c r="M110" s="17" t="n">
        <x:v>-8793443.96</x:v>
      </x:c>
      <x:c r="N110" s="14" t="str">
        <x:v>High Transaction; Recurring Transaction</x:v>
      </x:c>
      <x:c r="O110" s="14" t="str">
        <x:v>Yes</x:v>
      </x:c>
      <x:c r="P110" s="14" t="str">
        <x:v>EBANKWIB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1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46140</x:v>
      </x:c>
    </x:row>
    <x:row r="111">
      <x:c r="A111" s="14" t="n">
        <x:v>124</x:v>
      </x:c>
      <x:c r="B111" s="14" t="str">
        <x:v>273.pdf</x:v>
      </x:c>
      <x:c r="C111" s="15" t="n">
        <x:v>45181</x:v>
      </x:c>
      <x:c r="D111" s="15" t="n">
        <x:v>46146</x:v>
      </x:c>
      <x:c r="E111" s="15" t="n">
        <x:v>46141</x:v>
      </x:c>
      <x:c r="F111" s="15" t="n">
        <x:v>46141</x:v>
      </x:c>
      <x:c r="G111" s="16" t="str">
        <x:v>EBANK:WIB/1505 Dr EBANK:WIB/1505959390/Edfs</x:v>
      </x:c>
      <x:c r="H111" s="14" t="str"/>
      <x:c r="I111" s="14" t="str">
        <x:v>Receipt</x:v>
      </x:c>
      <x:c r="J111" s="17" t="n">
        <x:v>0</x:v>
      </x:c>
      <x:c r="K111" s="17" t="n">
        <x:v>383365.33</x:v>
      </x:c>
      <x:c r="L111" s="17" t="n">
        <x:v>383365.33</x:v>
      </x:c>
      <x:c r="M111" s="17" t="n">
        <x:v>-8410078.63</x:v>
      </x:c>
      <x:c r="N111" s="14" t="str">
        <x:v>High Transaction; Recurring Transaction</x:v>
      </x:c>
      <x:c r="O111" s="14" t="str">
        <x:v>Yes</x:v>
      </x:c>
      <x:c r="P111" s="14" t="str">
        <x:v>EBANKWIB</x:v>
      </x:c>
      <x:c r="Q111" s="14" t="n">
        <x:v>0</x:v>
      </x:c>
      <x:c r="R111" s="14" t="n">
        <x:v>1</x:v>
      </x:c>
      <x:c r="S111" s="14" t="n">
        <x:v>0</x:v>
      </x:c>
      <x:c r="T111" s="14" t="n">
        <x:v>0</x:v>
      </x:c>
      <x:c r="U111" s="14" t="n">
        <x:v>1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46141</x:v>
      </x:c>
    </x:row>
    <x:row r="112">
      <x:c r="A112" s="14" t="n">
        <x:v>127</x:v>
      </x:c>
      <x:c r="B112" s="14" t="str">
        <x:v>273.pdf</x:v>
      </x:c>
      <x:c r="C112" s="15" t="n">
        <x:v>45181</x:v>
      </x:c>
      <x:c r="D112" s="15" t="n">
        <x:v>46146</x:v>
      </x:c>
      <x:c r="E112" s="15" t="n">
        <x:v>46141</x:v>
      </x:c>
      <x:c r="F112" s="15" t="n">
        <x:v>46141</x:v>
      </x:c>
      <x:c r="G112" s="16" t="str">
        <x:v>EBANK:WIB/1505 Dr EBANK:WIB/1505997293/Edfs ---------------------------------------------------------------------------------------------------------------------------------- Page Total: 18,44,680.14 35,74,340.46 82,54,025.08Dr ---------------------------------------------------------------------------------------------------------------------------------- Note: Cheques received in inward clearing will be considered for debiting/ returning on the basis opening balance in account Unless the const</x:v>
      </x:c>
      <x:c r="H112" s="14" t="str"/>
      <x:c r="I112" s="14" t="str">
        <x:v>Receipt</x:v>
      </x:c>
      <x:c r="J112" s="17" t="n">
        <x:v>0</x:v>
      </x:c>
      <x:c r="K112" s="17" t="n">
        <x:v>161953</x:v>
      </x:c>
      <x:c r="L112" s="17" t="n">
        <x:v>161953</x:v>
      </x:c>
      <x:c r="M112" s="17" t="n">
        <x:v>-8254025.08</x:v>
      </x:c>
      <x:c r="N112" s="14" t="str">
        <x:v>High Transaction; Recurring Transaction</x:v>
      </x:c>
      <x:c r="O112" s="14" t="str">
        <x:v>Yes</x:v>
      </x:c>
      <x:c r="P112" s="14" t="str">
        <x:v>EBANKWIB</x:v>
      </x:c>
      <x:c r="Q112" s="14" t="n">
        <x:v>0</x:v>
      </x:c>
      <x:c r="R112" s="14" t="n">
        <x:v>1</x:v>
      </x:c>
      <x:c r="S112" s="14" t="n">
        <x:v>0</x:v>
      </x:c>
      <x:c r="T112" s="14" t="n">
        <x:v>0</x:v>
      </x:c>
      <x:c r="U112" s="14" t="n">
        <x:v>1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46141</x:v>
      </x:c>
    </x:row>
    <x:row r="113">
      <x:c r="A113" s="14" t="n">
        <x:v>129</x:v>
      </x:c>
      <x:c r="B113" s="14" t="str">
        <x:v>273.pdf</x:v>
      </x:c>
      <x:c r="C113" s="15" t="n">
        <x:v>45181</x:v>
      </x:c>
      <x:c r="D113" s="15" t="n">
        <x:v>46146</x:v>
      </x:c>
      <x:c r="E113" s="15" t="n">
        <x:v>46141</x:v>
      </x:c>
      <x:c r="F113" s="15" t="n">
        <x:v>46141</x:v>
      </x:c>
      <x:c r="G113" s="16" t="str">
        <x:v>BY CASH Dr BY CASH</x:v>
      </x:c>
      <x:c r="H113" s="14" t="str"/>
      <x:c r="I113" s="14" t="str">
        <x:v>Receipt</x:v>
      </x:c>
      <x:c r="J113" s="17" t="n">
        <x:v>0</x:v>
      </x:c>
      <x:c r="K113" s="17" t="n">
        <x:v>116500</x:v>
      </x:c>
      <x:c r="L113" s="17" t="n">
        <x:v>116500</x:v>
      </x:c>
      <x:c r="M113" s="17" t="n">
        <x:v>-8137649.75</x:v>
      </x:c>
      <x:c r="N113" s="14" t="str">
        <x:v>Cash; High Transaction; Recurring Transaction</x:v>
      </x:c>
      <x:c r="O113" s="14" t="str">
        <x:v>Yes</x:v>
      </x:c>
      <x:c r="P113" s="14" t="str">
        <x:v>BY CASH DR BY CASH</x:v>
      </x:c>
      <x:c r="Q113" s="14" t="n">
        <x:v>1</x:v>
      </x:c>
      <x:c r="R113" s="14" t="n">
        <x:v>1</x:v>
      </x:c>
      <x:c r="S113" s="14" t="n">
        <x:v>0</x:v>
      </x:c>
      <x:c r="T113" s="14" t="n">
        <x:v>0</x:v>
      </x:c>
      <x:c r="U113" s="14" t="n">
        <x:v>1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46141</x:v>
      </x:c>
    </x:row>
    <x:row r="114">
      <x:c r="A114" s="14" t="n">
        <x:v>130</x:v>
      </x:c>
      <x:c r="B114" s="14" t="str">
        <x:v>273.pdf</x:v>
      </x:c>
      <x:c r="C114" s="15" t="n">
        <x:v>45181</x:v>
      </x:c>
      <x:c r="D114" s="15" t="n">
        <x:v>46146</x:v>
      </x:c>
      <x:c r="E114" s="15" t="n">
        <x:v>46141</x:v>
      </x:c>
      <x:c r="F114" s="15" t="n">
        <x:v>46141</x:v>
      </x:c>
      <x:c r="G114" s="16" t="str">
        <x:v>RTGS-BARBR5202 Dr RTGS-BARBR52026042900818962-HINDUSTAN PETROLEUM CO</x:v>
      </x:c>
      <x:c r="H114" s="14" t="str"/>
      <x:c r="I114" s="14" t="str">
        <x:v>Payment</x:v>
      </x:c>
      <x:c r="J114" s="17" t="n">
        <x:v>1745850</x:v>
      </x:c>
      <x:c r="K114" s="17" t="n">
        <x:v>0</x:v>
      </x:c>
      <x:c r="L114" s="17" t="n">
        <x:v>1745850</x:v>
      </x:c>
      <x:c r="M114" s="17" t="n">
        <x:v>-9883499.75</x:v>
      </x:c>
      <x:c r="N114" s="14" t="str">
        <x:v>High Transaction; Recurring Transaction</x:v>
      </x:c>
      <x:c r="O114" s="14" t="str">
        <x:v>Yes</x:v>
      </x:c>
      <x:c r="P114" s="14" t="str">
        <x:v>BARBR DR RTGS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1</x:v>
      </x:c>
      <x:c r="V114" s="14" t="n">
        <x:v>0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46141</x:v>
      </x:c>
    </x:row>
    <x:row r="115">
      <x:c r="A115" s="14" t="n">
        <x:v>131</x:v>
      </x:c>
      <x:c r="B115" s="14" t="str">
        <x:v>273.pdf</x:v>
      </x:c>
      <x:c r="C115" s="15" t="n">
        <x:v>45181</x:v>
      </x:c>
      <x:c r="D115" s="15" t="n">
        <x:v>46146</x:v>
      </x:c>
      <x:c r="E115" s="15" t="n">
        <x:v>46141</x:v>
      </x:c>
      <x:c r="F115" s="15" t="n">
        <x:v>46141</x:v>
      </x:c>
      <x:c r="G115" s="16" t="str">
        <x:v>EBANK:WIB/1506 Dr EBANK:WIB/1506085309/Edfs</x:v>
      </x:c>
      <x:c r="H115" s="14" t="str"/>
      <x:c r="I115" s="14" t="str">
        <x:v>Receipt</x:v>
      </x:c>
      <x:c r="J115" s="17" t="n">
        <x:v>0</x:v>
      </x:c>
      <x:c r="K115" s="17" t="n">
        <x:v>93264</x:v>
      </x:c>
      <x:c r="L115" s="17" t="n">
        <x:v>93264</x:v>
      </x:c>
      <x:c r="M115" s="17" t="n">
        <x:v>-9790235.75</x:v>
      </x:c>
      <x:c r="N115" s="14" t="str">
        <x:v>Recurring Transaction</x:v>
      </x:c>
      <x:c r="O115" s="14" t="str">
        <x:v>Yes</x:v>
      </x:c>
      <x:c r="P115" s="14" t="str">
        <x:v>EBANKWIB</x:v>
      </x:c>
      <x:c r="Q115" s="14" t="n">
        <x:v>0</x:v>
      </x:c>
      <x:c r="R115" s="14" t="n">
        <x:v>1</x:v>
      </x:c>
      <x:c r="S115" s="14" t="n">
        <x:v>0</x:v>
      </x:c>
      <x:c r="T115" s="14" t="n">
        <x:v>0</x:v>
      </x:c>
      <x:c r="U115" s="14" t="n">
        <x:v>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46141</x:v>
      </x:c>
    </x:row>
    <x:row r="116">
      <x:c r="A116" s="14" t="n">
        <x:v>133</x:v>
      </x:c>
      <x:c r="B116" s="14" t="str">
        <x:v>273.pdf</x:v>
      </x:c>
      <x:c r="C116" s="15" t="n">
        <x:v>45181</x:v>
      </x:c>
      <x:c r="D116" s="15" t="n">
        <x:v>46146</x:v>
      </x:c>
      <x:c r="E116" s="15" t="n">
        <x:v>46141</x:v>
      </x:c>
      <x:c r="F116" s="15" t="n">
        <x:v>46141</x:v>
      </x:c>
      <x:c r="G116" s="16" t="str">
        <x:v>EBANK:WIB/1506 Dr EBANK:WIB/1506102762/Edfs</x:v>
      </x:c>
      <x:c r="H116" s="14" t="str"/>
      <x:c r="I116" s="14" t="str">
        <x:v>Receipt</x:v>
      </x:c>
      <x:c r="J116" s="17" t="n">
        <x:v>0</x:v>
      </x:c>
      <x:c r="K116" s="17" t="n">
        <x:v>92240</x:v>
      </x:c>
      <x:c r="L116" s="17" t="n">
        <x:v>92240</x:v>
      </x:c>
      <x:c r="M116" s="17" t="n">
        <x:v>-9814495.75</x:v>
      </x:c>
      <x:c r="N116" s="14" t="str">
        <x:v>Recurring Transaction</x:v>
      </x:c>
      <x:c r="O116" s="14" t="str">
        <x:v>Yes</x:v>
      </x:c>
      <x:c r="P116" s="14" t="str">
        <x:v>EBANKWIB</x:v>
      </x:c>
      <x:c r="Q116" s="14" t="n">
        <x:v>0</x:v>
      </x:c>
      <x:c r="R116" s="14" t="n">
        <x:v>1</x:v>
      </x:c>
      <x:c r="S116" s="14" t="n">
        <x:v>0</x:v>
      </x:c>
      <x:c r="T116" s="14" t="n">
        <x:v>0</x:v>
      </x:c>
      <x:c r="U116" s="14" t="n">
        <x:v>0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46141</x:v>
      </x:c>
    </x:row>
    <x:row r="117">
      <x:c r="A117" s="14" t="n">
        <x:v>134</x:v>
      </x:c>
      <x:c r="B117" s="14" t="str">
        <x:v>273.pdf</x:v>
      </x:c>
      <x:c r="C117" s="15" t="n">
        <x:v>45181</x:v>
      </x:c>
      <x:c r="D117" s="15" t="n">
        <x:v>46146</x:v>
      </x:c>
      <x:c r="E117" s="15" t="n">
        <x:v>46142</x:v>
      </x:c>
      <x:c r="F117" s="15" t="n">
        <x:v>46142</x:v>
      </x:c>
      <x:c r="G117" s="16" t="str">
        <x:v>EBANK:WIB/1506 Dr EBANK:WIB/1506112730/Edfs</x:v>
      </x:c>
      <x:c r="H117" s="14" t="str"/>
      <x:c r="I117" s="14" t="str">
        <x:v>Receipt</x:v>
      </x:c>
      <x:c r="J117" s="17" t="n">
        <x:v>0</x:v>
      </x:c>
      <x:c r="K117" s="17" t="n">
        <x:v>44070</x:v>
      </x:c>
      <x:c r="L117" s="17" t="n">
        <x:v>44070</x:v>
      </x:c>
      <x:c r="M117" s="17" t="n">
        <x:v>-9770425.75</x:v>
      </x:c>
      <x:c r="N117" s="14" t="str">
        <x:v>Recurring Transaction</x:v>
      </x:c>
      <x:c r="O117" s="14" t="str">
        <x:v>Yes</x:v>
      </x:c>
      <x:c r="P117" s="14" t="str">
        <x:v>EBANKWIB</x:v>
      </x:c>
      <x:c r="Q117" s="14" t="n">
        <x:v>0</x:v>
      </x:c>
      <x:c r="R117" s="14" t="n">
        <x:v>1</x:v>
      </x:c>
      <x:c r="S117" s="14" t="n">
        <x:v>0</x:v>
      </x:c>
      <x:c r="T117" s="14" t="n">
        <x:v>0</x:v>
      </x:c>
      <x:c r="U117" s="14" t="n">
        <x:v>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5" t="n">
        <x:v>46142</x:v>
      </x:c>
    </x:row>
    <x:row r="118">
      <x:c r="A118" s="14" t="n">
        <x:v>135</x:v>
      </x:c>
      <x:c r="B118" s="14" t="str">
        <x:v>273.pdf</x:v>
      </x:c>
      <x:c r="C118" s="15" t="n">
        <x:v>45181</x:v>
      </x:c>
      <x:c r="D118" s="15" t="n">
        <x:v>46146</x:v>
      </x:c>
      <x:c r="E118" s="15" t="n">
        <x:v>46142</x:v>
      </x:c>
      <x:c r="F118" s="15" t="n">
        <x:v>46142</x:v>
      </x:c>
      <x:c r="G118" s="16" t="str">
        <x:v>EBANK:WIB/1506 Dr EBANK:WIB/1506112904/Edfs</x:v>
      </x:c>
      <x:c r="H118" s="14" t="str"/>
      <x:c r="I118" s="14" t="str">
        <x:v>Receipt</x:v>
      </x:c>
      <x:c r="J118" s="17" t="n">
        <x:v>0</x:v>
      </x:c>
      <x:c r="K118" s="17" t="n">
        <x:v>429587.11</x:v>
      </x:c>
      <x:c r="L118" s="17" t="n">
        <x:v>429587.11</x:v>
      </x:c>
      <x:c r="M118" s="17" t="n">
        <x:v>-9340838.64</x:v>
      </x:c>
      <x:c r="N118" s="14" t="str">
        <x:v>High Transaction; Recurring Transaction</x:v>
      </x:c>
      <x:c r="O118" s="14" t="str">
        <x:v>Yes</x:v>
      </x:c>
      <x:c r="P118" s="14" t="str">
        <x:v>EBANKWIB</x:v>
      </x:c>
      <x:c r="Q118" s="14" t="n">
        <x:v>0</x:v>
      </x:c>
      <x:c r="R118" s="14" t="n">
        <x:v>1</x:v>
      </x:c>
      <x:c r="S118" s="14" t="n">
        <x:v>0</x:v>
      </x:c>
      <x:c r="T118" s="14" t="n">
        <x:v>0</x:v>
      </x:c>
      <x:c r="U118" s="14" t="n">
        <x:v>1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5" t="n">
        <x:v>46142</x:v>
      </x:c>
    </x:row>
    <x:row r="119">
      <x:c r="A119" s="14" t="n">
        <x:v>137</x:v>
      </x:c>
      <x:c r="B119" s="14" t="str">
        <x:v>273.pdf</x:v>
      </x:c>
      <x:c r="C119" s="15" t="n">
        <x:v>45181</x:v>
      </x:c>
      <x:c r="D119" s="15" t="n">
        <x:v>46146</x:v>
      </x:c>
      <x:c r="E119" s="15" t="n">
        <x:v>46142</x:v>
      </x:c>
      <x:c r="F119" s="15" t="n">
        <x:v>46142</x:v>
      </x:c>
      <x:c r="G119" s="16" t="str">
        <x:v>RTGS-BARBR5202 Dr RTGS-BARBR52026043000849921-HINDUSTAN PETROLEUM CO</x:v>
      </x:c>
      <x:c r="H119" s="14" t="str"/>
      <x:c r="I119" s="14" t="str">
        <x:v>Payment</x:v>
      </x:c>
      <x:c r="J119" s="17" t="n">
        <x:v>229000</x:v>
      </x:c>
      <x:c r="K119" s="17" t="n">
        <x:v>0</x:v>
      </x:c>
      <x:c r="L119" s="17" t="n">
        <x:v>229000</x:v>
      </x:c>
      <x:c r="M119" s="17" t="n">
        <x:v>-9663102.64</x:v>
      </x:c>
      <x:c r="N119" s="14" t="str">
        <x:v>High Transaction; Recurring Transaction</x:v>
      </x:c>
      <x:c r="O119" s="14" t="str">
        <x:v>Yes</x:v>
      </x:c>
      <x:c r="P119" s="14" t="str">
        <x:v>BARBR DR RTGS</x:v>
      </x:c>
      <x:c r="Q119" s="14" t="n">
        <x:v>0</x:v>
      </x:c>
      <x:c r="R119" s="14" t="n">
        <x:v>1</x:v>
      </x:c>
      <x:c r="S119" s="14" t="n">
        <x:v>0</x:v>
      </x:c>
      <x:c r="T119" s="14" t="n">
        <x:v>0</x:v>
      </x:c>
      <x:c r="U119" s="14" t="n">
        <x:v>1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5" t="n">
        <x:v>46142</x:v>
      </x:c>
    </x:row>
    <x:row r="120">
      <x:c r="A120" s="14" t="n">
        <x:v>138</x:v>
      </x:c>
      <x:c r="B120" s="14" t="str">
        <x:v>273.pdf</x:v>
      </x:c>
      <x:c r="C120" s="15" t="n">
        <x:v>45181</x:v>
      </x:c>
      <x:c r="D120" s="15" t="n">
        <x:v>46146</x:v>
      </x:c>
      <x:c r="E120" s="15" t="n">
        <x:v>46142</x:v>
      </x:c>
      <x:c r="F120" s="15" t="n">
        <x:v>46142</x:v>
      </x:c>
      <x:c r="G120" s="16" t="str">
        <x:v>BY CASH Dr BY CASH</x:v>
      </x:c>
      <x:c r="H120" s="14" t="str"/>
      <x:c r="I120" s="14" t="str">
        <x:v>Receipt</x:v>
      </x:c>
      <x:c r="J120" s="17" t="n">
        <x:v>0</x:v>
      </x:c>
      <x:c r="K120" s="17" t="n">
        <x:v>273000</x:v>
      </x:c>
      <x:c r="L120" s="17" t="n">
        <x:v>273000</x:v>
      </x:c>
      <x:c r="M120" s="17" t="n">
        <x:v>-9390102.64</x:v>
      </x:c>
      <x:c r="N120" s="14" t="str">
        <x:v>Cash; High Transaction; Recurring Transaction</x:v>
      </x:c>
      <x:c r="O120" s="14" t="str">
        <x:v>Yes</x:v>
      </x:c>
      <x:c r="P120" s="14" t="str">
        <x:v>BY CASH DR BY CASH</x:v>
      </x:c>
      <x:c r="Q120" s="14" t="n">
        <x:v>1</x:v>
      </x:c>
      <x:c r="R120" s="14" t="n">
        <x:v>1</x:v>
      </x:c>
      <x:c r="S120" s="14" t="n">
        <x:v>0</x:v>
      </x:c>
      <x:c r="T120" s="14" t="n">
        <x:v>0</x:v>
      </x:c>
      <x:c r="U120" s="14" t="n">
        <x:v>1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5" t="n">
        <x:v>46142</x:v>
      </x:c>
    </x:row>
    <x:row r="121">
      <x:c r="A121" s="14" t="n">
        <x:v>139</x:v>
      </x:c>
      <x:c r="B121" s="14" t="str">
        <x:v>273.pdf</x:v>
      </x:c>
      <x:c r="C121" s="15" t="n">
        <x:v>45181</x:v>
      </x:c>
      <x:c r="D121" s="15" t="n">
        <x:v>46146</x:v>
      </x:c>
      <x:c r="E121" s="15" t="n">
        <x:v>46142</x:v>
      </x:c>
      <x:c r="F121" s="15" t="n">
        <x:v>46142</x:v>
      </x:c>
      <x:c r="G121" s="16" t="str">
        <x:v>EBANK:WIB/1506 Dr EBANK:WIB/1506237357/Edfs</x:v>
      </x:c>
      <x:c r="H121" s="14" t="str"/>
      <x:c r="I121" s="14" t="str">
        <x:v>Receipt</x:v>
      </x:c>
      <x:c r="J121" s="17" t="n">
        <x:v>0</x:v>
      </x:c>
      <x:c r="K121" s="17" t="n">
        <x:v>307440.05</x:v>
      </x:c>
      <x:c r="L121" s="17" t="n">
        <x:v>307440.05</x:v>
      </x:c>
      <x:c r="M121" s="17" t="n">
        <x:v>-9082662.59</x:v>
      </x:c>
      <x:c r="N121" s="14" t="str">
        <x:v>High Transaction; Recurring Transaction</x:v>
      </x:c>
      <x:c r="O121" s="14" t="str">
        <x:v>Yes</x:v>
      </x:c>
      <x:c r="P121" s="14" t="str">
        <x:v>EBANKWIB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1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5" t="n">
        <x:v>46142</x:v>
      </x:c>
    </x:row>
    <x:row r="122">
      <x:c r="A122" s="14" t="n">
        <x:v>140</x:v>
      </x:c>
      <x:c r="B122" s="14" t="str">
        <x:v>273.pdf</x:v>
      </x:c>
      <x:c r="C122" s="15" t="n">
        <x:v>45181</x:v>
      </x:c>
      <x:c r="D122" s="15" t="n">
        <x:v>46146</x:v>
      </x:c>
      <x:c r="E122" s="15" t="n">
        <x:v>46142</x:v>
      </x:c>
      <x:c r="F122" s="15" t="n">
        <x:v>46142</x:v>
      </x:c>
      <x:c r="G122" s="16" t="str">
        <x:v>EBANK:WIB/1506 Dr EBANK:WIB/1506303993/Edfs ---------------------------------------------------------------------------------------------------------------------------------- Page Total: 21,84,738.67 14,84,724.36 89,54,039.39Dr ---------------------------------------------------------------------------------------------------------------------------------- Grand Total: 2,30,94,114.44 2,41,39,693.85 89,54,039.39Dr -----------------------------------------------------------------------------------</x:v>
      </x:c>
      <x:c r="H122" s="14" t="str"/>
      <x:c r="I122" s="14" t="str">
        <x:v>Receipt</x:v>
      </x:c>
      <x:c r="J122" s="17" t="n">
        <x:v>0</x:v>
      </x:c>
      <x:c r="K122" s="17" t="n">
        <x:v>128623.2</x:v>
      </x:c>
      <x:c r="L122" s="17" t="n">
        <x:v>128623.2</x:v>
      </x:c>
      <x:c r="M122" s="17" t="n">
        <x:v>-8954039.39</x:v>
      </x:c>
      <x:c r="N122" s="14" t="str">
        <x:v>High Transaction; Recurring Transaction</x:v>
      </x:c>
      <x:c r="O122" s="14" t="str">
        <x:v>Yes</x:v>
      </x:c>
      <x:c r="P122" s="14" t="str">
        <x:v>EBANKWIB</x:v>
      </x:c>
      <x:c r="Q122" s="14" t="n">
        <x:v>0</x:v>
      </x:c>
      <x:c r="R122" s="14" t="n">
        <x:v>1</x:v>
      </x:c>
      <x:c r="S122" s="14" t="n">
        <x:v>0</x:v>
      </x:c>
      <x:c r="T122" s="14" t="n">
        <x:v>0</x:v>
      </x:c>
      <x:c r="U122" s="14" t="n">
        <x:v>1</x:v>
      </x:c>
      <x:c r="V122" s="14" t="n">
        <x:v>0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5" t="n">
        <x:v>46142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57675cd863d14fa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EMI Transactions</x:v>
      </x:c>
      <x:c r="B1" s="25" t="str">
        <x:v>EMI Transactions</x:v>
      </x:c>
      <x:c r="C1" s="25" t="str">
        <x:v>EMI Transactions</x:v>
      </x:c>
      <x:c r="D1" s="25" t="str">
        <x:v>EMI Transactions</x:v>
      </x:c>
      <x:c r="E1" s="25" t="str">
        <x:v>EMI Transactions</x:v>
      </x:c>
      <x:c r="F1" s="25" t="str">
        <x:v>EMI Transactions</x:v>
      </x:c>
      <x:c r="G1" s="25" t="str">
        <x:v>EMI Transactions</x:v>
      </x:c>
      <x:c r="H1" s="25" t="str">
        <x:v>EMI Transactions</x:v>
      </x:c>
      <x:c r="I1" s="25" t="str">
        <x:v>EMI Transactions</x:v>
      </x:c>
      <x:c r="J1" s="25" t="str">
        <x:v>EMI Transactions</x:v>
      </x:c>
      <x:c r="K1" s="25" t="str">
        <x:v>EMI Transactions</x:v>
      </x:c>
      <x:c r="L1" s="25" t="str">
        <x:v>EMI Transactions</x:v>
      </x:c>
      <x:c r="M1" s="25" t="str">
        <x:v>EMI Transactions</x:v>
      </x:c>
      <x:c r="N1" s="25" t="str">
        <x:v>EMI Transactions</x:v>
      </x:c>
      <x:c r="O1" s="25" t="str">
        <x:v>EMI Transactions</x:v>
      </x:c>
      <x:c r="P1" s="25" t="str">
        <x:v>EMI Transactions</x:v>
      </x:c>
      <x:c r="Q1" s="25" t="str">
        <x:v>EMI Transactions</x:v>
      </x:c>
      <x:c r="R1" s="25" t="str">
        <x:v>EMI Transactions</x:v>
      </x:c>
      <x:c r="S1" s="25" t="str">
        <x:v>EMI Transactions</x:v>
      </x:c>
      <x:c r="T1" s="25" t="str">
        <x:v>EMI Transactions</x:v>
      </x:c>
      <x:c r="U1" s="25" t="str">
        <x:v>EMI Transactions</x:v>
      </x:c>
      <x:c r="V1" s="25" t="str">
        <x:v>EMI Transactions</x:v>
      </x:c>
      <x:c r="W1" s="25" t="str">
        <x:v>EMI Transactions</x:v>
      </x:c>
      <x:c r="X1" s="25" t="str">
        <x:v>EMI Transactions</x:v>
      </x:c>
      <x:c r="Y1" s="25" t="str">
        <x:v>EMI Transactions</x:v>
      </x:c>
      <x:c r="Z1" s="25" t="str">
        <x:v>EMI Transactions</x:v>
      </x:c>
      <x:c r="AA1" s="25" t="str">
        <x:v>EMI Transactions</x:v>
      </x:c>
    </x:row>
    <x:row r="2">
      <x:c r="A2" s="26" t="str">
        <x:v>Rows</x:v>
      </x:c>
      <x:c r="B2" s="26" t="n">
        <x:v>0</x:v>
      </x:c>
      <x:c r="C2" s="26" t="str">
        <x:v>Match</x:v>
      </x:c>
      <x:c r="D2" s="26" t="str">
        <x:v>EMI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27" t="str">
        <x:v>No matching transactions.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</x:row>
  </x:sheetData>
  <x:mergeCells>
    <x:mergeCell ref="A1:AA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Salary Transactions</x:v>
      </x:c>
      <x:c r="B1" s="25" t="str">
        <x:v>Salary Transactions</x:v>
      </x:c>
      <x:c r="C1" s="25" t="str">
        <x:v>Salary Transactions</x:v>
      </x:c>
      <x:c r="D1" s="25" t="str">
        <x:v>Salary Transactions</x:v>
      </x:c>
      <x:c r="E1" s="25" t="str">
        <x:v>Salary Transactions</x:v>
      </x:c>
      <x:c r="F1" s="25" t="str">
        <x:v>Salary Transactions</x:v>
      </x:c>
      <x:c r="G1" s="25" t="str">
        <x:v>Salary Transactions</x:v>
      </x:c>
      <x:c r="H1" s="25" t="str">
        <x:v>Salary Transactions</x:v>
      </x:c>
      <x:c r="I1" s="25" t="str">
        <x:v>Salary Transactions</x:v>
      </x:c>
      <x:c r="J1" s="25" t="str">
        <x:v>Salary Transactions</x:v>
      </x:c>
      <x:c r="K1" s="25" t="str">
        <x:v>Salary Transactions</x:v>
      </x:c>
      <x:c r="L1" s="25" t="str">
        <x:v>Salary Transactions</x:v>
      </x:c>
      <x:c r="M1" s="25" t="str">
        <x:v>Salary Transactions</x:v>
      </x:c>
      <x:c r="N1" s="25" t="str">
        <x:v>Salary Transactions</x:v>
      </x:c>
      <x:c r="O1" s="25" t="str">
        <x:v>Salary Transactions</x:v>
      </x:c>
      <x:c r="P1" s="25" t="str">
        <x:v>Salary Transactions</x:v>
      </x:c>
      <x:c r="Q1" s="25" t="str">
        <x:v>Salary Transactions</x:v>
      </x:c>
      <x:c r="R1" s="25" t="str">
        <x:v>Salary Transactions</x:v>
      </x:c>
      <x:c r="S1" s="25" t="str">
        <x:v>Salary Transactions</x:v>
      </x:c>
      <x:c r="T1" s="25" t="str">
        <x:v>Salary Transactions</x:v>
      </x:c>
      <x:c r="U1" s="25" t="str">
        <x:v>Salary Transactions</x:v>
      </x:c>
      <x:c r="V1" s="25" t="str">
        <x:v>Salary Transactions</x:v>
      </x:c>
      <x:c r="W1" s="25" t="str">
        <x:v>Salary Transactions</x:v>
      </x:c>
      <x:c r="X1" s="25" t="str">
        <x:v>Salary Transactions</x:v>
      </x:c>
      <x:c r="Y1" s="25" t="str">
        <x:v>Salary Transactions</x:v>
      </x:c>
      <x:c r="Z1" s="25" t="str">
        <x:v>Salary Transactions</x:v>
      </x:c>
      <x:c r="AA1" s="25" t="str">
        <x:v>Salary Transactions</x:v>
      </x:c>
    </x:row>
    <x:row r="2">
      <x:c r="A2" s="26" t="str">
        <x:v>Rows</x:v>
      </x:c>
      <x:c r="B2" s="26" t="n">
        <x:v>0</x:v>
      </x:c>
      <x:c r="C2" s="26" t="str">
        <x:v>Match</x:v>
      </x:c>
      <x:c r="D2" s="26" t="str">
        <x:v>Salary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27" t="str">
        <x:v>No matching transactions.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</x:row>
  </x:sheetData>
  <x:mergeCells>
    <x:mergeCell ref="A1:AA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High Transaction Transactions</x:v>
      </x:c>
      <x:c r="B1" s="25" t="str">
        <x:v>High Transaction Transactions</x:v>
      </x:c>
      <x:c r="C1" s="25" t="str">
        <x:v>High Transaction Transactions</x:v>
      </x:c>
      <x:c r="D1" s="25" t="str">
        <x:v>High Transaction Transactions</x:v>
      </x:c>
      <x:c r="E1" s="25" t="str">
        <x:v>High Transaction Transactions</x:v>
      </x:c>
      <x:c r="F1" s="25" t="str">
        <x:v>High Transaction Transactions</x:v>
      </x:c>
      <x:c r="G1" s="25" t="str">
        <x:v>High Transaction Transactions</x:v>
      </x:c>
      <x:c r="H1" s="25" t="str">
        <x:v>High Transaction Transactions</x:v>
      </x:c>
      <x:c r="I1" s="25" t="str">
        <x:v>High Transaction Transactions</x:v>
      </x:c>
      <x:c r="J1" s="25" t="str">
        <x:v>High Transaction Transactions</x:v>
      </x:c>
      <x:c r="K1" s="25" t="str">
        <x:v>High Transaction Transactions</x:v>
      </x:c>
      <x:c r="L1" s="25" t="str">
        <x:v>High Transaction Transactions</x:v>
      </x:c>
      <x:c r="M1" s="25" t="str">
        <x:v>High Transaction Transactions</x:v>
      </x:c>
      <x:c r="N1" s="25" t="str">
        <x:v>High Transaction Transactions</x:v>
      </x:c>
      <x:c r="O1" s="25" t="str">
        <x:v>High Transaction Transactions</x:v>
      </x:c>
      <x:c r="P1" s="25" t="str">
        <x:v>High Transaction Transactions</x:v>
      </x:c>
      <x:c r="Q1" s="25" t="str">
        <x:v>High Transaction Transactions</x:v>
      </x:c>
      <x:c r="R1" s="25" t="str">
        <x:v>High Transaction Transactions</x:v>
      </x:c>
      <x:c r="S1" s="25" t="str">
        <x:v>High Transaction Transactions</x:v>
      </x:c>
      <x:c r="T1" s="25" t="str">
        <x:v>High Transaction Transactions</x:v>
      </x:c>
      <x:c r="U1" s="25" t="str">
        <x:v>High Transaction Transactions</x:v>
      </x:c>
      <x:c r="V1" s="25" t="str">
        <x:v>High Transaction Transactions</x:v>
      </x:c>
      <x:c r="W1" s="25" t="str">
        <x:v>High Transaction Transactions</x:v>
      </x:c>
      <x:c r="X1" s="25" t="str">
        <x:v>High Transaction Transactions</x:v>
      </x:c>
      <x:c r="Y1" s="25" t="str">
        <x:v>High Transaction Transactions</x:v>
      </x:c>
      <x:c r="Z1" s="25" t="str">
        <x:v>High Transaction Transactions</x:v>
      </x:c>
      <x:c r="AA1" s="25" t="str">
        <x:v>High Transaction Transactions</x:v>
      </x:c>
    </x:row>
    <x:row r="2">
      <x:c r="A2" s="26" t="str">
        <x:v>Rows</x:v>
      </x:c>
      <x:c r="B2" s="26" t="n">
        <x:v>92</x:v>
      </x:c>
      <x:c r="C2" s="26" t="str">
        <x:v>Match</x:v>
      </x:c>
      <x:c r="D2" s="26" t="str">
        <x:v>High Transaction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1</x:v>
      </x:c>
      <x:c r="B5" s="14" t="str">
        <x:v>273.pdf</x:v>
      </x:c>
      <x:c r="C5" s="15" t="n">
        <x:v>45181</x:v>
      </x:c>
      <x:c r="D5" s="15" t="n">
        <x:v>46146</x:v>
      </x:c>
      <x:c r="E5" s="15" t="n">
        <x:v>46114</x:v>
      </x:c>
      <x:c r="F5" s="15" t="n">
        <x:v>46114</x:v>
      </x:c>
      <x:c r="G5" s="16" t="str">
        <x:v>EBANK:WIB/1502 Dr EBANK:WIB/1502021829/Edfs</x:v>
      </x:c>
      <x:c r="H5" s="14" t="str"/>
      <x:c r="I5" s="14" t="str">
        <x:v>Payment</x:v>
      </x:c>
      <x:c r="J5" s="17" t="n">
        <x:v>681881.6</x:v>
      </x:c>
      <x:c r="K5" s="17" t="n">
        <x:v>0</x:v>
      </x:c>
      <x:c r="L5" s="17" t="n">
        <x:v>681881.6</x:v>
      </x:c>
      <x:c r="M5" s="17" t="n">
        <x:v>-9317737.2</x:v>
      </x:c>
      <x:c r="N5" s="14" t="str">
        <x:v>High Transaction</x:v>
      </x:c>
      <x:c r="O5" s="14" t="str">
        <x:v>No</x:v>
      </x:c>
      <x:c r="P5" s="14" t="str">
        <x:v>EBANKWIB</x:v>
      </x:c>
      <x:c r="Q5" s="14" t="n">
        <x:v>0</x:v>
      </x:c>
      <x:c r="R5" s="14" t="n">
        <x:v>0</x:v>
      </x:c>
      <x:c r="S5" s="14" t="n">
        <x:v>0</x:v>
      </x:c>
      <x:c r="T5" s="14" t="n">
        <x:v>0</x:v>
      </x:c>
      <x:c r="U5" s="14" t="n">
        <x:v>1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</x:row>
    <x:row r="6">
      <x:c r="A6" s="14" t="n">
        <x:v>3</x:v>
      </x:c>
      <x:c r="B6" s="14" t="str">
        <x:v>273.pdf</x:v>
      </x:c>
      <x:c r="C6" s="15" t="n">
        <x:v>45181</x:v>
      </x:c>
      <x:c r="D6" s="15" t="n">
        <x:v>46146</x:v>
      </x:c>
      <x:c r="E6" s="15" t="n">
        <x:v>46114</x:v>
      </x:c>
      <x:c r="F6" s="15" t="n">
        <x:v>46114</x:v>
      </x:c>
      <x:c r="G6" s="16" t="str">
        <x:v>EBANK:WIB/1502 Dr EBANK:WIB/1502110539/Edfs</x:v>
      </x:c>
      <x:c r="H6" s="14" t="str"/>
      <x:c r="I6" s="14" t="str">
        <x:v>Receipt</x:v>
      </x:c>
      <x:c r="J6" s="17" t="n">
        <x:v>0</x:v>
      </x:c>
      <x:c r="K6" s="17" t="n">
        <x:v>248340</x:v>
      </x:c>
      <x:c r="L6" s="17" t="n">
        <x:v>248340</x:v>
      </x:c>
      <x:c r="M6" s="17" t="n">
        <x:v>-9074643.8</x:v>
      </x:c>
      <x:c r="N6" s="14" t="str">
        <x:v>High Transaction; Recurring Transaction</x:v>
      </x:c>
      <x:c r="O6" s="14" t="str">
        <x:v>Yes</x:v>
      </x:c>
      <x:c r="P6" s="14" t="str">
        <x:v>EBANKWIB</x:v>
      </x:c>
      <x:c r="Q6" s="14" t="n">
        <x:v>0</x:v>
      </x:c>
      <x:c r="R6" s="14" t="n">
        <x:v>1</x:v>
      </x:c>
      <x:c r="S6" s="14" t="n">
        <x:v>0</x:v>
      </x:c>
      <x:c r="T6" s="14" t="n">
        <x:v>0</x:v>
      </x:c>
      <x:c r="U6" s="14" t="n">
        <x:v>1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</x:row>
    <x:row r="7">
      <x:c r="A7" s="14" t="n">
        <x:v>5</x:v>
      </x:c>
      <x:c r="B7" s="14" t="str">
        <x:v>273.pdf</x:v>
      </x:c>
      <x:c r="C7" s="15" t="n">
        <x:v>45181</x:v>
      </x:c>
      <x:c r="D7" s="15" t="n">
        <x:v>46146</x:v>
      </x:c>
      <x:c r="E7" s="15" t="n">
        <x:v>46114</x:v>
      </x:c>
      <x:c r="F7" s="15" t="n">
        <x:v>46114</x:v>
      </x:c>
      <x:c r="G7" s="16" t="str">
        <x:v>VIRARW-THANE/B Dr BY CASH</x:v>
      </x:c>
      <x:c r="H7" s="14" t="str"/>
      <x:c r="I7" s="14" t="str">
        <x:v>Receipt</x:v>
      </x:c>
      <x:c r="J7" s="17" t="n">
        <x:v>0</x:v>
      </x:c>
      <x:c r="K7" s="17" t="n">
        <x:v>426000</x:v>
      </x:c>
      <x:c r="L7" s="17" t="n">
        <x:v>426000</x:v>
      </x:c>
      <x:c r="M7" s="17" t="n">
        <x:v>-8581143.8</x:v>
      </x:c>
      <x:c r="N7" s="14" t="str">
        <x:v>Cash; High Transaction; Recurring Transaction</x:v>
      </x:c>
      <x:c r="O7" s="14" t="str">
        <x:v>Yes</x:v>
      </x:c>
      <x:c r="P7" s="14" t="str">
        <x:v>B DR BY CASH</x:v>
      </x:c>
      <x:c r="Q7" s="14" t="n">
        <x:v>1</x:v>
      </x:c>
      <x:c r="R7" s="14" t="n">
        <x:v>1</x:v>
      </x:c>
      <x:c r="S7" s="14" t="n">
        <x:v>0</x:v>
      </x:c>
      <x:c r="T7" s="14" t="n">
        <x:v>0</x:v>
      </x:c>
      <x:c r="U7" s="14" t="n">
        <x:v>1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46114</x:v>
      </x:c>
    </x:row>
    <x:row r="8">
      <x:c r="A8" s="14" t="n">
        <x:v>6</x:v>
      </x:c>
      <x:c r="B8" s="14" t="str">
        <x:v>273.pdf</x:v>
      </x:c>
      <x:c r="C8" s="15" t="n">
        <x:v>45181</x:v>
      </x:c>
      <x:c r="D8" s="15" t="n">
        <x:v>46146</x:v>
      </x:c>
      <x:c r="E8" s="15" t="n">
        <x:v>46114</x:v>
      </x:c>
      <x:c r="F8" s="15" t="n">
        <x:v>46114</x:v>
      </x:c>
      <x:c r="G8" s="16" t="str">
        <x:v>EBANK:WIB/1502 Dr EBANK:WIB/1502234210/Edfs</x:v>
      </x:c>
      <x:c r="H8" s="14" t="str"/>
      <x:c r="I8" s="14" t="str">
        <x:v>Receipt</x:v>
      </x:c>
      <x:c r="J8" s="17" t="n">
        <x:v>0</x:v>
      </x:c>
      <x:c r="K8" s="17" t="n">
        <x:v>791482.5</x:v>
      </x:c>
      <x:c r="L8" s="17" t="n">
        <x:v>791482.5</x:v>
      </x:c>
      <x:c r="M8" s="17" t="n">
        <x:v>-7789661.3</x:v>
      </x:c>
      <x:c r="N8" s="14" t="str">
        <x:v>High Transaction; Recurring Transaction</x:v>
      </x:c>
      <x:c r="O8" s="14" t="str">
        <x:v>Yes</x:v>
      </x:c>
      <x:c r="P8" s="14" t="str">
        <x:v>EBANKWIB</x:v>
      </x:c>
      <x:c r="Q8" s="14" t="n">
        <x:v>0</x:v>
      </x:c>
      <x:c r="R8" s="14" t="n">
        <x:v>1</x:v>
      </x:c>
      <x:c r="S8" s="14" t="n">
        <x:v>0</x:v>
      </x:c>
      <x:c r="T8" s="14" t="n">
        <x:v>0</x:v>
      </x:c>
      <x:c r="U8" s="14" t="n">
        <x:v>1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46114</x:v>
      </x:c>
    </x:row>
    <x:row r="9">
      <x:c r="A9" s="14" t="n">
        <x:v>7</x:v>
      </x:c>
      <x:c r="B9" s="14" t="str">
        <x:v>273.pdf</x:v>
      </x:c>
      <x:c r="C9" s="15" t="n">
        <x:v>45181</x:v>
      </x:c>
      <x:c r="D9" s="15" t="n">
        <x:v>46146</x:v>
      </x:c>
      <x:c r="E9" s="15" t="n">
        <x:v>46114</x:v>
      </x:c>
      <x:c r="F9" s="15" t="n">
        <x:v>46114</x:v>
      </x:c>
      <x:c r="G9" s="16" t="str">
        <x:v>RTGS-BARBR5202 Dr RTGS-BARBR52026040200930050-HINDUSTAN PETROLEUM CO</x:v>
      </x:c>
      <x:c r="H9" s="14" t="str"/>
      <x:c r="I9" s="14" t="str">
        <x:v>Payment</x:v>
      </x:c>
      <x:c r="J9" s="17" t="n">
        <x:v>1410247.26</x:v>
      </x:c>
      <x:c r="K9" s="17" t="n">
        <x:v>0</x:v>
      </x:c>
      <x:c r="L9" s="17" t="n">
        <x:v>1410247.26</x:v>
      </x:c>
      <x:c r="M9" s="17" t="n">
        <x:v>-9199908.56</x:v>
      </x:c>
      <x:c r="N9" s="14" t="str">
        <x:v>High Transaction; Recurring Transaction</x:v>
      </x:c>
      <x:c r="O9" s="14" t="str">
        <x:v>Yes</x:v>
      </x:c>
      <x:c r="P9" s="14" t="str">
        <x:v>BARBR DR RTGS</x:v>
      </x:c>
      <x:c r="Q9" s="14" t="n">
        <x:v>0</x:v>
      </x:c>
      <x:c r="R9" s="14" t="n">
        <x:v>1</x:v>
      </x:c>
      <x:c r="S9" s="14" t="n">
        <x:v>0</x:v>
      </x:c>
      <x:c r="T9" s="14" t="n">
        <x:v>0</x:v>
      </x:c>
      <x:c r="U9" s="14" t="n">
        <x:v>1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46114</x:v>
      </x:c>
    </x:row>
    <x:row r="10">
      <x:c r="A10" s="14" t="n">
        <x:v>8</x:v>
      </x:c>
      <x:c r="B10" s="14" t="str">
        <x:v>273.pdf</x:v>
      </x:c>
      <x:c r="C10" s="15" t="n">
        <x:v>45181</x:v>
      </x:c>
      <x:c r="D10" s="15" t="n">
        <x:v>46146</x:v>
      </x:c>
      <x:c r="E10" s="15" t="n">
        <x:v>46115</x:v>
      </x:c>
      <x:c r="F10" s="15" t="n">
        <x:v>46115</x:v>
      </x:c>
      <x:c r="G10" s="16" t="str">
        <x:v>EBANK:WIB/1502 Dr EBANK:WIB/1502413595/Edfs</x:v>
      </x:c>
      <x:c r="H10" s="14" t="str"/>
      <x:c r="I10" s="14" t="str">
        <x:v>Receipt</x:v>
      </x:c>
      <x:c r="J10" s="17" t="n">
        <x:v>0</x:v>
      </x:c>
      <x:c r="K10" s="17" t="n">
        <x:v>790104.58</x:v>
      </x:c>
      <x:c r="L10" s="17" t="n">
        <x:v>790104.58</x:v>
      </x:c>
      <x:c r="M10" s="17" t="n">
        <x:v>-8409803.98</x:v>
      </x:c>
      <x:c r="N10" s="14" t="str">
        <x:v>High Transaction; Recurring Transaction</x:v>
      </x:c>
      <x:c r="O10" s="14" t="str">
        <x:v>Yes</x:v>
      </x:c>
      <x:c r="P10" s="14" t="str">
        <x:v>EBANKWIB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1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46115</x:v>
      </x:c>
    </x:row>
    <x:row r="11">
      <x:c r="A11" s="14" t="n">
        <x:v>11</x:v>
      </x:c>
      <x:c r="B11" s="14" t="str">
        <x:v>273.pdf</x:v>
      </x:c>
      <x:c r="C11" s="15" t="n">
        <x:v>45181</x:v>
      </x:c>
      <x:c r="D11" s="15" t="n">
        <x:v>46146</x:v>
      </x:c>
      <x:c r="E11" s="15" t="n">
        <x:v>46116</x:v>
      </x:c>
      <x:c r="F11" s="15" t="n">
        <x:v>46116</x:v>
      </x:c>
      <x:c r="G11" s="16" t="str">
        <x:v>EBANK:WIB/1502 Dr EBANK:WIB/1502423934/Edfs</x:v>
      </x:c>
      <x:c r="H11" s="14" t="str"/>
      <x:c r="I11" s="14" t="str">
        <x:v>Receipt</x:v>
      </x:c>
      <x:c r="J11" s="17" t="n">
        <x:v>0</x:v>
      </x:c>
      <x:c r="K11" s="17" t="n">
        <x:v>240091</x:v>
      </x:c>
      <x:c r="L11" s="17" t="n">
        <x:v>240091</x:v>
      </x:c>
      <x:c r="M11" s="17" t="n">
        <x:v>-8174971.7</x:v>
      </x:c>
      <x:c r="N11" s="14" t="str">
        <x:v>High Transaction; Recurring Transaction</x:v>
      </x:c>
      <x:c r="O11" s="14" t="str">
        <x:v>Yes</x:v>
      </x:c>
      <x:c r="P11" s="14" t="str">
        <x:v>EBANKWIB</x:v>
      </x:c>
      <x:c r="Q11" s="14" t="n">
        <x:v>0</x:v>
      </x:c>
      <x:c r="R11" s="14" t="n">
        <x:v>1</x:v>
      </x:c>
      <x:c r="S11" s="14" t="n">
        <x:v>0</x:v>
      </x:c>
      <x:c r="T11" s="14" t="n">
        <x:v>0</x:v>
      </x:c>
      <x:c r="U11" s="14" t="n">
        <x:v>1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46116</x:v>
      </x:c>
    </x:row>
    <x:row r="12">
      <x:c r="A12" s="14" t="n">
        <x:v>12</x:v>
      </x:c>
      <x:c r="B12" s="14" t="str">
        <x:v>273.pdf</x:v>
      </x:c>
      <x:c r="C12" s="15" t="n">
        <x:v>45181</x:v>
      </x:c>
      <x:c r="D12" s="15" t="n">
        <x:v>46146</x:v>
      </x:c>
      <x:c r="E12" s="15" t="n">
        <x:v>46116</x:v>
      </x:c>
      <x:c r="F12" s="15" t="n">
        <x:v>46116</x:v>
      </x:c>
      <x:c r="G12" s="16" t="str">
        <x:v>BY CASH Dr BY CASH</x:v>
      </x:c>
      <x:c r="H12" s="14" t="str"/>
      <x:c r="I12" s="14" t="str">
        <x:v>Receipt</x:v>
      </x:c>
      <x:c r="J12" s="17" t="n">
        <x:v>0</x:v>
      </x:c>
      <x:c r="K12" s="17" t="n">
        <x:v>423500</x:v>
      </x:c>
      <x:c r="L12" s="17" t="n">
        <x:v>423500</x:v>
      </x:c>
      <x:c r="M12" s="17" t="n">
        <x:v>-7751471.7</x:v>
      </x:c>
      <x:c r="N12" s="14" t="str">
        <x:v>Cash; High Transaction; Recurring Transaction</x:v>
      </x:c>
      <x:c r="O12" s="14" t="str">
        <x:v>Yes</x:v>
      </x:c>
      <x:c r="P12" s="14" t="str">
        <x:v>BY CASH DR BY CASH</x:v>
      </x:c>
      <x:c r="Q12" s="14" t="n">
        <x:v>1</x:v>
      </x:c>
      <x:c r="R12" s="14" t="n">
        <x:v>1</x:v>
      </x:c>
      <x:c r="S12" s="14" t="n">
        <x:v>0</x:v>
      </x:c>
      <x:c r="T12" s="14" t="n">
        <x:v>0</x:v>
      </x:c>
      <x:c r="U12" s="14" t="n">
        <x:v>1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46116</x:v>
      </x:c>
    </x:row>
    <x:row r="13">
      <x:c r="A13" s="14" t="n">
        <x:v>13</x:v>
      </x:c>
      <x:c r="B13" s="14" t="str">
        <x:v>273.pdf</x:v>
      </x:c>
      <x:c r="C13" s="15" t="n">
        <x:v>45181</x:v>
      </x:c>
      <x:c r="D13" s="15" t="n">
        <x:v>46146</x:v>
      </x:c>
      <x:c r="E13" s="15" t="n">
        <x:v>46116</x:v>
      </x:c>
      <x:c r="F13" s="15" t="n">
        <x:v>46116</x:v>
      </x:c>
      <x:c r="G13" s="16" t="str">
        <x:v>EBANK:WIB/1502 Dr ---------------------------------------------------------------------------------------------------------------------------------- Page Total: 14,20,752.58 37,89,230.05 76,31,141.33Dr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</x:v>
      </x:c>
      <x:c r="H13" s="14" t="str"/>
      <x:c r="I13" s="14" t="str">
        <x:v>Receipt</x:v>
      </x:c>
      <x:c r="J13" s="17" t="n">
        <x:v>0</x:v>
      </x:c>
      <x:c r="K13" s="17" t="n">
        <x:v>120330.37</x:v>
      </x:c>
      <x:c r="L13" s="17" t="n">
        <x:v>120330.37</x:v>
      </x:c>
      <x:c r="M13" s="17" t="n">
        <x:v>-7631141.33</x:v>
      </x:c>
      <x:c r="N13" s="14" t="str">
        <x:v>High Transaction; Recurring Transaction</x:v>
      </x:c>
      <x:c r="O13" s="14" t="str">
        <x:v>Yes</x:v>
      </x:c>
      <x:c r="P13" s="14" t="str">
        <x:v>EBANKWIB</x:v>
      </x:c>
      <x:c r="Q13" s="14" t="n">
        <x:v>0</x:v>
      </x:c>
      <x:c r="R13" s="14" t="n">
        <x:v>1</x:v>
      </x:c>
      <x:c r="S13" s="14" t="n">
        <x:v>0</x:v>
      </x:c>
      <x:c r="T13" s="14" t="n">
        <x:v>0</x:v>
      </x:c>
      <x:c r="U13" s="14" t="n">
        <x:v>1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46116</x:v>
      </x:c>
    </x:row>
    <x:row r="14">
      <x:c r="A14" s="14" t="n">
        <x:v>14</x:v>
      </x:c>
      <x:c r="B14" s="14" t="str">
        <x:v>273.pdf</x:v>
      </x:c>
      <x:c r="C14" s="15" t="n">
        <x:v>45181</x:v>
      </x:c>
      <x:c r="D14" s="15" t="n">
        <x:v>46146</x:v>
      </x:c>
      <x:c r="E14" s="15" t="n">
        <x:v>46116</x:v>
      </x:c>
      <x:c r="F14" s="15" t="n">
        <x:v>46116</x:v>
      </x:c>
      <x:c r="G14" s="16" t="str">
        <x:v>RTGS-BARBR5202 Dr RTGS-BARBR52026040400789528-HINDUSTAN PETROLEUM CO</x:v>
      </x:c>
      <x:c r="H14" s="14" t="str"/>
      <x:c r="I14" s="14" t="str">
        <x:v>Payment</x:v>
      </x:c>
      <x:c r="J14" s="17" t="n">
        <x:v>1854884.36</x:v>
      </x:c>
      <x:c r="K14" s="17" t="n">
        <x:v>0</x:v>
      </x:c>
      <x:c r="L14" s="17" t="n">
        <x:v>1854884.36</x:v>
      </x:c>
      <x:c r="M14" s="17" t="n">
        <x:v>-9486025.69</x:v>
      </x:c>
      <x:c r="N14" s="14" t="str">
        <x:v>High Transaction; Recurring Transaction</x:v>
      </x:c>
      <x:c r="O14" s="14" t="str">
        <x:v>Yes</x:v>
      </x:c>
      <x:c r="P14" s="14" t="str">
        <x:v>BARBR DR RTGS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1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46116</x:v>
      </x:c>
    </x:row>
    <x:row r="15">
      <x:c r="A15" s="14" t="n">
        <x:v>15</x:v>
      </x:c>
      <x:c r="B15" s="14" t="str">
        <x:v>273.pdf</x:v>
      </x:c>
      <x:c r="C15" s="15" t="n">
        <x:v>45181</x:v>
      </x:c>
      <x:c r="D15" s="15" t="n">
        <x:v>46146</x:v>
      </x:c>
      <x:c r="E15" s="15" t="n">
        <x:v>46117</x:v>
      </x:c>
      <x:c r="F15" s="15" t="n">
        <x:v>46117</x:v>
      </x:c>
      <x:c r="G15" s="16" t="str">
        <x:v>EBANK:WIB/1502 Dr EBANK:WIB/1502577386/Edfs</x:v>
      </x:c>
      <x:c r="H15" s="14" t="str"/>
      <x:c r="I15" s="14" t="str">
        <x:v>Receipt</x:v>
      </x:c>
      <x:c r="J15" s="17" t="n">
        <x:v>0</x:v>
      </x:c>
      <x:c r="K15" s="17" t="n">
        <x:v>300403.36</x:v>
      </x:c>
      <x:c r="L15" s="17" t="n">
        <x:v>300403.36</x:v>
      </x:c>
      <x:c r="M15" s="17" t="n">
        <x:v>-9185622.33</x:v>
      </x:c>
      <x:c r="N15" s="14" t="str">
        <x:v>High Transaction; Recurring Transaction</x:v>
      </x:c>
      <x:c r="O15" s="14" t="str">
        <x:v>Yes</x:v>
      </x:c>
      <x:c r="P15" s="14" t="str">
        <x:v>EBANKWIB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1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46117</x:v>
      </x:c>
    </x:row>
    <x:row r="16">
      <x:c r="A16" s="14" t="n">
        <x:v>16</x:v>
      </x:c>
      <x:c r="B16" s="14" t="str">
        <x:v>273.pdf</x:v>
      </x:c>
      <x:c r="C16" s="15" t="n">
        <x:v>45181</x:v>
      </x:c>
      <x:c r="D16" s="15" t="n">
        <x:v>46146</x:v>
      </x:c>
      <x:c r="E16" s="15" t="n">
        <x:v>46118</x:v>
      </x:c>
      <x:c r="F16" s="15" t="n">
        <x:v>46118</x:v>
      </x:c>
      <x:c r="G16" s="16" t="str">
        <x:v>EBANK:WIB/1502 Dr https://cbdrpt101.bankofbaroda.co.in:22000/finbranch/arjspmorph/INFENG/tran_rpt.jsp?... 04-05-2026 EBANK:WIB/1502642025/Edfs</x:v>
      </x:c>
      <x:c r="H16" s="14" t="str"/>
      <x:c r="I16" s="14" t="str">
        <x:v>Receipt</x:v>
      </x:c>
      <x:c r="J16" s="17" t="n">
        <x:v>0</x:v>
      </x:c>
      <x:c r="K16" s="17" t="n">
        <x:v>365780.21</x:v>
      </x:c>
      <x:c r="L16" s="17" t="n">
        <x:v>365780.21</x:v>
      </x:c>
      <x:c r="M16" s="17" t="n">
        <x:v>-8819842.12</x:v>
      </x:c>
      <x:c r="N16" s="14" t="str">
        <x:v>High Transaction; Recurring Transaction</x:v>
      </x:c>
      <x:c r="O16" s="14" t="str">
        <x:v>Yes</x:v>
      </x:c>
      <x:c r="P16" s="14" t="str">
        <x:v>EBANKWIB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46118</x:v>
      </x:c>
    </x:row>
    <x:row r="17">
      <x:c r="A17" s="14" t="n">
        <x:v>17</x:v>
      </x:c>
      <x:c r="B17" s="14" t="str">
        <x:v>273.pdf</x:v>
      </x:c>
      <x:c r="C17" s="15" t="n">
        <x:v>45181</x:v>
      </x:c>
      <x:c r="D17" s="15" t="n">
        <x:v>46146</x:v>
      </x:c>
      <x:c r="E17" s="15" t="n">
        <x:v>46118</x:v>
      </x:c>
      <x:c r="F17" s="15" t="n">
        <x:v>46118</x:v>
      </x:c>
      <x:c r="G17" s="16" t="str">
        <x:v>BY CASH Dr BY CASH</x:v>
      </x:c>
      <x:c r="H17" s="14" t="str"/>
      <x:c r="I17" s="14" t="str">
        <x:v>Receipt</x:v>
      </x:c>
      <x:c r="J17" s="17" t="n">
        <x:v>0</x:v>
      </x:c>
      <x:c r="K17" s="17" t="n">
        <x:v>273000</x:v>
      </x:c>
      <x:c r="L17" s="17" t="n">
        <x:v>273000</x:v>
      </x:c>
      <x:c r="M17" s="17" t="n">
        <x:v>-8546842.12</x:v>
      </x:c>
      <x:c r="N17" s="14" t="str">
        <x:v>Cash; High Transaction; Recurring Transaction</x:v>
      </x:c>
      <x:c r="O17" s="14" t="str">
        <x:v>Yes</x:v>
      </x:c>
      <x:c r="P17" s="14" t="str">
        <x:v>BY CASH DR BY CASH</x:v>
      </x:c>
      <x:c r="Q17" s="14" t="n">
        <x:v>1</x:v>
      </x:c>
      <x:c r="R17" s="14" t="n">
        <x:v>1</x:v>
      </x:c>
      <x:c r="S17" s="14" t="n">
        <x:v>0</x:v>
      </x:c>
      <x:c r="T17" s="14" t="n">
        <x:v>0</x:v>
      </x:c>
      <x:c r="U17" s="14" t="n">
        <x:v>1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46118</x:v>
      </x:c>
    </x:row>
    <x:row r="18">
      <x:c r="A18" s="14" t="n">
        <x:v>18</x:v>
      </x:c>
      <x:c r="B18" s="14" t="str">
        <x:v>273.pdf</x:v>
      </x:c>
      <x:c r="C18" s="15" t="n">
        <x:v>45181</x:v>
      </x:c>
      <x:c r="D18" s="15" t="n">
        <x:v>46146</x:v>
      </x:c>
      <x:c r="E18" s="15" t="n">
        <x:v>46118</x:v>
      </x:c>
      <x:c r="F18" s="15" t="n">
        <x:v>46118</x:v>
      </x:c>
      <x:c r="G18" s="16" t="str">
        <x:v>EBANK:WIB/1502 Dr EBANK:WIB/1502790855/Edfs</x:v>
      </x:c>
      <x:c r="H18" s="14" t="str"/>
      <x:c r="I18" s="14" t="str">
        <x:v>Receipt</x:v>
      </x:c>
      <x:c r="J18" s="17" t="n">
        <x:v>0</x:v>
      </x:c>
      <x:c r="K18" s="17" t="n">
        <x:v>198114</x:v>
      </x:c>
      <x:c r="L18" s="17" t="n">
        <x:v>198114</x:v>
      </x:c>
      <x:c r="M18" s="17" t="n">
        <x:v>-8348728.12</x:v>
      </x:c>
      <x:c r="N18" s="14" t="str">
        <x:v>High Transaction; Recurring Transaction</x:v>
      </x:c>
      <x:c r="O18" s="14" t="str">
        <x:v>Yes</x:v>
      </x:c>
      <x:c r="P18" s="14" t="str">
        <x:v>EBANKWIB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1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46118</x:v>
      </x:c>
    </x:row>
    <x:row r="19">
      <x:c r="A19" s="14" t="n">
        <x:v>20</x:v>
      </x:c>
      <x:c r="B19" s="14" t="str">
        <x:v>273.pdf</x:v>
      </x:c>
      <x:c r="C19" s="15" t="n">
        <x:v>45181</x:v>
      </x:c>
      <x:c r="D19" s="15" t="n">
        <x:v>46146</x:v>
      </x:c>
      <x:c r="E19" s="15" t="n">
        <x:v>46119</x:v>
      </x:c>
      <x:c r="F19" s="15" t="n">
        <x:v>46119</x:v>
      </x:c>
      <x:c r="G19" s="16" t="str">
        <x:v>EBANK:WIB/1502 Dr EBANK:WIB/1502821939/Edfs</x:v>
      </x:c>
      <x:c r="H19" s="14" t="str"/>
      <x:c r="I19" s="14" t="str">
        <x:v>Receipt</x:v>
      </x:c>
      <x:c r="J19" s="17" t="n">
        <x:v>0</x:v>
      </x:c>
      <x:c r="K19" s="17" t="n">
        <x:v>330493.07</x:v>
      </x:c>
      <x:c r="L19" s="17" t="n">
        <x:v>330493.07</x:v>
      </x:c>
      <x:c r="M19" s="17" t="n">
        <x:v>-8023967.45</x:v>
      </x:c>
      <x:c r="N19" s="14" t="str">
        <x:v>High Transaction; Recurring Transaction</x:v>
      </x:c>
      <x:c r="O19" s="14" t="str">
        <x:v>Yes</x:v>
      </x:c>
      <x:c r="P19" s="14" t="str">
        <x:v>EBANKWIB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1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46119</x:v>
      </x:c>
    </x:row>
    <x:row r="20">
      <x:c r="A20" s="14" t="n">
        <x:v>21</x:v>
      </x:c>
      <x:c r="B20" s="14" t="str">
        <x:v>273.pdf</x:v>
      </x:c>
      <x:c r="C20" s="15" t="n">
        <x:v>45181</x:v>
      </x:c>
      <x:c r="D20" s="15" t="n">
        <x:v>46146</x:v>
      </x:c>
      <x:c r="E20" s="15" t="n">
        <x:v>46119</x:v>
      </x:c>
      <x:c r="F20" s="15" t="n">
        <x:v>46119</x:v>
      </x:c>
      <x:c r="G20" s="16" t="str">
        <x:v>EBANK:WIB/1502 Dr EBANK:WIB/1502986421/Edfs</x:v>
      </x:c>
      <x:c r="H20" s="14" t="str"/>
      <x:c r="I20" s="14" t="str">
        <x:v>Receipt</x:v>
      </x:c>
      <x:c r="J20" s="17" t="n">
        <x:v>0</x:v>
      </x:c>
      <x:c r="K20" s="17" t="n">
        <x:v>137582.35</x:v>
      </x:c>
      <x:c r="L20" s="17" t="n">
        <x:v>137582.35</x:v>
      </x:c>
      <x:c r="M20" s="17" t="n">
        <x:v>-7886385.1</x:v>
      </x:c>
      <x:c r="N20" s="14" t="str">
        <x:v>High Transaction; Recurring Transaction</x:v>
      </x:c>
      <x:c r="O20" s="14" t="str">
        <x:v>Yes</x:v>
      </x:c>
      <x:c r="P20" s="14" t="str">
        <x:v>EBANKWIB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1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46119</x:v>
      </x:c>
    </x:row>
    <x:row r="21">
      <x:c r="A21" s="14" t="n">
        <x:v>22</x:v>
      </x:c>
      <x:c r="B21" s="14" t="str">
        <x:v>273.pdf</x:v>
      </x:c>
      <x:c r="C21" s="15" t="n">
        <x:v>45181</x:v>
      </x:c>
      <x:c r="D21" s="15" t="n">
        <x:v>46146</x:v>
      </x:c>
      <x:c r="E21" s="15" t="n">
        <x:v>46119</x:v>
      </x:c>
      <x:c r="F21" s="15" t="n">
        <x:v>46119</x:v>
      </x:c>
      <x:c r="G21" s="16" t="str">
        <x:v>RTGS-BARBR5202 Dr RTGS-BARBR52026040700945156-HINDUSTAN PETROLEUM CO</x:v>
      </x:c>
      <x:c r="H21" s="14" t="str"/>
      <x:c r="I21" s="14" t="str">
        <x:v>Payment</x:v>
      </x:c>
      <x:c r="J21" s="17" t="n">
        <x:v>1902609.28</x:v>
      </x:c>
      <x:c r="K21" s="17" t="n">
        <x:v>0</x:v>
      </x:c>
      <x:c r="L21" s="17" t="n">
        <x:v>1902609.28</x:v>
      </x:c>
      <x:c r="M21" s="17" t="n">
        <x:v>-9788994.38</x:v>
      </x:c>
      <x:c r="N21" s="14" t="str">
        <x:v>High Transaction; Recurring Transaction</x:v>
      </x:c>
      <x:c r="O21" s="14" t="str">
        <x:v>Yes</x:v>
      </x:c>
      <x:c r="P21" s="14" t="str">
        <x:v>BARBR DR RTGS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1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46119</x:v>
      </x:c>
    </x:row>
    <x:row r="22">
      <x:c r="A22" s="14" t="n">
        <x:v>23</x:v>
      </x:c>
      <x:c r="B22" s="14" t="str">
        <x:v>273.pdf</x:v>
      </x:c>
      <x:c r="C22" s="15" t="n">
        <x:v>45181</x:v>
      </x:c>
      <x:c r="D22" s="15" t="n">
        <x:v>46146</x:v>
      </x:c>
      <x:c r="E22" s="15" t="n">
        <x:v>46120</x:v>
      </x:c>
      <x:c r="F22" s="15" t="n">
        <x:v>46120</x:v>
      </x:c>
      <x:c r="G22" s="16" t="str">
        <x:v>EBANK:WIB/1503 Dr EBANK:WIB/1503050809/Edfs</x:v>
      </x:c>
      <x:c r="H22" s="14" t="str"/>
      <x:c r="I22" s="14" t="str">
        <x:v>Receipt</x:v>
      </x:c>
      <x:c r="J22" s="17" t="n">
        <x:v>0</x:v>
      </x:c>
      <x:c r="K22" s="17" t="n">
        <x:v>381113</x:v>
      </x:c>
      <x:c r="L22" s="17" t="n">
        <x:v>381113</x:v>
      </x:c>
      <x:c r="M22" s="17" t="n">
        <x:v>-9407881.38</x:v>
      </x:c>
      <x:c r="N22" s="14" t="str">
        <x:v>High Transaction; Recurring Transaction</x:v>
      </x:c>
      <x:c r="O22" s="14" t="str">
        <x:v>Yes</x:v>
      </x:c>
      <x:c r="P22" s="14" t="str">
        <x:v>EBANKWIB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1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46120</x:v>
      </x:c>
    </x:row>
    <x:row r="23">
      <x:c r="A23" s="14" t="n">
        <x:v>24</x:v>
      </x:c>
      <x:c r="B23" s="14" t="str">
        <x:v>273.pdf</x:v>
      </x:c>
      <x:c r="C23" s="15" t="n">
        <x:v>45181</x:v>
      </x:c>
      <x:c r="D23" s="15" t="n">
        <x:v>46146</x:v>
      </x:c>
      <x:c r="E23" s="15" t="n">
        <x:v>46120</x:v>
      </x:c>
      <x:c r="F23" s="15" t="n">
        <x:v>46120</x:v>
      </x:c>
      <x:c r="G23" s="16" t="str">
        <x:v>BY CASH Dr BY CASH</x:v>
      </x:c>
      <x:c r="H23" s="14" t="str"/>
      <x:c r="I23" s="14" t="str">
        <x:v>Receipt</x:v>
      </x:c>
      <x:c r="J23" s="17" t="n">
        <x:v>0</x:v>
      </x:c>
      <x:c r="K23" s="17" t="n">
        <x:v>115000</x:v>
      </x:c>
      <x:c r="L23" s="17" t="n">
        <x:v>115000</x:v>
      </x:c>
      <x:c r="M23" s="17" t="n">
        <x:v>-9292881.38</x:v>
      </x:c>
      <x:c r="N23" s="14" t="str">
        <x:v>Cash; High Transaction; Recurring Transaction</x:v>
      </x:c>
      <x:c r="O23" s="14" t="str">
        <x:v>Yes</x:v>
      </x:c>
      <x:c r="P23" s="14" t="str">
        <x:v>BY CASH DR BY CASH</x:v>
      </x:c>
      <x:c r="Q23" s="14" t="n">
        <x:v>1</x:v>
      </x:c>
      <x:c r="R23" s="14" t="n">
        <x:v>1</x:v>
      </x:c>
      <x:c r="S23" s="14" t="n">
        <x:v>0</x:v>
      </x:c>
      <x:c r="T23" s="14" t="n">
        <x:v>0</x:v>
      </x:c>
      <x:c r="U23" s="14" t="n">
        <x:v>1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46120</x:v>
      </x:c>
    </x:row>
    <x:row r="24">
      <x:c r="A24" s="14" t="n">
        <x:v>25</x:v>
      </x:c>
      <x:c r="B24" s="14" t="str">
        <x:v>273.pdf</x:v>
      </x:c>
      <x:c r="C24" s="15" t="n">
        <x:v>45181</x:v>
      </x:c>
      <x:c r="D24" s="15" t="n">
        <x:v>46146</x:v>
      </x:c>
      <x:c r="E24" s="15" t="n">
        <x:v>46120</x:v>
      </x:c>
      <x:c r="F24" s="15" t="n">
        <x:v>46120</x:v>
      </x:c>
      <x:c r="G24" s="16" t="str">
        <x:v>EBANK:WIB/1503 Dr EBANK:WIB/1503170712/Edfs</x:v>
      </x:c>
      <x:c r="H24" s="14" t="str"/>
      <x:c r="I24" s="14" t="str">
        <x:v>Receipt</x:v>
      </x:c>
      <x:c r="J24" s="17" t="n">
        <x:v>0</x:v>
      </x:c>
      <x:c r="K24" s="17" t="n">
        <x:v>108620</x:v>
      </x:c>
      <x:c r="L24" s="17" t="n">
        <x:v>108620</x:v>
      </x:c>
      <x:c r="M24" s="17" t="n">
        <x:v>-9184261.38</x:v>
      </x:c>
      <x:c r="N24" s="14" t="str">
        <x:v>High Transaction; Recurring Transaction</x:v>
      </x:c>
      <x:c r="O24" s="14" t="str">
        <x:v>Yes</x:v>
      </x:c>
      <x:c r="P24" s="14" t="str">
        <x:v>EBANKWIB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1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46120</x:v>
      </x:c>
    </x:row>
    <x:row r="25">
      <x:c r="A25" s="14" t="n">
        <x:v>28</x:v>
      </x:c>
      <x:c r="B25" s="14" t="str">
        <x:v>273.pdf</x:v>
      </x:c>
      <x:c r="C25" s="15" t="n">
        <x:v>45181</x:v>
      </x:c>
      <x:c r="D25" s="15" t="n">
        <x:v>46146</x:v>
      </x:c>
      <x:c r="E25" s="15" t="n">
        <x:v>46121</x:v>
      </x:c>
      <x:c r="F25" s="15" t="n">
        <x:v>46121</x:v>
      </x:c>
      <x:c r="G25" s="16" t="str">
        <x:v>BY CASH Dr BY CASH</x:v>
      </x:c>
      <x:c r="H25" s="14" t="str"/>
      <x:c r="I25" s="14" t="str">
        <x:v>Receipt</x:v>
      </x:c>
      <x:c r="J25" s="17" t="n">
        <x:v>0</x:v>
      </x:c>
      <x:c r="K25" s="17" t="n">
        <x:v>180000</x:v>
      </x:c>
      <x:c r="L25" s="17" t="n">
        <x:v>180000</x:v>
      </x:c>
      <x:c r="M25" s="17" t="n">
        <x:v>-9009930.72</x:v>
      </x:c>
      <x:c r="N25" s="14" t="str">
        <x:v>Cash; High Transaction; Recurring Transaction</x:v>
      </x:c>
      <x:c r="O25" s="14" t="str">
        <x:v>Yes</x:v>
      </x:c>
      <x:c r="P25" s="14" t="str">
        <x:v>BY CASH DR BY CASH</x:v>
      </x:c>
      <x:c r="Q25" s="14" t="n">
        <x:v>1</x:v>
      </x:c>
      <x:c r="R25" s="14" t="n">
        <x:v>1</x:v>
      </x:c>
      <x:c r="S25" s="14" t="n">
        <x:v>0</x:v>
      </x:c>
      <x:c r="T25" s="14" t="n">
        <x:v>0</x:v>
      </x:c>
      <x:c r="U25" s="14" t="n">
        <x:v>1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46121</x:v>
      </x:c>
    </x:row>
    <x:row r="26">
      <x:c r="A26" s="14" t="n">
        <x:v>29</x:v>
      </x:c>
      <x:c r="B26" s="14" t="str">
        <x:v>273.pdf</x:v>
      </x:c>
      <x:c r="C26" s="15" t="n">
        <x:v>45181</x:v>
      </x:c>
      <x:c r="D26" s="15" t="n">
        <x:v>46146</x:v>
      </x:c>
      <x:c r="E26" s="15" t="n">
        <x:v>46121</x:v>
      </x:c>
      <x:c r="F26" s="15" t="n">
        <x:v>46121</x:v>
      </x:c>
      <x:c r="G26" s="16" t="str">
        <x:v>EBANK:WIB/1503 Dr EBANK:WIB/1503311707/Edfs ---------------------------------------------------------------------------------------------------------------------------------- Page Total: 37,68,920.97 27,70,249.58 86,29,812.72Dr ---------------------------------------------------------------------------------------------------------------------------------- Note: Cheques received in inward clearing will be considered for debiting/ returning on the basis opening balance in account Unless the const</x:v>
      </x:c>
      <x:c r="H26" s="14" t="str"/>
      <x:c r="I26" s="14" t="str">
        <x:v>Receipt</x:v>
      </x:c>
      <x:c r="J26" s="17" t="n">
        <x:v>0</x:v>
      </x:c>
      <x:c r="K26" s="17" t="n">
        <x:v>380118</x:v>
      </x:c>
      <x:c r="L26" s="17" t="n">
        <x:v>380118</x:v>
      </x:c>
      <x:c r="M26" s="17" t="n">
        <x:v>-8629812.72</x:v>
      </x:c>
      <x:c r="N26" s="14" t="str">
        <x:v>High Transaction; Recurring Transaction</x:v>
      </x:c>
      <x:c r="O26" s="14" t="str">
        <x:v>Yes</x:v>
      </x:c>
      <x:c r="P26" s="14" t="str">
        <x:v>EBANKWIB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1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46121</x:v>
      </x:c>
    </x:row>
    <x:row r="27">
      <x:c r="A27" s="14" t="n">
        <x:v>30</x:v>
      </x:c>
      <x:c r="B27" s="14" t="str">
        <x:v>273.pdf</x:v>
      </x:c>
      <x:c r="C27" s="15" t="n">
        <x:v>45181</x:v>
      </x:c>
      <x:c r="D27" s="15" t="n">
        <x:v>46146</x:v>
      </x:c>
      <x:c r="E27" s="15" t="n">
        <x:v>46122</x:v>
      </x:c>
      <x:c r="F27" s="15" t="n">
        <x:v>46122</x:v>
      </x:c>
      <x:c r="G27" s="16" t="str">
        <x:v>EBANK:WIB/1503 Dr EBANK:WIB/1503339201/Edfs</x:v>
      </x:c>
      <x:c r="H27" s="14" t="str"/>
      <x:c r="I27" s="14" t="str">
        <x:v>Receipt</x:v>
      </x:c>
      <x:c r="J27" s="17" t="n">
        <x:v>0</x:v>
      </x:c>
      <x:c r="K27" s="17" t="n">
        <x:v>432999</x:v>
      </x:c>
      <x:c r="L27" s="17" t="n">
        <x:v>432999</x:v>
      </x:c>
      <x:c r="M27" s="17" t="n">
        <x:v>-8196813.72</x:v>
      </x:c>
      <x:c r="N27" s="14" t="str">
        <x:v>High Transaction; Recurring Transaction</x:v>
      </x:c>
      <x:c r="O27" s="14" t="str">
        <x:v>Yes</x:v>
      </x:c>
      <x:c r="P27" s="14" t="str">
        <x:v>EBANKWIB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1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46122</x:v>
      </x:c>
    </x:row>
    <x:row r="28">
      <x:c r="A28" s="14" t="n">
        <x:v>32</x:v>
      </x:c>
      <x:c r="B28" s="14" t="str">
        <x:v>273.pdf</x:v>
      </x:c>
      <x:c r="C28" s="15" t="n">
        <x:v>45181</x:v>
      </x:c>
      <x:c r="D28" s="15" t="n">
        <x:v>46146</x:v>
      </x:c>
      <x:c r="E28" s="15" t="n">
        <x:v>46122</x:v>
      </x:c>
      <x:c r="F28" s="15" t="n">
        <x:v>46122</x:v>
      </x:c>
      <x:c r="G28" s="16" t="str">
        <x:v>RTGS-BARBR5202 Dr RTGS-BARBR52026041000833640-HINDUSTAN PETROLEUM CO</x:v>
      </x:c>
      <x:c r="H28" s="14" t="str"/>
      <x:c r="I28" s="14" t="str">
        <x:v>Payment</x:v>
      </x:c>
      <x:c r="J28" s="17" t="n">
        <x:v>1801993</x:v>
      </x:c>
      <x:c r="K28" s="17" t="n">
        <x:v>0</x:v>
      </x:c>
      <x:c r="L28" s="17" t="n">
        <x:v>1801993</x:v>
      </x:c>
      <x:c r="M28" s="17" t="n">
        <x:v>-9999999.97</x:v>
      </x:c>
      <x:c r="N28" s="14" t="str">
        <x:v>High Transaction; Recurring Transaction</x:v>
      </x:c>
      <x:c r="O28" s="14" t="str">
        <x:v>Yes</x:v>
      </x:c>
      <x:c r="P28" s="14" t="str">
        <x:v>BARBR DR RTGS</x:v>
      </x:c>
      <x:c r="Q28" s="14" t="n">
        <x:v>0</x:v>
      </x:c>
      <x:c r="R28" s="14" t="n">
        <x:v>1</x:v>
      </x:c>
      <x:c r="S28" s="14" t="n">
        <x:v>0</x:v>
      </x:c>
      <x:c r="T28" s="14" t="n">
        <x:v>0</x:v>
      </x:c>
      <x:c r="U28" s="14" t="n">
        <x:v>1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46122</x:v>
      </x:c>
    </x:row>
    <x:row r="29">
      <x:c r="A29" s="14" t="n">
        <x:v>34</x:v>
      </x:c>
      <x:c r="B29" s="14" t="str">
        <x:v>273.pdf</x:v>
      </x:c>
      <x:c r="C29" s="15" t="n">
        <x:v>45181</x:v>
      </x:c>
      <x:c r="D29" s="15" t="n">
        <x:v>46146</x:v>
      </x:c>
      <x:c r="E29" s="15" t="n">
        <x:v>46122</x:v>
      </x:c>
      <x:c r="F29" s="15" t="n">
        <x:v>46122</x:v>
      </x:c>
      <x:c r="G29" s="16" t="str">
        <x:v>BY CASH Dr BY CASH</x:v>
      </x:c>
      <x:c r="H29" s="14" t="str"/>
      <x:c r="I29" s="14" t="str">
        <x:v>Receipt</x:v>
      </x:c>
      <x:c r="J29" s="17" t="n">
        <x:v>0</x:v>
      </x:c>
      <x:c r="K29" s="17" t="n">
        <x:v>171000</x:v>
      </x:c>
      <x:c r="L29" s="17" t="n">
        <x:v>171000</x:v>
      </x:c>
      <x:c r="M29" s="17" t="n">
        <x:v>-9779313.97</x:v>
      </x:c>
      <x:c r="N29" s="14" t="str">
        <x:v>Cash; High Transaction; Recurring Transaction</x:v>
      </x:c>
      <x:c r="O29" s="14" t="str">
        <x:v>Yes</x:v>
      </x:c>
      <x:c r="P29" s="14" t="str">
        <x:v>BY CASH DR BY CASH</x:v>
      </x:c>
      <x:c r="Q29" s="14" t="n">
        <x:v>1</x:v>
      </x:c>
      <x:c r="R29" s="14" t="n">
        <x:v>1</x:v>
      </x:c>
      <x:c r="S29" s="14" t="n">
        <x:v>0</x:v>
      </x:c>
      <x:c r="T29" s="14" t="n">
        <x:v>0</x:v>
      </x:c>
      <x:c r="U29" s="14" t="n">
        <x:v>1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46122</x:v>
      </x:c>
    </x:row>
    <x:row r="30">
      <x:c r="A30" s="14" t="n">
        <x:v>38</x:v>
      </x:c>
      <x:c r="B30" s="14" t="str">
        <x:v>273.pdf</x:v>
      </x:c>
      <x:c r="C30" s="15" t="n">
        <x:v>45181</x:v>
      </x:c>
      <x:c r="D30" s="15" t="n">
        <x:v>46146</x:v>
      </x:c>
      <x:c r="E30" s="15" t="n">
        <x:v>46123</x:v>
      </x:c>
      <x:c r="F30" s="15" t="n">
        <x:v>46123</x:v>
      </x:c>
      <x:c r="G30" s="16" t="str">
        <x:v>EBANK:WIB/1503 Dr EBANK:WIB/1503559058/Edfs</x:v>
      </x:c>
      <x:c r="H30" s="14" t="str"/>
      <x:c r="I30" s="14" t="str">
        <x:v>Receipt</x:v>
      </x:c>
      <x:c r="J30" s="17" t="n">
        <x:v>0</x:v>
      </x:c>
      <x:c r="K30" s="17" t="n">
        <x:v>353767.15</x:v>
      </x:c>
      <x:c r="L30" s="17" t="n">
        <x:v>353767.15</x:v>
      </x:c>
      <x:c r="M30" s="17" t="n">
        <x:v>-9453445.58</x:v>
      </x:c>
      <x:c r="N30" s="14" t="str">
        <x:v>High Transaction; Recurring Transaction</x:v>
      </x:c>
      <x:c r="O30" s="14" t="str">
        <x:v>Yes</x:v>
      </x:c>
      <x:c r="P30" s="14" t="str">
        <x:v>EBANKWIB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1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46123</x:v>
      </x:c>
    </x:row>
    <x:row r="31">
      <x:c r="A31" s="14" t="n">
        <x:v>39</x:v>
      </x:c>
      <x:c r="B31" s="14" t="str">
        <x:v>273.pdf</x:v>
      </x:c>
      <x:c r="C31" s="15" t="n">
        <x:v>45181</x:v>
      </x:c>
      <x:c r="D31" s="15" t="n">
        <x:v>46146</x:v>
      </x:c>
      <x:c r="E31" s="15" t="n">
        <x:v>46124</x:v>
      </x:c>
      <x:c r="F31" s="15" t="n">
        <x:v>46124</x:v>
      </x:c>
      <x:c r="G31" s="16" t="str">
        <x:v>EBANK:WIB/1503 Dr EBANK:WIB/1503691094/Edfs</x:v>
      </x:c>
      <x:c r="H31" s="14" t="str"/>
      <x:c r="I31" s="14" t="str">
        <x:v>Receipt</x:v>
      </x:c>
      <x:c r="J31" s="17" t="n">
        <x:v>0</x:v>
      </x:c>
      <x:c r="K31" s="17" t="n">
        <x:v>521281.39</x:v>
      </x:c>
      <x:c r="L31" s="17" t="n">
        <x:v>521281.39</x:v>
      </x:c>
      <x:c r="M31" s="17" t="n">
        <x:v>-8932164.19</x:v>
      </x:c>
      <x:c r="N31" s="14" t="str">
        <x:v>High Transaction; Recurring Transaction</x:v>
      </x:c>
      <x:c r="O31" s="14" t="str">
        <x:v>Yes</x:v>
      </x:c>
      <x:c r="P31" s="14" t="str">
        <x:v>EBANKWIB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1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46124</x:v>
      </x:c>
    </x:row>
    <x:row r="32">
      <x:c r="A32" s="14" t="n">
        <x:v>41</x:v>
      </x:c>
      <x:c r="B32" s="14" t="str">
        <x:v>273.pdf</x:v>
      </x:c>
      <x:c r="C32" s="15" t="n">
        <x:v>45181</x:v>
      </x:c>
      <x:c r="D32" s="15" t="n">
        <x:v>46146</x:v>
      </x:c>
      <x:c r="E32" s="15" t="n">
        <x:v>46125</x:v>
      </x:c>
      <x:c r="F32" s="15" t="n">
        <x:v>46125</x:v>
      </x:c>
      <x:c r="G32" s="16" t="str">
        <x:v>VIRARW-THANE/B Dr https://cbdrpt101.bankofbaroda.co.in:22000/finbranch/arjspmorph/INFENG/tran_rpt.jsp?... 04-05-2026 BY CASH</x:v>
      </x:c>
      <x:c r="H32" s="14" t="str"/>
      <x:c r="I32" s="14" t="str">
        <x:v>Receipt</x:v>
      </x:c>
      <x:c r="J32" s="17" t="n">
        <x:v>0</x:v>
      </x:c>
      <x:c r="K32" s="17" t="n">
        <x:v>439000</x:v>
      </x:c>
      <x:c r="L32" s="17" t="n">
        <x:v>439000</x:v>
      </x:c>
      <x:c r="M32" s="17" t="n">
        <x:v>-8493469.69</x:v>
      </x:c>
      <x:c r="N32" s="14" t="str">
        <x:v>Cash; High Transaction</x:v>
      </x:c>
      <x:c r="O32" s="14" t="str">
        <x:v>No</x:v>
      </x:c>
      <x:c r="P32" s="14" t="str">
        <x:v>B DR HTTPS</x:v>
      </x:c>
      <x:c r="Q32" s="14" t="n">
        <x:v>1</x:v>
      </x:c>
      <x:c r="R32" s="14" t="n">
        <x:v>0</x:v>
      </x:c>
      <x:c r="S32" s="14" t="n">
        <x:v>0</x:v>
      </x:c>
      <x:c r="T32" s="14" t="n">
        <x:v>0</x:v>
      </x:c>
      <x:c r="U32" s="14" t="n">
        <x:v>1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46125</x:v>
      </x:c>
    </x:row>
    <x:row r="33">
      <x:c r="A33" s="14" t="n">
        <x:v>43</x:v>
      </x:c>
      <x:c r="B33" s="14" t="str">
        <x:v>273.pdf</x:v>
      </x:c>
      <x:c r="C33" s="15" t="n">
        <x:v>45181</x:v>
      </x:c>
      <x:c r="D33" s="15" t="n">
        <x:v>46146</x:v>
      </x:c>
      <x:c r="E33" s="15" t="n">
        <x:v>46125</x:v>
      </x:c>
      <x:c r="F33" s="15" t="n">
        <x:v>46125</x:v>
      </x:c>
      <x:c r="G33" s="16" t="str">
        <x:v>EBANK:WIB/1503 Dr EBANK:WIB/1503777187/Edfs</x:v>
      </x:c>
      <x:c r="H33" s="14" t="str"/>
      <x:c r="I33" s="14" t="str">
        <x:v>Receipt</x:v>
      </x:c>
      <x:c r="J33" s="17" t="n">
        <x:v>0</x:v>
      </x:c>
      <x:c r="K33" s="17" t="n">
        <x:v>610444.28</x:v>
      </x:c>
      <x:c r="L33" s="17" t="n">
        <x:v>610444.28</x:v>
      </x:c>
      <x:c r="M33" s="17" t="n">
        <x:v>-7883208.16</x:v>
      </x:c>
      <x:c r="N33" s="14" t="str">
        <x:v>High Transaction; Recurring Transaction</x:v>
      </x:c>
      <x:c r="O33" s="14" t="str">
        <x:v>Yes</x:v>
      </x:c>
      <x:c r="P33" s="14" t="str">
        <x:v>EBANKWIB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1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46125</x:v>
      </x:c>
    </x:row>
    <x:row r="34">
      <x:c r="A34" s="14" t="n">
        <x:v>46</x:v>
      </x:c>
      <x:c r="B34" s="14" t="str">
        <x:v>273.pdf</x:v>
      </x:c>
      <x:c r="C34" s="15" t="n">
        <x:v>45181</x:v>
      </x:c>
      <x:c r="D34" s="15" t="n">
        <x:v>46146</x:v>
      </x:c>
      <x:c r="E34" s="15" t="n">
        <x:v>46125</x:v>
      </x:c>
      <x:c r="F34" s="15" t="n">
        <x:v>46125</x:v>
      </x:c>
      <x:c r="G34" s="16" t="str">
        <x:v>EBANK:WIB/1503 Dr ---------------------------------------------------------------------------------------------------------------------------------- Page Total: 18,31,620.08 27,64,671.60 76,96,761.20Dr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</x:v>
      </x:c>
      <x:c r="H34" s="14" t="str"/>
      <x:c r="I34" s="14" t="str">
        <x:v>Receipt</x:v>
      </x:c>
      <x:c r="J34" s="17" t="n">
        <x:v>0</x:v>
      </x:c>
      <x:c r="K34" s="17" t="n">
        <x:v>107993.78</x:v>
      </x:c>
      <x:c r="L34" s="17" t="n">
        <x:v>107993.78</x:v>
      </x:c>
      <x:c r="M34" s="17" t="n">
        <x:v>-7696761.2</x:v>
      </x:c>
      <x:c r="N34" s="14" t="str">
        <x:v>High Transaction; Recurring Transaction</x:v>
      </x:c>
      <x:c r="O34" s="14" t="str">
        <x:v>Yes</x:v>
      </x:c>
      <x:c r="P34" s="14" t="str">
        <x:v>EBANKWIB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1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46125</x:v>
      </x:c>
    </x:row>
    <x:row r="35">
      <x:c r="A35" s="14" t="n">
        <x:v>47</x:v>
      </x:c>
      <x:c r="B35" s="14" t="str">
        <x:v>273.pdf</x:v>
      </x:c>
      <x:c r="C35" s="15" t="n">
        <x:v>45181</x:v>
      </x:c>
      <x:c r="D35" s="15" t="n">
        <x:v>46146</x:v>
      </x:c>
      <x:c r="E35" s="15" t="n">
        <x:v>46125</x:v>
      </x:c>
      <x:c r="F35" s="15" t="n">
        <x:v>46125</x:v>
      </x:c>
      <x:c r="G35" s="16" t="str">
        <x:v>RTGS-BARBR5202 Dr RTGS-BARBR52026041300983458-HINDUSTAN PETROLEUM CO</x:v>
      </x:c>
      <x:c r="H35" s="14" t="str"/>
      <x:c r="I35" s="14" t="str">
        <x:v>Payment</x:v>
      </x:c>
      <x:c r="J35" s="17" t="n">
        <x:v>1962976.51</x:v>
      </x:c>
      <x:c r="K35" s="17" t="n">
        <x:v>0</x:v>
      </x:c>
      <x:c r="L35" s="17" t="n">
        <x:v>1962976.51</x:v>
      </x:c>
      <x:c r="M35" s="17" t="n">
        <x:v>-9659737.71</x:v>
      </x:c>
      <x:c r="N35" s="14" t="str">
        <x:v>High Transaction; Recurring Transaction</x:v>
      </x:c>
      <x:c r="O35" s="14" t="str">
        <x:v>Yes</x:v>
      </x:c>
      <x:c r="P35" s="14" t="str">
        <x:v>BARBR DR RTGS</x:v>
      </x:c>
      <x:c r="Q35" s="14" t="n">
        <x:v>0</x:v>
      </x:c>
      <x:c r="R35" s="14" t="n">
        <x:v>1</x:v>
      </x:c>
      <x:c r="S35" s="14" t="n">
        <x:v>0</x:v>
      </x:c>
      <x:c r="T35" s="14" t="n">
        <x:v>0</x:v>
      </x:c>
      <x:c r="U35" s="14" t="n">
        <x:v>1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46125</x:v>
      </x:c>
    </x:row>
    <x:row r="36">
      <x:c r="A36" s="14" t="n">
        <x:v>49</x:v>
      </x:c>
      <x:c r="B36" s="14" t="str">
        <x:v>273.pdf</x:v>
      </x:c>
      <x:c r="C36" s="15" t="n">
        <x:v>45181</x:v>
      </x:c>
      <x:c r="D36" s="15" t="n">
        <x:v>46146</x:v>
      </x:c>
      <x:c r="E36" s="15" t="n">
        <x:v>46126</x:v>
      </x:c>
      <x:c r="F36" s="15" t="n">
        <x:v>46126</x:v>
      </x:c>
      <x:c r="G36" s="16" t="str">
        <x:v>EBANK:WIB/1503 Dr EBANK:WIB/1503879023/Edfs</x:v>
      </x:c>
      <x:c r="H36" s="14" t="str"/>
      <x:c r="I36" s="14" t="str">
        <x:v>Receipt</x:v>
      </x:c>
      <x:c r="J36" s="17" t="n">
        <x:v>0</x:v>
      </x:c>
      <x:c r="K36" s="17" t="n">
        <x:v>421121.65</x:v>
      </x:c>
      <x:c r="L36" s="17" t="n">
        <x:v>421121.65</x:v>
      </x:c>
      <x:c r="M36" s="17" t="n">
        <x:v>-9245743.24</x:v>
      </x:c>
      <x:c r="N36" s="14" t="str">
        <x:v>High Transaction; Recurring Transaction</x:v>
      </x:c>
      <x:c r="O36" s="14" t="str">
        <x:v>Yes</x:v>
      </x:c>
      <x:c r="P36" s="14" t="str">
        <x:v>EBANKWIB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1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46126</x:v>
      </x:c>
    </x:row>
    <x:row r="37">
      <x:c r="A37" s="14" t="n">
        <x:v>50</x:v>
      </x:c>
      <x:c r="B37" s="14" t="str">
        <x:v>273.pdf</x:v>
      </x:c>
      <x:c r="C37" s="15" t="n">
        <x:v>45181</x:v>
      </x:c>
      <x:c r="D37" s="15" t="n">
        <x:v>46146</x:v>
      </x:c>
      <x:c r="E37" s="15" t="n">
        <x:v>46126</x:v>
      </x:c>
      <x:c r="F37" s="15" t="n">
        <x:v>46126</x:v>
      </x:c>
      <x:c r="G37" s="16" t="str">
        <x:v>EBANK:WIB/1504 Dr EBANK:WIB/1504010401/Edfs</x:v>
      </x:c>
      <x:c r="H37" s="14" t="str"/>
      <x:c r="I37" s="14" t="str">
        <x:v>Receipt</x:v>
      </x:c>
      <x:c r="J37" s="17" t="n">
        <x:v>0</x:v>
      </x:c>
      <x:c r="K37" s="17" t="n">
        <x:v>240000</x:v>
      </x:c>
      <x:c r="L37" s="17" t="n">
        <x:v>240000</x:v>
      </x:c>
      <x:c r="M37" s="17" t="n">
        <x:v>-9005743.24</x:v>
      </x:c>
      <x:c r="N37" s="14" t="str">
        <x:v>High Transaction; Recurring Transaction</x:v>
      </x:c>
      <x:c r="O37" s="14" t="str">
        <x:v>Yes</x:v>
      </x:c>
      <x:c r="P37" s="14" t="str">
        <x:v>EBANKWIB</x:v>
      </x:c>
      <x:c r="Q37" s="14" t="n">
        <x:v>0</x:v>
      </x:c>
      <x:c r="R37" s="14" t="n">
        <x:v>1</x:v>
      </x:c>
      <x:c r="S37" s="14" t="n">
        <x:v>0</x:v>
      </x:c>
      <x:c r="T37" s="14" t="n">
        <x:v>0</x:v>
      </x:c>
      <x:c r="U37" s="14" t="n">
        <x:v>1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46126</x:v>
      </x:c>
    </x:row>
    <x:row r="38">
      <x:c r="A38" s="14" t="n">
        <x:v>52</x:v>
      </x:c>
      <x:c r="B38" s="14" t="str">
        <x:v>273.pdf</x:v>
      </x:c>
      <x:c r="C38" s="15" t="n">
        <x:v>45181</x:v>
      </x:c>
      <x:c r="D38" s="15" t="n">
        <x:v>46146</x:v>
      </x:c>
      <x:c r="E38" s="15" t="n">
        <x:v>46127</x:v>
      </x:c>
      <x:c r="F38" s="15" t="n">
        <x:v>46127</x:v>
      </x:c>
      <x:c r="G38" s="16" t="str">
        <x:v>EBANK:WIB/1504 Dr EBANK:WIB/1504019959/Edfs</x:v>
      </x:c>
      <x:c r="H38" s="14" t="str"/>
      <x:c r="I38" s="14" t="str">
        <x:v>Receipt</x:v>
      </x:c>
      <x:c r="J38" s="17" t="n">
        <x:v>0</x:v>
      </x:c>
      <x:c r="K38" s="17" t="n">
        <x:v>401141.57</x:v>
      </x:c>
      <x:c r="L38" s="17" t="n">
        <x:v>401141.57</x:v>
      </x:c>
      <x:c r="M38" s="17" t="n">
        <x:v>-8606397.46</x:v>
      </x:c>
      <x:c r="N38" s="14" t="str">
        <x:v>High Transaction; Recurring Transaction</x:v>
      </x:c>
      <x:c r="O38" s="14" t="str">
        <x:v>Yes</x:v>
      </x:c>
      <x:c r="P38" s="14" t="str">
        <x:v>EBANKWIB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1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46127</x:v>
      </x:c>
    </x:row>
    <x:row r="39">
      <x:c r="A39" s="14" t="n">
        <x:v>54</x:v>
      </x:c>
      <x:c r="B39" s="14" t="str">
        <x:v>273.pdf</x:v>
      </x:c>
      <x:c r="C39" s="15" t="n">
        <x:v>45181</x:v>
      </x:c>
      <x:c r="D39" s="15" t="n">
        <x:v>46146</x:v>
      </x:c>
      <x:c r="E39" s="15" t="n">
        <x:v>46127</x:v>
      </x:c>
      <x:c r="F39" s="15" t="n">
        <x:v>46127</x:v>
      </x:c>
      <x:c r="G39" s="16" t="str">
        <x:v>EBANK:WIB/1504 Dr EBANK:WIB/1504096201/Edfs</x:v>
      </x:c>
      <x:c r="H39" s="14" t="str"/>
      <x:c r="I39" s="14" t="str">
        <x:v>Receipt</x:v>
      </x:c>
      <x:c r="J39" s="17" t="n">
        <x:v>0</x:v>
      </x:c>
      <x:c r="K39" s="17" t="n">
        <x:v>125424</x:v>
      </x:c>
      <x:c r="L39" s="17" t="n">
        <x:v>125424</x:v>
      </x:c>
      <x:c r="M39" s="17" t="n">
        <x:v>-8481214.99</x:v>
      </x:c>
      <x:c r="N39" s="14" t="str">
        <x:v>High Transaction; Recurring Transaction</x:v>
      </x:c>
      <x:c r="O39" s="14" t="str">
        <x:v>Yes</x:v>
      </x:c>
      <x:c r="P39" s="14" t="str">
        <x:v>EBANKWIB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1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46127</x:v>
      </x:c>
    </x:row>
    <x:row r="40">
      <x:c r="A40" s="14" t="n">
        <x:v>55</x:v>
      </x:c>
      <x:c r="B40" s="14" t="str">
        <x:v>273.pdf</x:v>
      </x:c>
      <x:c r="C40" s="15" t="n">
        <x:v>45181</x:v>
      </x:c>
      <x:c r="D40" s="15" t="n">
        <x:v>46146</x:v>
      </x:c>
      <x:c r="E40" s="15" t="n">
        <x:v>46127</x:v>
      </x:c>
      <x:c r="F40" s="15" t="n">
        <x:v>46127</x:v>
      </x:c>
      <x:c r="G40" s="16" t="str">
        <x:v>BY CASH Dr BY CASH</x:v>
      </x:c>
      <x:c r="H40" s="14" t="str"/>
      <x:c r="I40" s="14" t="str">
        <x:v>Receipt</x:v>
      </x:c>
      <x:c r="J40" s="17" t="n">
        <x:v>0</x:v>
      </x:c>
      <x:c r="K40" s="17" t="n">
        <x:v>371000</x:v>
      </x:c>
      <x:c r="L40" s="17" t="n">
        <x:v>371000</x:v>
      </x:c>
      <x:c r="M40" s="17" t="n">
        <x:v>-8110214.99</x:v>
      </x:c>
      <x:c r="N40" s="14" t="str">
        <x:v>Cash; High Transaction; Recurring Transaction</x:v>
      </x:c>
      <x:c r="O40" s="14" t="str">
        <x:v>Yes</x:v>
      </x:c>
      <x:c r="P40" s="14" t="str">
        <x:v>BY CASH DR BY CASH</x:v>
      </x:c>
      <x:c r="Q40" s="14" t="n">
        <x:v>1</x:v>
      </x:c>
      <x:c r="R40" s="14" t="n">
        <x:v>1</x:v>
      </x:c>
      <x:c r="S40" s="14" t="n">
        <x:v>0</x:v>
      </x:c>
      <x:c r="T40" s="14" t="n">
        <x:v>0</x:v>
      </x:c>
      <x:c r="U40" s="14" t="n">
        <x:v>1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46127</x:v>
      </x:c>
    </x:row>
    <x:row r="41">
      <x:c r="A41" s="14" t="n">
        <x:v>57</x:v>
      </x:c>
      <x:c r="B41" s="14" t="str">
        <x:v>273.pdf</x:v>
      </x:c>
      <x:c r="C41" s="15" t="n">
        <x:v>45181</x:v>
      </x:c>
      <x:c r="D41" s="15" t="n">
        <x:v>46146</x:v>
      </x:c>
      <x:c r="E41" s="15" t="n">
        <x:v>46127</x:v>
      </x:c>
      <x:c r="F41" s="15" t="n">
        <x:v>46127</x:v>
      </x:c>
      <x:c r="G41" s="16" t="str">
        <x:v>RTGS-BARBR5202 Dr RTGS-BARBR52026041500840540-HINDUSTAN PETROLEUM CO</x:v>
      </x:c>
      <x:c r="H41" s="14" t="str"/>
      <x:c r="I41" s="14" t="str">
        <x:v>Payment</x:v>
      </x:c>
      <x:c r="J41" s="17" t="n">
        <x:v>1889785</x:v>
      </x:c>
      <x:c r="K41" s="17" t="n">
        <x:v>0</x:v>
      </x:c>
      <x:c r="L41" s="17" t="n">
        <x:v>1889785</x:v>
      </x:c>
      <x:c r="M41" s="17" t="n">
        <x:v>-9986263.99</x:v>
      </x:c>
      <x:c r="N41" s="14" t="str">
        <x:v>High Transaction; Recurring Transaction</x:v>
      </x:c>
      <x:c r="O41" s="14" t="str">
        <x:v>Yes</x:v>
      </x:c>
      <x:c r="P41" s="14" t="str">
        <x:v>BARBR DR RTGS</x:v>
      </x:c>
      <x:c r="Q41" s="14" t="n">
        <x:v>0</x:v>
      </x:c>
      <x:c r="R41" s="14" t="n">
        <x:v>1</x:v>
      </x:c>
      <x:c r="S41" s="14" t="n">
        <x:v>0</x:v>
      </x:c>
      <x:c r="T41" s="14" t="n">
        <x:v>0</x:v>
      </x:c>
      <x:c r="U41" s="14" t="n">
        <x:v>1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46127</x:v>
      </x:c>
    </x:row>
    <x:row r="42">
      <x:c r="A42" s="14" t="n">
        <x:v>62</x:v>
      </x:c>
      <x:c r="B42" s="14" t="str">
        <x:v>273.pdf</x:v>
      </x:c>
      <x:c r="C42" s="15" t="n">
        <x:v>45181</x:v>
      </x:c>
      <x:c r="D42" s="15" t="n">
        <x:v>46146</x:v>
      </x:c>
      <x:c r="E42" s="15" t="n">
        <x:v>46128</x:v>
      </x:c>
      <x:c r="F42" s="15" t="n">
        <x:v>46128</x:v>
      </x:c>
      <x:c r="G42" s="16" t="str">
        <x:v>EBANK:WIB/1504 Dr ---------------------------------------------------------------------------------------------------------------------------------- Page Total: 39,70,606.25 25,69,345.80 90,98,021.65Dr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</x:v>
      </x:c>
      <x:c r="H42" s="14" t="str"/>
      <x:c r="I42" s="14" t="str">
        <x:v>Receipt</x:v>
      </x:c>
      <x:c r="J42" s="17" t="n">
        <x:v>0</x:v>
      </x:c>
      <x:c r="K42" s="17" t="n">
        <x:v>898173.78</x:v>
      </x:c>
      <x:c r="L42" s="17" t="n">
        <x:v>898173.78</x:v>
      </x:c>
      <x:c r="M42" s="17" t="n">
        <x:v>-9098021.65</x:v>
      </x:c>
      <x:c r="N42" s="14" t="str">
        <x:v>High Transaction; Recurring Transaction</x:v>
      </x:c>
      <x:c r="O42" s="14" t="str">
        <x:v>Yes</x:v>
      </x:c>
      <x:c r="P42" s="14" t="str">
        <x:v>EBANKWIB</x:v>
      </x:c>
      <x:c r="Q42" s="14" t="n">
        <x:v>0</x:v>
      </x:c>
      <x:c r="R42" s="14" t="n">
        <x:v>1</x:v>
      </x:c>
      <x:c r="S42" s="14" t="n">
        <x:v>0</x:v>
      </x:c>
      <x:c r="T42" s="14" t="n">
        <x:v>0</x:v>
      </x:c>
      <x:c r="U42" s="14" t="n">
        <x:v>1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46128</x:v>
      </x:c>
    </x:row>
    <x:row r="43">
      <x:c r="A43" s="14" t="n">
        <x:v>63</x:v>
      </x:c>
      <x:c r="B43" s="14" t="str">
        <x:v>273.pdf</x:v>
      </x:c>
      <x:c r="C43" s="15" t="n">
        <x:v>45181</x:v>
      </x:c>
      <x:c r="D43" s="15" t="n">
        <x:v>46146</x:v>
      </x:c>
      <x:c r="E43" s="15" t="n">
        <x:v>46128</x:v>
      </x:c>
      <x:c r="F43" s="15" t="n">
        <x:v>46128</x:v>
      </x:c>
      <x:c r="G43" s="16" t="str">
        <x:v>BY CASH Dr BY CASH</x:v>
      </x:c>
      <x:c r="H43" s="14" t="str"/>
      <x:c r="I43" s="14" t="str">
        <x:v>Receipt</x:v>
      </x:c>
      <x:c r="J43" s="17" t="n">
        <x:v>0</x:v>
      </x:c>
      <x:c r="K43" s="17" t="n">
        <x:v>166000</x:v>
      </x:c>
      <x:c r="L43" s="17" t="n">
        <x:v>166000</x:v>
      </x:c>
      <x:c r="M43" s="17" t="n">
        <x:v>-8932021.65</x:v>
      </x:c>
      <x:c r="N43" s="14" t="str">
        <x:v>Cash; High Transaction; Recurring Transaction</x:v>
      </x:c>
      <x:c r="O43" s="14" t="str">
        <x:v>Yes</x:v>
      </x:c>
      <x:c r="P43" s="14" t="str">
        <x:v>BY CASH DR BY CASH</x:v>
      </x:c>
      <x:c r="Q43" s="14" t="n">
        <x:v>1</x:v>
      </x:c>
      <x:c r="R43" s="14" t="n">
        <x:v>1</x:v>
      </x:c>
      <x:c r="S43" s="14" t="n">
        <x:v>0</x:v>
      </x:c>
      <x:c r="T43" s="14" t="n">
        <x:v>0</x:v>
      </x:c>
      <x:c r="U43" s="14" t="n">
        <x:v>1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46128</x:v>
      </x:c>
    </x:row>
    <x:row r="44">
      <x:c r="A44" s="14" t="n">
        <x:v>66</x:v>
      </x:c>
      <x:c r="B44" s="14" t="str">
        <x:v>273.pdf</x:v>
      </x:c>
      <x:c r="C44" s="15" t="n">
        <x:v>45181</x:v>
      </x:c>
      <x:c r="D44" s="15" t="n">
        <x:v>46146</x:v>
      </x:c>
      <x:c r="E44" s="15" t="n">
        <x:v>46129</x:v>
      </x:c>
      <x:c r="F44" s="15" t="n">
        <x:v>46129</x:v>
      </x:c>
      <x:c r="G44" s="16" t="str">
        <x:v>EBANK:WIB/1504 Dr EBANK:WIB/1504347697/Edfs</x:v>
      </x:c>
      <x:c r="H44" s="14" t="str"/>
      <x:c r="I44" s="14" t="str">
        <x:v>Receipt</x:v>
      </x:c>
      <x:c r="J44" s="17" t="n">
        <x:v>0</x:v>
      </x:c>
      <x:c r="K44" s="17" t="n">
        <x:v>328514.76</x:v>
      </x:c>
      <x:c r="L44" s="17" t="n">
        <x:v>328514.76</x:v>
      </x:c>
      <x:c r="M44" s="17" t="n">
        <x:v>-8603630.61</x:v>
      </x:c>
      <x:c r="N44" s="14" t="str">
        <x:v>High Transaction; Recurring Transaction</x:v>
      </x:c>
      <x:c r="O44" s="14" t="str">
        <x:v>Yes</x:v>
      </x:c>
      <x:c r="P44" s="14" t="str">
        <x:v>EBANKWIB</x:v>
      </x:c>
      <x:c r="Q44" s="14" t="n">
        <x:v>0</x:v>
      </x:c>
      <x:c r="R44" s="14" t="n">
        <x:v>1</x:v>
      </x:c>
      <x:c r="S44" s="14" t="n">
        <x:v>0</x:v>
      </x:c>
      <x:c r="T44" s="14" t="n">
        <x:v>0</x:v>
      </x:c>
      <x:c r="U44" s="14" t="n">
        <x:v>1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46129</x:v>
      </x:c>
    </x:row>
    <x:row r="45">
      <x:c r="A45" s="14" t="n">
        <x:v>68</x:v>
      </x:c>
      <x:c r="B45" s="14" t="str">
        <x:v>273.pdf</x:v>
      </x:c>
      <x:c r="C45" s="15" t="n">
        <x:v>45181</x:v>
      </x:c>
      <x:c r="D45" s="15" t="n">
        <x:v>46146</x:v>
      </x:c>
      <x:c r="E45" s="15" t="n">
        <x:v>46129</x:v>
      </x:c>
      <x:c r="F45" s="15" t="n">
        <x:v>46129</x:v>
      </x:c>
      <x:c r="G45" s="16" t="str">
        <x:v>EBANK:WIB/1504 Dr EBANK:WIB/1504424773/Edfs</x:v>
      </x:c>
      <x:c r="H45" s="14" t="str"/>
      <x:c r="I45" s="14" t="str">
        <x:v>Receipt</x:v>
      </x:c>
      <x:c r="J45" s="17" t="n">
        <x:v>0</x:v>
      </x:c>
      <x:c r="K45" s="17" t="n">
        <x:v>150000</x:v>
      </x:c>
      <x:c r="L45" s="17" t="n">
        <x:v>150000</x:v>
      </x:c>
      <x:c r="M45" s="17" t="n">
        <x:v>-8458487.78</x:v>
      </x:c>
      <x:c r="N45" s="14" t="str">
        <x:v>High Transaction; Recurring Transaction</x:v>
      </x:c>
      <x:c r="O45" s="14" t="str">
        <x:v>Yes</x:v>
      </x:c>
      <x:c r="P45" s="14" t="str">
        <x:v>EBANKWIB</x:v>
      </x:c>
      <x:c r="Q45" s="14" t="n">
        <x:v>0</x:v>
      </x:c>
      <x:c r="R45" s="14" t="n">
        <x:v>1</x:v>
      </x:c>
      <x:c r="S45" s="14" t="n">
        <x:v>0</x:v>
      </x:c>
      <x:c r="T45" s="14" t="n">
        <x:v>0</x:v>
      </x:c>
      <x:c r="U45" s="14" t="n">
        <x:v>1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46129</x:v>
      </x:c>
    </x:row>
    <x:row r="46">
      <x:c r="A46" s="14" t="n">
        <x:v>70</x:v>
      </x:c>
      <x:c r="B46" s="14" t="str">
        <x:v>273.pdf</x:v>
      </x:c>
      <x:c r="C46" s="15" t="n">
        <x:v>45181</x:v>
      </x:c>
      <x:c r="D46" s="15" t="n">
        <x:v>46146</x:v>
      </x:c>
      <x:c r="E46" s="15" t="n">
        <x:v>46130</x:v>
      </x:c>
      <x:c r="F46" s="15" t="n">
        <x:v>46130</x:v>
      </x:c>
      <x:c r="G46" s="16" t="str">
        <x:v>BY CASH Dr BY CASH</x:v>
      </x:c>
      <x:c r="H46" s="14" t="str"/>
      <x:c r="I46" s="14" t="str">
        <x:v>Receipt</x:v>
      </x:c>
      <x:c r="J46" s="17" t="n">
        <x:v>0</x:v>
      </x:c>
      <x:c r="K46" s="17" t="n">
        <x:v>394500</x:v>
      </x:c>
      <x:c r="L46" s="17" t="n">
        <x:v>394500</x:v>
      </x:c>
      <x:c r="M46" s="17" t="n">
        <x:v>-8070106.36</x:v>
      </x:c>
      <x:c r="N46" s="14" t="str">
        <x:v>Cash; High Transaction; Recurring Transaction</x:v>
      </x:c>
      <x:c r="O46" s="14" t="str">
        <x:v>Yes</x:v>
      </x:c>
      <x:c r="P46" s="14" t="str">
        <x:v>BY CASH DR BY CASH</x:v>
      </x:c>
      <x:c r="Q46" s="14" t="n">
        <x:v>1</x:v>
      </x:c>
      <x:c r="R46" s="14" t="n">
        <x:v>1</x:v>
      </x:c>
      <x:c r="S46" s="14" t="n">
        <x:v>0</x:v>
      </x:c>
      <x:c r="T46" s="14" t="n">
        <x:v>0</x:v>
      </x:c>
      <x:c r="U46" s="14" t="n">
        <x:v>1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46130</x:v>
      </x:c>
    </x:row>
    <x:row r="47">
      <x:c r="A47" s="14" t="n">
        <x:v>72</x:v>
      </x:c>
      <x:c r="B47" s="14" t="str">
        <x:v>273.pdf</x:v>
      </x:c>
      <x:c r="C47" s="15" t="n">
        <x:v>45181</x:v>
      </x:c>
      <x:c r="D47" s="15" t="n">
        <x:v>46146</x:v>
      </x:c>
      <x:c r="E47" s="15" t="n">
        <x:v>46130</x:v>
      </x:c>
      <x:c r="F47" s="15" t="n">
        <x:v>46130</x:v>
      </x:c>
      <x:c r="G47" s="16" t="str">
        <x:v>EBANK:WIB/1504 Dr EBANK:WIB/1504650433/Edfs</x:v>
      </x:c>
      <x:c r="H47" s="14" t="str"/>
      <x:c r="I47" s="14" t="str">
        <x:v>Receipt</x:v>
      </x:c>
      <x:c r="J47" s="17" t="n">
        <x:v>0</x:v>
      </x:c>
      <x:c r="K47" s="17" t="n">
        <x:v>480667.28</x:v>
      </x:c>
      <x:c r="L47" s="17" t="n">
        <x:v>480667.28</x:v>
      </x:c>
      <x:c r="M47" s="17" t="n">
        <x:v>-7589532.77</x:v>
      </x:c>
      <x:c r="N47" s="14" t="str">
        <x:v>High Transaction; Recurring Transaction</x:v>
      </x:c>
      <x:c r="O47" s="14" t="str">
        <x:v>Yes</x:v>
      </x:c>
      <x:c r="P47" s="14" t="str">
        <x:v>EBANKWIB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1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46130</x:v>
      </x:c>
    </x:row>
    <x:row r="48">
      <x:c r="A48" s="14" t="n">
        <x:v>73</x:v>
      </x:c>
      <x:c r="B48" s="14" t="str">
        <x:v>273.pdf</x:v>
      </x:c>
      <x:c r="C48" s="15" t="n">
        <x:v>45181</x:v>
      </x:c>
      <x:c r="D48" s="15" t="n">
        <x:v>46146</x:v>
      </x:c>
      <x:c r="E48" s="15" t="n">
        <x:v>46131</x:v>
      </x:c>
      <x:c r="F48" s="15" t="n">
        <x:v>46131</x:v>
      </x:c>
      <x:c r="G48" s="16" t="str">
        <x:v>EBANK:WIB/1504 Dr EBANK:WIB/1504657570/Edfs</x:v>
      </x:c>
      <x:c r="H48" s="14" t="str"/>
      <x:c r="I48" s="14" t="str">
        <x:v>Receipt</x:v>
      </x:c>
      <x:c r="J48" s="17" t="n">
        <x:v>0</x:v>
      </x:c>
      <x:c r="K48" s="17" t="n">
        <x:v>259433</x:v>
      </x:c>
      <x:c r="L48" s="17" t="n">
        <x:v>259433</x:v>
      </x:c>
      <x:c r="M48" s="17" t="n">
        <x:v>-7330099.77</x:v>
      </x:c>
      <x:c r="N48" s="14" t="str">
        <x:v>High Transaction; Recurring Transaction</x:v>
      </x:c>
      <x:c r="O48" s="14" t="str">
        <x:v>Yes</x:v>
      </x:c>
      <x:c r="P48" s="14" t="str">
        <x:v>EBANKWIB</x:v>
      </x:c>
      <x:c r="Q48" s="14" t="n">
        <x:v>0</x:v>
      </x:c>
      <x:c r="R48" s="14" t="n">
        <x:v>1</x:v>
      </x:c>
      <x:c r="S48" s="14" t="n">
        <x:v>0</x:v>
      </x:c>
      <x:c r="T48" s="14" t="n">
        <x:v>0</x:v>
      </x:c>
      <x:c r="U48" s="14" t="n">
        <x:v>1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46131</x:v>
      </x:c>
    </x:row>
    <x:row r="49">
      <x:c r="A49" s="14" t="n">
        <x:v>74</x:v>
      </x:c>
      <x:c r="B49" s="14" t="str">
        <x:v>273.pdf</x:v>
      </x:c>
      <x:c r="C49" s="15" t="n">
        <x:v>45181</x:v>
      </x:c>
      <x:c r="D49" s="15" t="n">
        <x:v>46146</x:v>
      </x:c>
      <x:c r="E49" s="15" t="n">
        <x:v>46131</x:v>
      </x:c>
      <x:c r="F49" s="15" t="n">
        <x:v>46131</x:v>
      </x:c>
      <x:c r="G49" s="16" t="str">
        <x:v>RTGS-BARBR5202 Dr RTGS-BARBR52026041900792985-HINDUSTAN PETROLEUM CO</x:v>
      </x:c>
      <x:c r="H49" s="14" t="str"/>
      <x:c r="I49" s="14" t="str">
        <x:v>Payment</x:v>
      </x:c>
      <x:c r="J49" s="17" t="n">
        <x:v>1933014</x:v>
      </x:c>
      <x:c r="K49" s="17" t="n">
        <x:v>0</x:v>
      </x:c>
      <x:c r="L49" s="17" t="n">
        <x:v>1933014</x:v>
      </x:c>
      <x:c r="M49" s="17" t="n">
        <x:v>-9263113.77</x:v>
      </x:c>
      <x:c r="N49" s="14" t="str">
        <x:v>High Transaction; Recurring Transaction</x:v>
      </x:c>
      <x:c r="O49" s="14" t="str">
        <x:v>Yes</x:v>
      </x:c>
      <x:c r="P49" s="14" t="str">
        <x:v>BARBR DR RTGS</x:v>
      </x:c>
      <x:c r="Q49" s="14" t="n">
        <x:v>0</x:v>
      </x:c>
      <x:c r="R49" s="14" t="n">
        <x:v>1</x:v>
      </x:c>
      <x:c r="S49" s="14" t="n">
        <x:v>0</x:v>
      </x:c>
      <x:c r="T49" s="14" t="n">
        <x:v>0</x:v>
      </x:c>
      <x:c r="U49" s="14" t="n">
        <x:v>1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46131</x:v>
      </x:c>
    </x:row>
    <x:row r="50">
      <x:c r="A50" s="14" t="n">
        <x:v>76</x:v>
      </x:c>
      <x:c r="B50" s="14" t="str">
        <x:v>273.pdf</x:v>
      </x:c>
      <x:c r="C50" s="15" t="n">
        <x:v>45181</x:v>
      </x:c>
      <x:c r="D50" s="15" t="n">
        <x:v>46146</x:v>
      </x:c>
      <x:c r="E50" s="15" t="n">
        <x:v>46131</x:v>
      </x:c>
      <x:c r="F50" s="15" t="n">
        <x:v>46131</x:v>
      </x:c>
      <x:c r="G50" s="16" t="str">
        <x:v>EBANK:WIB/1504 Dr EBANK:WIB/1504707135/Edfs</x:v>
      </x:c>
      <x:c r="H50" s="14" t="str"/>
      <x:c r="I50" s="14" t="str">
        <x:v>Receipt</x:v>
      </x:c>
      <x:c r="J50" s="17" t="n">
        <x:v>0</x:v>
      </x:c>
      <x:c r="K50" s="17" t="n">
        <x:v>211310.53</x:v>
      </x:c>
      <x:c r="L50" s="17" t="n">
        <x:v>211310.53</x:v>
      </x:c>
      <x:c r="M50" s="17" t="n">
        <x:v>-9052129.23</x:v>
      </x:c>
      <x:c r="N50" s="14" t="str">
        <x:v>High Transaction; Recurring Transaction</x:v>
      </x:c>
      <x:c r="O50" s="14" t="str">
        <x:v>Yes</x:v>
      </x:c>
      <x:c r="P50" s="14" t="str">
        <x:v>EBANKWIB</x:v>
      </x:c>
      <x:c r="Q50" s="14" t="n">
        <x:v>0</x:v>
      </x:c>
      <x:c r="R50" s="14" t="n">
        <x:v>1</x:v>
      </x:c>
      <x:c r="S50" s="14" t="n">
        <x:v>0</x:v>
      </x:c>
      <x:c r="T50" s="14" t="n">
        <x:v>0</x:v>
      </x:c>
      <x:c r="U50" s="14" t="n">
        <x:v>1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46131</x:v>
      </x:c>
    </x:row>
    <x:row r="51">
      <x:c r="A51" s="14" t="n">
        <x:v>77</x:v>
      </x:c>
      <x:c r="B51" s="14" t="str">
        <x:v>273.pdf</x:v>
      </x:c>
      <x:c r="C51" s="15" t="n">
        <x:v>45181</x:v>
      </x:c>
      <x:c r="D51" s="15" t="n">
        <x:v>46146</x:v>
      </x:c>
      <x:c r="E51" s="15" t="n">
        <x:v>46132</x:v>
      </x:c>
      <x:c r="F51" s="15" t="n">
        <x:v>46132</x:v>
      </x:c>
      <x:c r="G51" s="16" t="str">
        <x:v>EBANK:WIB/1504 Dr EBANK:WIB/1504717278/Edfs</x:v>
      </x:c>
      <x:c r="H51" s="14" t="str"/>
      <x:c r="I51" s="14" t="str">
        <x:v>Receipt</x:v>
      </x:c>
      <x:c r="J51" s="17" t="n">
        <x:v>0</x:v>
      </x:c>
      <x:c r="K51" s="17" t="n">
        <x:v>260572.52</x:v>
      </x:c>
      <x:c r="L51" s="17" t="n">
        <x:v>260572.52</x:v>
      </x:c>
      <x:c r="M51" s="17" t="n">
        <x:v>-8791556.71</x:v>
      </x:c>
      <x:c r="N51" s="14" t="str">
        <x:v>High Transaction; Recurring Transaction</x:v>
      </x:c>
      <x:c r="O51" s="14" t="str">
        <x:v>Yes</x:v>
      </x:c>
      <x:c r="P51" s="14" t="str">
        <x:v>EBANKWIB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1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46132</x:v>
      </x:c>
    </x:row>
    <x:row r="52">
      <x:c r="A52" s="14" t="n">
        <x:v>79</x:v>
      </x:c>
      <x:c r="B52" s="14" t="str">
        <x:v>273.pdf</x:v>
      </x:c>
      <x:c r="C52" s="15" t="n">
        <x:v>45181</x:v>
      </x:c>
      <x:c r="D52" s="15" t="n">
        <x:v>46146</x:v>
      </x:c>
      <x:c r="E52" s="15" t="n">
        <x:v>46132</x:v>
      </x:c>
      <x:c r="F52" s="15" t="n">
        <x:v>46132</x:v>
      </x:c>
      <x:c r="G52" s="16" t="str">
        <x:v>BY CASH Dr BY CASH</x:v>
      </x:c>
      <x:c r="H52" s="14" t="str"/>
      <x:c r="I52" s="14" t="str">
        <x:v>Receipt</x:v>
      </x:c>
      <x:c r="J52" s="17" t="n">
        <x:v>0</x:v>
      </x:c>
      <x:c r="K52" s="17" t="n">
        <x:v>336500</x:v>
      </x:c>
      <x:c r="L52" s="17" t="n">
        <x:v>336500</x:v>
      </x:c>
      <x:c r="M52" s="17" t="n">
        <x:v>-8455271.86</x:v>
      </x:c>
      <x:c r="N52" s="14" t="str">
        <x:v>Cash; High Transaction; Recurring Transaction</x:v>
      </x:c>
      <x:c r="O52" s="14" t="str">
        <x:v>Yes</x:v>
      </x:c>
      <x:c r="P52" s="14" t="str">
        <x:v>BY CASH DR BY CASH</x:v>
      </x:c>
      <x:c r="Q52" s="14" t="n">
        <x:v>1</x:v>
      </x:c>
      <x:c r="R52" s="14" t="n">
        <x:v>1</x:v>
      </x:c>
      <x:c r="S52" s="14" t="n">
        <x:v>0</x:v>
      </x:c>
      <x:c r="T52" s="14" t="n">
        <x:v>0</x:v>
      </x:c>
      <x:c r="U52" s="14" t="n">
        <x:v>1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46132</x:v>
      </x:c>
    </x:row>
    <x:row r="53">
      <x:c r="A53" s="14" t="n">
        <x:v>80</x:v>
      </x:c>
      <x:c r="B53" s="14" t="str">
        <x:v>273.pdf</x:v>
      </x:c>
      <x:c r="C53" s="15" t="n">
        <x:v>45181</x:v>
      </x:c>
      <x:c r="D53" s="15" t="n">
        <x:v>46146</x:v>
      </x:c>
      <x:c r="E53" s="15" t="n">
        <x:v>46132</x:v>
      </x:c>
      <x:c r="F53" s="15" t="n">
        <x:v>46132</x:v>
      </x:c>
      <x:c r="G53" s="16" t="str">
        <x:v>EBANK:WIB/1504 Dr EBANK:WIB/1504868004/Edfs</x:v>
      </x:c>
      <x:c r="H53" s="14" t="str"/>
      <x:c r="I53" s="14" t="str">
        <x:v>Receipt</x:v>
      </x:c>
      <x:c r="J53" s="17" t="n">
        <x:v>0</x:v>
      </x:c>
      <x:c r="K53" s="17" t="n">
        <x:v>287084.78</x:v>
      </x:c>
      <x:c r="L53" s="17" t="n">
        <x:v>287084.78</x:v>
      </x:c>
      <x:c r="M53" s="17" t="n">
        <x:v>-8168187.08</x:v>
      </x:c>
      <x:c r="N53" s="14" t="str">
        <x:v>High Transaction; Recurring Transaction</x:v>
      </x:c>
      <x:c r="O53" s="14" t="str">
        <x:v>Yes</x:v>
      </x:c>
      <x:c r="P53" s="14" t="str">
        <x:v>EBANKWIB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46132</x:v>
      </x:c>
    </x:row>
    <x:row r="54">
      <x:c r="A54" s="14" t="n">
        <x:v>81</x:v>
      </x:c>
      <x:c r="B54" s="14" t="str">
        <x:v>273.pdf</x:v>
      </x:c>
      <x:c r="C54" s="15" t="n">
        <x:v>45181</x:v>
      </x:c>
      <x:c r="D54" s="15" t="n">
        <x:v>46146</x:v>
      </x:c>
      <x:c r="E54" s="15" t="n">
        <x:v>46133</x:v>
      </x:c>
      <x:c r="F54" s="15" t="n">
        <x:v>46133</x:v>
      </x:c>
      <x:c r="G54" s="16" t="str">
        <x:v>EBANK:WIB/1504 Dr EBANK:WIB/1504892301/Edfs</x:v>
      </x:c>
      <x:c r="H54" s="14" t="str"/>
      <x:c r="I54" s="14" t="str">
        <x:v>Receipt</x:v>
      </x:c>
      <x:c r="J54" s="17" t="n">
        <x:v>0</x:v>
      </x:c>
      <x:c r="K54" s="17" t="n">
        <x:v>333445.92</x:v>
      </x:c>
      <x:c r="L54" s="17" t="n">
        <x:v>333445.92</x:v>
      </x:c>
      <x:c r="M54" s="17" t="n">
        <x:v>-7834741.16</x:v>
      </x:c>
      <x:c r="N54" s="14" t="str">
        <x:v>High Transaction; Recurring Transaction</x:v>
      </x:c>
      <x:c r="O54" s="14" t="str">
        <x:v>Yes</x:v>
      </x:c>
      <x:c r="P54" s="14" t="str">
        <x:v>EBANKWIB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1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46133</x:v>
      </x:c>
    </x:row>
    <x:row r="55">
      <x:c r="A55" s="14" t="n">
        <x:v>83</x:v>
      </x:c>
      <x:c r="B55" s="14" t="str">
        <x:v>273.pdf</x:v>
      </x:c>
      <x:c r="C55" s="15" t="n">
        <x:v>45181</x:v>
      </x:c>
      <x:c r="D55" s="15" t="n">
        <x:v>46146</x:v>
      </x:c>
      <x:c r="E55" s="15" t="n">
        <x:v>46133</x:v>
      </x:c>
      <x:c r="F55" s="15" t="n">
        <x:v>46133</x:v>
      </x:c>
      <x:c r="G55" s="16" t="str">
        <x:v>RTGS-BARBR5202 Dr RTGS-BARBR52026042100866436-HINDUSTAN PETROLEUM CO</x:v>
      </x:c>
      <x:c r="H55" s="14" t="str"/>
      <x:c r="I55" s="14" t="str">
        <x:v>Payment</x:v>
      </x:c>
      <x:c r="J55" s="17" t="n">
        <x:v>2042157.6</x:v>
      </x:c>
      <x:c r="K55" s="17" t="n">
        <x:v>0</x:v>
      </x:c>
      <x:c r="L55" s="17" t="n">
        <x:v>2042157.6</x:v>
      </x:c>
      <x:c r="M55" s="17" t="n">
        <x:v>-9876905.64</x:v>
      </x:c>
      <x:c r="N55" s="14" t="str">
        <x:v>High Transaction; Recurring Transaction</x:v>
      </x:c>
      <x:c r="O55" s="14" t="str">
        <x:v>Yes</x:v>
      </x:c>
      <x:c r="P55" s="14" t="str">
        <x:v>BARBR DR RTGS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1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46133</x:v>
      </x:c>
    </x:row>
    <x:row r="56">
      <x:c r="A56" s="14" t="n">
        <x:v>84</x:v>
      </x:c>
      <x:c r="B56" s="14" t="str">
        <x:v>273.pdf</x:v>
      </x:c>
      <x:c r="C56" s="15" t="n">
        <x:v>45181</x:v>
      </x:c>
      <x:c r="D56" s="15" t="n">
        <x:v>46146</x:v>
      </x:c>
      <x:c r="E56" s="15" t="n">
        <x:v>46133</x:v>
      </x:c>
      <x:c r="F56" s="15" t="n">
        <x:v>46133</x:v>
      </x:c>
      <x:c r="G56" s="16" t="str">
        <x:v>BY CASH Dr BY CASH</x:v>
      </x:c>
      <x:c r="H56" s="14" t="str"/>
      <x:c r="I56" s="14" t="str">
        <x:v>Receipt</x:v>
      </x:c>
      <x:c r="J56" s="17" t="n">
        <x:v>0</x:v>
      </x:c>
      <x:c r="K56" s="17" t="n">
        <x:v>150500</x:v>
      </x:c>
      <x:c r="L56" s="17" t="n">
        <x:v>150500</x:v>
      </x:c>
      <x:c r="M56" s="17" t="n">
        <x:v>-9726405.64</x:v>
      </x:c>
      <x:c r="N56" s="14" t="str">
        <x:v>Cash; High Transaction; Recurring Transaction</x:v>
      </x:c>
      <x:c r="O56" s="14" t="str">
        <x:v>Yes</x:v>
      </x:c>
      <x:c r="P56" s="14" t="str">
        <x:v>BY CASH DR BY CASH</x:v>
      </x:c>
      <x:c r="Q56" s="14" t="n">
        <x:v>1</x:v>
      </x:c>
      <x:c r="R56" s="14" t="n">
        <x:v>1</x:v>
      </x:c>
      <x:c r="S56" s="14" t="n">
        <x:v>0</x:v>
      </x:c>
      <x:c r="T56" s="14" t="n">
        <x:v>0</x:v>
      </x:c>
      <x:c r="U56" s="14" t="n">
        <x:v>1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46133</x:v>
      </x:c>
    </x:row>
    <x:row r="57">
      <x:c r="A57" s="14" t="n">
        <x:v>85</x:v>
      </x:c>
      <x:c r="B57" s="14" t="str">
        <x:v>273.pdf</x:v>
      </x:c>
      <x:c r="C57" s="15" t="n">
        <x:v>45181</x:v>
      </x:c>
      <x:c r="D57" s="15" t="n">
        <x:v>46146</x:v>
      </x:c>
      <x:c r="E57" s="15" t="n">
        <x:v>46133</x:v>
      </x:c>
      <x:c r="F57" s="15" t="n">
        <x:v>46133</x:v>
      </x:c>
      <x:c r="G57" s="16" t="str">
        <x:v>EBANK:WIB/1505 Dr EBANK:WIB/1505043394/Edfs</x:v>
      </x:c>
      <x:c r="H57" s="14" t="str"/>
      <x:c r="I57" s="14" t="str">
        <x:v>Receipt</x:v>
      </x:c>
      <x:c r="J57" s="17" t="n">
        <x:v>0</x:v>
      </x:c>
      <x:c r="K57" s="17" t="n">
        <x:v>108963.7</x:v>
      </x:c>
      <x:c r="L57" s="17" t="n">
        <x:v>108963.7</x:v>
      </x:c>
      <x:c r="M57" s="17" t="n">
        <x:v>-9617441.94</x:v>
      </x:c>
      <x:c r="N57" s="14" t="str">
        <x:v>High Transaction; Recurring Transaction</x:v>
      </x:c>
      <x:c r="O57" s="14" t="str">
        <x:v>Yes</x:v>
      </x:c>
      <x:c r="P57" s="14" t="str">
        <x:v>EBANKWIB</x:v>
      </x:c>
      <x:c r="Q57" s="14" t="n">
        <x:v>0</x:v>
      </x:c>
      <x:c r="R57" s="14" t="n">
        <x:v>1</x:v>
      </x:c>
      <x:c r="S57" s="14" t="n">
        <x:v>0</x:v>
      </x:c>
      <x:c r="T57" s="14" t="n">
        <x:v>0</x:v>
      </x:c>
      <x:c r="U57" s="14" t="n">
        <x:v>1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46133</x:v>
      </x:c>
    </x:row>
    <x:row r="58">
      <x:c r="A58" s="14" t="n">
        <x:v>87</x:v>
      </x:c>
      <x:c r="B58" s="14" t="str">
        <x:v>273.pdf</x:v>
      </x:c>
      <x:c r="C58" s="15" t="n">
        <x:v>45181</x:v>
      </x:c>
      <x:c r="D58" s="15" t="n">
        <x:v>46146</x:v>
      </x:c>
      <x:c r="E58" s="15" t="n">
        <x:v>46134</x:v>
      </x:c>
      <x:c r="F58" s="15" t="n">
        <x:v>46134</x:v>
      </x:c>
      <x:c r="G58" s="16" t="str">
        <x:v>EBANK:WIB/1505 Dr EBANK:WIB/1505048812/Edfs</x:v>
      </x:c>
      <x:c r="H58" s="14" t="str"/>
      <x:c r="I58" s="14" t="str">
        <x:v>Receipt</x:v>
      </x:c>
      <x:c r="J58" s="17" t="n">
        <x:v>0</x:v>
      </x:c>
      <x:c r="K58" s="17" t="n">
        <x:v>259307.24</x:v>
      </x:c>
      <x:c r="L58" s="17" t="n">
        <x:v>259307.24</x:v>
      </x:c>
      <x:c r="M58" s="17" t="n">
        <x:v>-9364751.84</x:v>
      </x:c>
      <x:c r="N58" s="14" t="str">
        <x:v>High Transaction; Recurring Transaction</x:v>
      </x:c>
      <x:c r="O58" s="14" t="str">
        <x:v>Yes</x:v>
      </x:c>
      <x:c r="P58" s="14" t="str">
        <x:v>EBANKWIB</x:v>
      </x:c>
      <x:c r="Q58" s="14" t="n">
        <x:v>0</x:v>
      </x:c>
      <x:c r="R58" s="14" t="n">
        <x:v>1</x:v>
      </x:c>
      <x:c r="S58" s="14" t="n">
        <x:v>0</x:v>
      </x:c>
      <x:c r="T58" s="14" t="n">
        <x:v>0</x:v>
      </x:c>
      <x:c r="U58" s="14" t="n">
        <x:v>1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46134</x:v>
      </x:c>
    </x:row>
    <x:row r="59">
      <x:c r="A59" s="14" t="n">
        <x:v>89</x:v>
      </x:c>
      <x:c r="B59" s="14" t="str">
        <x:v>273.pdf</x:v>
      </x:c>
      <x:c r="C59" s="15" t="n">
        <x:v>45181</x:v>
      </x:c>
      <x:c r="D59" s="15" t="n">
        <x:v>46146</x:v>
      </x:c>
      <x:c r="E59" s="15" t="n">
        <x:v>46134</x:v>
      </x:c>
      <x:c r="F59" s="15" t="n">
        <x:v>46134</x:v>
      </x:c>
      <x:c r="G59" s="16" t="str">
        <x:v>BY CASH Dr BY CASH</x:v>
      </x:c>
      <x:c r="H59" s="14" t="str"/>
      <x:c r="I59" s="14" t="str">
        <x:v>Receipt</x:v>
      </x:c>
      <x:c r="J59" s="17" t="n">
        <x:v>0</x:v>
      </x:c>
      <x:c r="K59" s="17" t="n">
        <x:v>609000</x:v>
      </x:c>
      <x:c r="L59" s="17" t="n">
        <x:v>609000</x:v>
      </x:c>
      <x:c r="M59" s="17" t="n">
        <x:v>-8755726.17</x:v>
      </x:c>
      <x:c r="N59" s="14" t="str">
        <x:v>Cash; High Transaction; Recurring Transaction</x:v>
      </x:c>
      <x:c r="O59" s="14" t="str">
        <x:v>Yes</x:v>
      </x:c>
      <x:c r="P59" s="14" t="str">
        <x:v>BY CASH DR BY CASH</x:v>
      </x:c>
      <x:c r="Q59" s="14" t="n">
        <x:v>1</x:v>
      </x:c>
      <x:c r="R59" s="14" t="n">
        <x:v>1</x:v>
      </x:c>
      <x:c r="S59" s="14" t="n">
        <x:v>0</x:v>
      </x:c>
      <x:c r="T59" s="14" t="n">
        <x:v>0</x:v>
      </x:c>
      <x:c r="U59" s="14" t="n">
        <x:v>1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46134</x:v>
      </x:c>
    </x:row>
    <x:row r="60">
      <x:c r="A60" s="14" t="n">
        <x:v>90</x:v>
      </x:c>
      <x:c r="B60" s="14" t="str">
        <x:v>273.pdf</x:v>
      </x:c>
      <x:c r="C60" s="15" t="n">
        <x:v>45181</x:v>
      </x:c>
      <x:c r="D60" s="15" t="n">
        <x:v>46146</x:v>
      </x:c>
      <x:c r="E60" s="15" t="n">
        <x:v>46134</x:v>
      </x:c>
      <x:c r="F60" s="15" t="n">
        <x:v>46134</x:v>
      </x:c>
      <x:c r="G60" s="16" t="str">
        <x:v>EBANK:WIB/1505 Dr EBANK:WIB/1505171210/Edfs</x:v>
      </x:c>
      <x:c r="H60" s="14" t="str"/>
      <x:c r="I60" s="14" t="str">
        <x:v>Receipt</x:v>
      </x:c>
      <x:c r="J60" s="17" t="n">
        <x:v>0</x:v>
      </x:c>
      <x:c r="K60" s="17" t="n">
        <x:v>356256.8</x:v>
      </x:c>
      <x:c r="L60" s="17" t="n">
        <x:v>356256.8</x:v>
      </x:c>
      <x:c r="M60" s="17" t="n">
        <x:v>-8399469.37</x:v>
      </x:c>
      <x:c r="N60" s="14" t="str">
        <x:v>High Transaction; Recurring Transaction</x:v>
      </x:c>
      <x:c r="O60" s="14" t="str">
        <x:v>Yes</x:v>
      </x:c>
      <x:c r="P60" s="14" t="str">
        <x:v>EBANKWIB</x:v>
      </x:c>
      <x:c r="Q60" s="14" t="n">
        <x:v>0</x:v>
      </x:c>
      <x:c r="R60" s="14" t="n">
        <x:v>1</x:v>
      </x:c>
      <x:c r="S60" s="14" t="n">
        <x:v>0</x:v>
      </x:c>
      <x:c r="T60" s="14" t="n">
        <x:v>0</x:v>
      </x:c>
      <x:c r="U60" s="14" t="n">
        <x:v>1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46134</x:v>
      </x:c>
    </x:row>
    <x:row r="61">
      <x:c r="A61" s="14" t="n">
        <x:v>91</x:v>
      </x:c>
      <x:c r="B61" s="14" t="str">
        <x:v>273.pdf</x:v>
      </x:c>
      <x:c r="C61" s="15" t="n">
        <x:v>45181</x:v>
      </x:c>
      <x:c r="D61" s="15" t="n">
        <x:v>46146</x:v>
      </x:c>
      <x:c r="E61" s="15" t="n">
        <x:v>46134</x:v>
      </x:c>
      <x:c r="F61" s="15" t="n">
        <x:v>46134</x:v>
      </x:c>
      <x:c r="G61" s="16" t="str">
        <x:v>RTGS-BARBR5202 Dr RTGS-BARBR52026042200989175-HINDUSTAN PETROLEUM CO</x:v>
      </x:c>
      <x:c r="H61" s="14" t="str"/>
      <x:c r="I61" s="14" t="str">
        <x:v>Payment</x:v>
      </x:c>
      <x:c r="J61" s="17" t="n">
        <x:v>1600530</x:v>
      </x:c>
      <x:c r="K61" s="17" t="n">
        <x:v>0</x:v>
      </x:c>
      <x:c r="L61" s="17" t="n">
        <x:v>1600530</x:v>
      </x:c>
      <x:c r="M61" s="17" t="n">
        <x:v>-9999999.37</x:v>
      </x:c>
      <x:c r="N61" s="14" t="str">
        <x:v>High Transaction; Recurring Transaction</x:v>
      </x:c>
      <x:c r="O61" s="14" t="str">
        <x:v>Yes</x:v>
      </x:c>
      <x:c r="P61" s="14" t="str">
        <x:v>BARBR DR RTGS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1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46134</x:v>
      </x:c>
    </x:row>
    <x:row r="62">
      <x:c r="A62" s="14" t="n">
        <x:v>93</x:v>
      </x:c>
      <x:c r="B62" s="14" t="str">
        <x:v>273.pdf</x:v>
      </x:c>
      <x:c r="C62" s="15" t="n">
        <x:v>45181</x:v>
      </x:c>
      <x:c r="D62" s="15" t="n">
        <x:v>46146</x:v>
      </x:c>
      <x:c r="E62" s="15" t="n">
        <x:v>46135</x:v>
      </x:c>
      <x:c r="F62" s="15" t="n">
        <x:v>46135</x:v>
      </x:c>
      <x:c r="G62" s="16" t="str">
        <x:v>EBANK:WIB/1505 Dr EBANK:WIB/1505193929/Edfs</x:v>
      </x:c>
      <x:c r="H62" s="14" t="str"/>
      <x:c r="I62" s="14" t="str">
        <x:v>Receipt</x:v>
      </x:c>
      <x:c r="J62" s="17" t="n">
        <x:v>0</x:v>
      </x:c>
      <x:c r="K62" s="17" t="n">
        <x:v>224683</x:v>
      </x:c>
      <x:c r="L62" s="17" t="n">
        <x:v>224683</x:v>
      </x:c>
      <x:c r="M62" s="17" t="n">
        <x:v>-9725316.37</x:v>
      </x:c>
      <x:c r="N62" s="14" t="str">
        <x:v>High Transaction; Recurring Transaction</x:v>
      </x:c>
      <x:c r="O62" s="14" t="str">
        <x:v>Yes</x:v>
      </x:c>
      <x:c r="P62" s="14" t="str">
        <x:v>EBANKWIB</x:v>
      </x:c>
      <x:c r="Q62" s="14" t="n">
        <x:v>0</x:v>
      </x:c>
      <x:c r="R62" s="14" t="n">
        <x:v>1</x:v>
      </x:c>
      <x:c r="S62" s="14" t="n">
        <x:v>0</x:v>
      </x:c>
      <x:c r="T62" s="14" t="n">
        <x:v>0</x:v>
      </x:c>
      <x:c r="U62" s="14" t="n">
        <x:v>1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46135</x:v>
      </x:c>
    </x:row>
    <x:row r="63">
      <x:c r="A63" s="14" t="n">
        <x:v>96</x:v>
      </x:c>
      <x:c r="B63" s="14" t="str">
        <x:v>273.pdf</x:v>
      </x:c>
      <x:c r="C63" s="15" t="n">
        <x:v>45181</x:v>
      </x:c>
      <x:c r="D63" s="15" t="n">
        <x:v>46146</x:v>
      </x:c>
      <x:c r="E63" s="15" t="n">
        <x:v>46135</x:v>
      </x:c>
      <x:c r="F63" s="15" t="n">
        <x:v>46135</x:v>
      </x:c>
      <x:c r="G63" s="16" t="str">
        <x:v>EBANK:WIB/1505 Dr EBANK:WIB/1505205959/Edfs</x:v>
      </x:c>
      <x:c r="H63" s="14" t="str"/>
      <x:c r="I63" s="14" t="str">
        <x:v>Receipt</x:v>
      </x:c>
      <x:c r="J63" s="17" t="n">
        <x:v>0</x:v>
      </x:c>
      <x:c r="K63" s="17" t="n">
        <x:v>269000</x:v>
      </x:c>
      <x:c r="L63" s="17" t="n">
        <x:v>269000</x:v>
      </x:c>
      <x:c r="M63" s="17" t="n">
        <x:v>-9373537.56</x:v>
      </x:c>
      <x:c r="N63" s="14" t="str">
        <x:v>High Transaction; Recurring Transaction</x:v>
      </x:c>
      <x:c r="O63" s="14" t="str">
        <x:v>Yes</x:v>
      </x:c>
      <x:c r="P63" s="14" t="str">
        <x:v>EBANKWIB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1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46135</x:v>
      </x:c>
    </x:row>
    <x:row r="64">
      <x:c r="A64" s="14" t="n">
        <x:v>97</x:v>
      </x:c>
      <x:c r="B64" s="14" t="str">
        <x:v>273.pdf</x:v>
      </x:c>
      <x:c r="C64" s="15" t="n">
        <x:v>45181</x:v>
      </x:c>
      <x:c r="D64" s="15" t="n">
        <x:v>46146</x:v>
      </x:c>
      <x:c r="E64" s="15" t="n">
        <x:v>46135</x:v>
      </x:c>
      <x:c r="F64" s="15" t="n">
        <x:v>46135</x:v>
      </x:c>
      <x:c r="G64" s="16" t="str">
        <x:v>RTGS-BARBR5202 Dr RTGS-BARBR52026042300993365-HINDUSTAN PETROLEUM CO</x:v>
      </x:c>
      <x:c r="H64" s="14" t="str"/>
      <x:c r="I64" s="14" t="str">
        <x:v>Payment</x:v>
      </x:c>
      <x:c r="J64" s="17" t="n">
        <x:v>428234.82</x:v>
      </x:c>
      <x:c r="K64" s="17" t="n">
        <x:v>0</x:v>
      </x:c>
      <x:c r="L64" s="17" t="n">
        <x:v>428234.82</x:v>
      </x:c>
      <x:c r="M64" s="17" t="n">
        <x:v>-9801772.38</x:v>
      </x:c>
      <x:c r="N64" s="14" t="str">
        <x:v>High Transaction; Recurring Transaction</x:v>
      </x:c>
      <x:c r="O64" s="14" t="str">
        <x:v>Yes</x:v>
      </x:c>
      <x:c r="P64" s="14" t="str">
        <x:v>BARBR DR RTGS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1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46135</x:v>
      </x:c>
    </x:row>
    <x:row r="65">
      <x:c r="A65" s="14" t="n">
        <x:v>98</x:v>
      </x:c>
      <x:c r="B65" s="14" t="str">
        <x:v>273.pdf</x:v>
      </x:c>
      <x:c r="C65" s="15" t="n">
        <x:v>45181</x:v>
      </x:c>
      <x:c r="D65" s="15" t="n">
        <x:v>46146</x:v>
      </x:c>
      <x:c r="E65" s="15" t="n">
        <x:v>46135</x:v>
      </x:c>
      <x:c r="F65" s="15" t="n">
        <x:v>46135</x:v>
      </x:c>
      <x:c r="G65" s="16" t="str">
        <x:v>BY CASH Dr BY CASH</x:v>
      </x:c>
      <x:c r="H65" s="14" t="str"/>
      <x:c r="I65" s="14" t="str">
        <x:v>Receipt</x:v>
      </x:c>
      <x:c r="J65" s="17" t="n">
        <x:v>0</x:v>
      </x:c>
      <x:c r="K65" s="17" t="n">
        <x:v>253500</x:v>
      </x:c>
      <x:c r="L65" s="17" t="n">
        <x:v>253500</x:v>
      </x:c>
      <x:c r="M65" s="17" t="n">
        <x:v>-9548272.38</x:v>
      </x:c>
      <x:c r="N65" s="14" t="str">
        <x:v>Cash; High Transaction; Recurring Transaction</x:v>
      </x:c>
      <x:c r="O65" s="14" t="str">
        <x:v>Yes</x:v>
      </x:c>
      <x:c r="P65" s="14" t="str">
        <x:v>BY CASH DR BY CASH</x:v>
      </x:c>
      <x:c r="Q65" s="14" t="n">
        <x:v>1</x:v>
      </x:c>
      <x:c r="R65" s="14" t="n">
        <x:v>1</x:v>
      </x:c>
      <x:c r="S65" s="14" t="n">
        <x:v>0</x:v>
      </x:c>
      <x:c r="T65" s="14" t="n">
        <x:v>0</x:v>
      </x:c>
      <x:c r="U65" s="14" t="n">
        <x:v>1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46135</x:v>
      </x:c>
    </x:row>
    <x:row r="66">
      <x:c r="A66" s="14" t="n">
        <x:v>99</x:v>
      </x:c>
      <x:c r="B66" s="14" t="str">
        <x:v>273.pdf</x:v>
      </x:c>
      <x:c r="C66" s="15" t="n">
        <x:v>45181</x:v>
      </x:c>
      <x:c r="D66" s="15" t="n">
        <x:v>46146</x:v>
      </x:c>
      <x:c r="E66" s="15" t="n">
        <x:v>46135</x:v>
      </x:c>
      <x:c r="F66" s="15" t="n">
        <x:v>46135</x:v>
      </x:c>
      <x:c r="G66" s="16" t="str">
        <x:v>RTGS-BARBR5202 Dr RTGS-BARBR52026042300772587-HINDUSTAN PETROLEUM CO</x:v>
      </x:c>
      <x:c r="H66" s="14" t="str"/>
      <x:c r="I66" s="14" t="str">
        <x:v>Payment</x:v>
      </x:c>
      <x:c r="J66" s="17" t="n">
        <x:v>451000</x:v>
      </x:c>
      <x:c r="K66" s="17" t="n">
        <x:v>0</x:v>
      </x:c>
      <x:c r="L66" s="17" t="n">
        <x:v>451000</x:v>
      </x:c>
      <x:c r="M66" s="17" t="n">
        <x:v>-9999272.38</x:v>
      </x:c>
      <x:c r="N66" s="14" t="str">
        <x:v>High Transaction; Recurring Transaction</x:v>
      </x:c>
      <x:c r="O66" s="14" t="str">
        <x:v>Yes</x:v>
      </x:c>
      <x:c r="P66" s="14" t="str">
        <x:v>BARBR DR RTGS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1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46135</x:v>
      </x:c>
    </x:row>
    <x:row r="67">
      <x:c r="A67" s="14" t="n">
        <x:v>100</x:v>
      </x:c>
      <x:c r="B67" s="14" t="str">
        <x:v>273.pdf</x:v>
      </x:c>
      <x:c r="C67" s="15" t="n">
        <x:v>45181</x:v>
      </x:c>
      <x:c r="D67" s="15" t="n">
        <x:v>46146</x:v>
      </x:c>
      <x:c r="E67" s="15" t="n">
        <x:v>46135</x:v>
      </x:c>
      <x:c r="F67" s="15" t="n">
        <x:v>46135</x:v>
      </x:c>
      <x:c r="G67" s="16" t="str">
        <x:v>EBANK:WIB/1505 Dr EBANK:WIB/1505315722/Edfs</x:v>
      </x:c>
      <x:c r="H67" s="14" t="str"/>
      <x:c r="I67" s="14" t="str">
        <x:v>Receipt</x:v>
      </x:c>
      <x:c r="J67" s="17" t="n">
        <x:v>0</x:v>
      </x:c>
      <x:c r="K67" s="17" t="n">
        <x:v>222635.35</x:v>
      </x:c>
      <x:c r="L67" s="17" t="n">
        <x:v>222635.35</x:v>
      </x:c>
      <x:c r="M67" s="17" t="n">
        <x:v>-9776637.03</x:v>
      </x:c>
      <x:c r="N67" s="14" t="str">
        <x:v>High Transaction; Recurring Transaction</x:v>
      </x:c>
      <x:c r="O67" s="14" t="str">
        <x:v>Yes</x:v>
      </x:c>
      <x:c r="P67" s="14" t="str">
        <x:v>EBANKWIB</x:v>
      </x:c>
      <x:c r="Q67" s="14" t="n">
        <x:v>0</x:v>
      </x:c>
      <x:c r="R67" s="14" t="n">
        <x:v>1</x:v>
      </x:c>
      <x:c r="S67" s="14" t="n">
        <x:v>0</x:v>
      </x:c>
      <x:c r="T67" s="14" t="n">
        <x:v>0</x:v>
      </x:c>
      <x:c r="U67" s="14" t="n">
        <x:v>1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46135</x:v>
      </x:c>
    </x:row>
    <x:row r="68">
      <x:c r="A68" s="14" t="n">
        <x:v>101</x:v>
      </x:c>
      <x:c r="B68" s="14" t="str">
        <x:v>273.pdf</x:v>
      </x:c>
      <x:c r="C68" s="15" t="n">
        <x:v>45181</x:v>
      </x:c>
      <x:c r="D68" s="15" t="n">
        <x:v>46146</x:v>
      </x:c>
      <x:c r="E68" s="15" t="n">
        <x:v>46136</x:v>
      </x:c>
      <x:c r="F68" s="15" t="n">
        <x:v>46136</x:v>
      </x:c>
      <x:c r="G68" s="16" t="str">
        <x:v>EBANK:WIB/1505 Dr EBANK:WIB/1505337172/Edfs</x:v>
      </x:c>
      <x:c r="H68" s="14" t="str"/>
      <x:c r="I68" s="14" t="str">
        <x:v>Receipt</x:v>
      </x:c>
      <x:c r="J68" s="17" t="n">
        <x:v>0</x:v>
      </x:c>
      <x:c r="K68" s="17" t="n">
        <x:v>400403</x:v>
      </x:c>
      <x:c r="L68" s="17" t="n">
        <x:v>400403</x:v>
      </x:c>
      <x:c r="M68" s="17" t="n">
        <x:v>-9376234.03</x:v>
      </x:c>
      <x:c r="N68" s="14" t="str">
        <x:v>High Transaction; Recurring Transaction</x:v>
      </x:c>
      <x:c r="O68" s="14" t="str">
        <x:v>Yes</x:v>
      </x:c>
      <x:c r="P68" s="14" t="str">
        <x:v>EBANKWIB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1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46136</x:v>
      </x:c>
    </x:row>
    <x:row r="69">
      <x:c r="A69" s="14" t="n">
        <x:v>102</x:v>
      </x:c>
      <x:c r="B69" s="14" t="str">
        <x:v>273.pdf</x:v>
      </x:c>
      <x:c r="C69" s="15" t="n">
        <x:v>45181</x:v>
      </x:c>
      <x:c r="D69" s="15" t="n">
        <x:v>46146</x:v>
      </x:c>
      <x:c r="E69" s="15" t="n">
        <x:v>46136</x:v>
      </x:c>
      <x:c r="F69" s="15" t="n">
        <x:v>46136</x:v>
      </x:c>
      <x:c r="G69" s="16" t="str">
        <x:v>BY CASH Dr BY CASH</x:v>
      </x:c>
      <x:c r="H69" s="14" t="str"/>
      <x:c r="I69" s="14" t="str">
        <x:v>Receipt</x:v>
      </x:c>
      <x:c r="J69" s="17" t="n">
        <x:v>0</x:v>
      </x:c>
      <x:c r="K69" s="17" t="n">
        <x:v>281000</x:v>
      </x:c>
      <x:c r="L69" s="17" t="n">
        <x:v>281000</x:v>
      </x:c>
      <x:c r="M69" s="17" t="n">
        <x:v>-9095234.03</x:v>
      </x:c>
      <x:c r="N69" s="14" t="str">
        <x:v>Cash; High Transaction; Recurring Transaction</x:v>
      </x:c>
      <x:c r="O69" s="14" t="str">
        <x:v>Yes</x:v>
      </x:c>
      <x:c r="P69" s="14" t="str">
        <x:v>BY CASH DR BY CASH</x:v>
      </x:c>
      <x:c r="Q69" s="14" t="n">
        <x:v>1</x:v>
      </x:c>
      <x:c r="R69" s="14" t="n">
        <x:v>1</x:v>
      </x:c>
      <x:c r="S69" s="14" t="n">
        <x:v>0</x:v>
      </x:c>
      <x:c r="T69" s="14" t="n">
        <x:v>0</x:v>
      </x:c>
      <x:c r="U69" s="14" t="n">
        <x:v>1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46136</x:v>
      </x:c>
    </x:row>
    <x:row r="70">
      <x:c r="A70" s="14" t="n">
        <x:v>103</x:v>
      </x:c>
      <x:c r="B70" s="14" t="str">
        <x:v>273.pdf</x:v>
      </x:c>
      <x:c r="C70" s="15" t="n">
        <x:v>45181</x:v>
      </x:c>
      <x:c r="D70" s="15" t="n">
        <x:v>46146</x:v>
      </x:c>
      <x:c r="E70" s="15" t="n">
        <x:v>46136</x:v>
      </x:c>
      <x:c r="F70" s="15" t="n">
        <x:v>46136</x:v>
      </x:c>
      <x:c r="G70" s="16" t="str">
        <x:v>VIRARW-THANE/B Dr BY CASH</x:v>
      </x:c>
      <x:c r="H70" s="14" t="str"/>
      <x:c r="I70" s="14" t="str">
        <x:v>Receipt</x:v>
      </x:c>
      <x:c r="J70" s="17" t="n">
        <x:v>0</x:v>
      </x:c>
      <x:c r="K70" s="17" t="n">
        <x:v>250000</x:v>
      </x:c>
      <x:c r="L70" s="17" t="n">
        <x:v>250000</x:v>
      </x:c>
      <x:c r="M70" s="17" t="n">
        <x:v>-8845234.03</x:v>
      </x:c>
      <x:c r="N70" s="14" t="str">
        <x:v>Cash; High Transaction; Recurring Transaction</x:v>
      </x:c>
      <x:c r="O70" s="14" t="str">
        <x:v>Yes</x:v>
      </x:c>
      <x:c r="P70" s="14" t="str">
        <x:v>B DR BY CASH</x:v>
      </x:c>
      <x:c r="Q70" s="14" t="n">
        <x:v>1</x:v>
      </x:c>
      <x:c r="R70" s="14" t="n">
        <x:v>1</x:v>
      </x:c>
      <x:c r="S70" s="14" t="n">
        <x:v>0</x:v>
      </x:c>
      <x:c r="T70" s="14" t="n">
        <x:v>0</x:v>
      </x:c>
      <x:c r="U70" s="14" t="n">
        <x:v>1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46136</x:v>
      </x:c>
    </x:row>
    <x:row r="71">
      <x:c r="A71" s="14" t="n">
        <x:v>106</x:v>
      </x:c>
      <x:c r="B71" s="14" t="str">
        <x:v>273.pdf</x:v>
      </x:c>
      <x:c r="C71" s="15" t="n">
        <x:v>45181</x:v>
      </x:c>
      <x:c r="D71" s="15" t="n">
        <x:v>46146</x:v>
      </x:c>
      <x:c r="E71" s="15" t="n">
        <x:v>46136</x:v>
      </x:c>
      <x:c r="F71" s="15" t="n">
        <x:v>46136</x:v>
      </x:c>
      <x:c r="G71" s="16" t="str">
        <x:v>RTGS-BARBR5202 Dr RTGS-BARBR52026042400851908-HINDUSTAN PETROLEUM CO</x:v>
      </x:c>
      <x:c r="H71" s="14" t="str"/>
      <x:c r="I71" s="14" t="str">
        <x:v>Payment</x:v>
      </x:c>
      <x:c r="J71" s="17" t="n">
        <x:v>1148985</x:v>
      </x:c>
      <x:c r="K71" s="17" t="n">
        <x:v>0</x:v>
      </x:c>
      <x:c r="L71" s="17" t="n">
        <x:v>1148985</x:v>
      </x:c>
      <x:c r="M71" s="17" t="n">
        <x:v>-9999999.33</x:v>
      </x:c>
      <x:c r="N71" s="14" t="str">
        <x:v>High Transaction; Recurring Transaction</x:v>
      </x:c>
      <x:c r="O71" s="14" t="str">
        <x:v>Yes</x:v>
      </x:c>
      <x:c r="P71" s="14" t="str">
        <x:v>BARBR DR RTGS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1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46136</x:v>
      </x:c>
    </x:row>
    <x:row r="72">
      <x:c r="A72" s="14" t="n">
        <x:v>107</x:v>
      </x:c>
      <x:c r="B72" s="14" t="str">
        <x:v>273.pdf</x:v>
      </x:c>
      <x:c r="C72" s="15" t="n">
        <x:v>45181</x:v>
      </x:c>
      <x:c r="D72" s="15" t="n">
        <x:v>46146</x:v>
      </x:c>
      <x:c r="E72" s="15" t="n">
        <x:v>46136</x:v>
      </x:c>
      <x:c r="F72" s="15" t="n">
        <x:v>46136</x:v>
      </x:c>
      <x:c r="G72" s="16" t="str">
        <x:v>EBANK:WIB/1505 Dr EBANK:WIB/1505452714/Edfs https://cbdrpt101.bankofbaroda.co.in:22000/finbranch/arjspmorph/INFENG/tran_rpt.jsp?... 04-05-2026</x:v>
      </x:c>
      <x:c r="H72" s="14" t="str"/>
      <x:c r="I72" s="14" t="str">
        <x:v>Receipt</x:v>
      </x:c>
      <x:c r="J72" s="17" t="n">
        <x:v>0</x:v>
      </x:c>
      <x:c r="K72" s="17" t="n">
        <x:v>115069</x:v>
      </x:c>
      <x:c r="L72" s="17" t="n">
        <x:v>115069</x:v>
      </x:c>
      <x:c r="M72" s="17" t="n">
        <x:v>-9884930.33</x:v>
      </x:c>
      <x:c r="N72" s="14" t="str">
        <x:v>High Transaction; Recurring Transaction</x:v>
      </x:c>
      <x:c r="O72" s="14" t="str">
        <x:v>Yes</x:v>
      </x:c>
      <x:c r="P72" s="14" t="str">
        <x:v>EBANKWIB</x:v>
      </x:c>
      <x:c r="Q72" s="14" t="n">
        <x:v>0</x:v>
      </x:c>
      <x:c r="R72" s="14" t="n">
        <x:v>1</x:v>
      </x:c>
      <x:c r="S72" s="14" t="n">
        <x:v>0</x:v>
      </x:c>
      <x:c r="T72" s="14" t="n">
        <x:v>0</x:v>
      </x:c>
      <x:c r="U72" s="14" t="n">
        <x:v>1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46136</x:v>
      </x:c>
    </x:row>
    <x:row r="73">
      <x:c r="A73" s="14" t="n">
        <x:v>108</x:v>
      </x:c>
      <x:c r="B73" s="14" t="str">
        <x:v>273.pdf</x:v>
      </x:c>
      <x:c r="C73" s="15" t="n">
        <x:v>45181</x:v>
      </x:c>
      <x:c r="D73" s="15" t="n">
        <x:v>46146</x:v>
      </x:c>
      <x:c r="E73" s="15" t="n">
        <x:v>46136</x:v>
      </x:c>
      <x:c r="F73" s="15" t="n">
        <x:v>46136</x:v>
      </x:c>
      <x:c r="G73" s="16" t="str">
        <x:v>NEFT-BARBY2611 Dr NEFT-BARBY26114821805-HINDUSTAN PETROLEUM CORPORAT</x:v>
      </x:c>
      <x:c r="H73" s="14" t="str"/>
      <x:c r="I73" s="14" t="str">
        <x:v>Payment</x:v>
      </x:c>
      <x:c r="J73" s="17" t="n">
        <x:v>115069</x:v>
      </x:c>
      <x:c r="K73" s="17" t="n">
        <x:v>0</x:v>
      </x:c>
      <x:c r="L73" s="17" t="n">
        <x:v>115069</x:v>
      </x:c>
      <x:c r="M73" s="17" t="n">
        <x:v>-9999999.33</x:v>
      </x:c>
      <x:c r="N73" s="14" t="str">
        <x:v>High Transaction</x:v>
      </x:c>
      <x:c r="O73" s="14" t="str">
        <x:v>No</x:v>
      </x:c>
      <x:c r="P73" s="14" t="str">
        <x:v>BARBY DR NEFT</x:v>
      </x:c>
      <x:c r="Q73" s="14" t="n">
        <x:v>0</x:v>
      </x:c>
      <x:c r="R73" s="14" t="n">
        <x:v>0</x:v>
      </x:c>
      <x:c r="S73" s="14" t="n">
        <x:v>0</x:v>
      </x:c>
      <x:c r="T73" s="14" t="n">
        <x:v>0</x:v>
      </x:c>
      <x:c r="U73" s="14" t="n">
        <x:v>1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46136</x:v>
      </x:c>
    </x:row>
    <x:row r="74">
      <x:c r="A74" s="14" t="n">
        <x:v>109</x:v>
      </x:c>
      <x:c r="B74" s="14" t="str">
        <x:v>273.pdf</x:v>
      </x:c>
      <x:c r="C74" s="15" t="n">
        <x:v>45181</x:v>
      </x:c>
      <x:c r="D74" s="15" t="n">
        <x:v>46146</x:v>
      </x:c>
      <x:c r="E74" s="15" t="n">
        <x:v>46137</x:v>
      </x:c>
      <x:c r="F74" s="15" t="n">
        <x:v>46137</x:v>
      </x:c>
      <x:c r="G74" s="16" t="str">
        <x:v>EBANK:WIB/1505 Dr EBANK:WIB/1505471306/Edfs</x:v>
      </x:c>
      <x:c r="H74" s="14" t="str"/>
      <x:c r="I74" s="14" t="str">
        <x:v>Receipt</x:v>
      </x:c>
      <x:c r="J74" s="17" t="n">
        <x:v>0</x:v>
      </x:c>
      <x:c r="K74" s="17" t="n">
        <x:v>273418</x:v>
      </x:c>
      <x:c r="L74" s="17" t="n">
        <x:v>273418</x:v>
      </x:c>
      <x:c r="M74" s="17" t="n">
        <x:v>-9726581.33</x:v>
      </x:c>
      <x:c r="N74" s="14" t="str">
        <x:v>High Transaction; Recurring Transaction</x:v>
      </x:c>
      <x:c r="O74" s="14" t="str">
        <x:v>Yes</x:v>
      </x:c>
      <x:c r="P74" s="14" t="str">
        <x:v>EBANKWIB</x:v>
      </x:c>
      <x:c r="Q74" s="14" t="n">
        <x:v>0</x:v>
      </x:c>
      <x:c r="R74" s="14" t="n">
        <x:v>1</x:v>
      </x:c>
      <x:c r="S74" s="14" t="n">
        <x:v>0</x:v>
      </x:c>
      <x:c r="T74" s="14" t="n">
        <x:v>0</x:v>
      </x:c>
      <x:c r="U74" s="14" t="n">
        <x:v>1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46137</x:v>
      </x:c>
    </x:row>
    <x:row r="75">
      <x:c r="A75" s="14" t="n">
        <x:v>111</x:v>
      </x:c>
      <x:c r="B75" s="14" t="str">
        <x:v>273.pdf</x:v>
      </x:c>
      <x:c r="C75" s="15" t="n">
        <x:v>45181</x:v>
      </x:c>
      <x:c r="D75" s="15" t="n">
        <x:v>46146</x:v>
      </x:c>
      <x:c r="E75" s="15" t="n">
        <x:v>46137</x:v>
      </x:c>
      <x:c r="F75" s="15" t="n">
        <x:v>46137</x:v>
      </x:c>
      <x:c r="G75" s="16" t="str">
        <x:v>RTGS-BARBR5202 Dr ---------------------------------------------------------------------------------------------------------------------------------- Page Total: 24,78,719.12 21,37,571.28 99,83,685.40Dr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</x:v>
      </x:c>
      <x:c r="H75" s="14" t="str"/>
      <x:c r="I75" s="14" t="str">
        <x:v>Payment</x:v>
      </x:c>
      <x:c r="J75" s="17" t="n">
        <x:v>329650</x:v>
      </x:c>
      <x:c r="K75" s="17" t="n">
        <x:v>0</x:v>
      </x:c>
      <x:c r="L75" s="17" t="n">
        <x:v>329650</x:v>
      </x:c>
      <x:c r="M75" s="17" t="n">
        <x:v>-9983685.4</x:v>
      </x:c>
      <x:c r="N75" s="14" t="str">
        <x:v>High Transaction</x:v>
      </x:c>
      <x:c r="O75" s="14" t="str">
        <x:v>No</x:v>
      </x:c>
      <x:c r="P75" s="14" t="str">
        <x:v>BARBR DR</x:v>
      </x:c>
      <x:c r="Q75" s="14" t="n">
        <x:v>0</x:v>
      </x:c>
      <x:c r="R75" s="14" t="n">
        <x:v>0</x:v>
      </x:c>
      <x:c r="S75" s="14" t="n">
        <x:v>0</x:v>
      </x:c>
      <x:c r="T75" s="14" t="n">
        <x:v>0</x:v>
      </x:c>
      <x:c r="U75" s="14" t="n">
        <x:v>1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46137</x:v>
      </x:c>
    </x:row>
    <x:row r="76">
      <x:c r="A76" s="14" t="n">
        <x:v>112</x:v>
      </x:c>
      <x:c r="B76" s="14" t="str">
        <x:v>273.pdf</x:v>
      </x:c>
      <x:c r="C76" s="15" t="n">
        <x:v>45181</x:v>
      </x:c>
      <x:c r="D76" s="15" t="n">
        <x:v>46146</x:v>
      </x:c>
      <x:c r="E76" s="15" t="n">
        <x:v>46137</x:v>
      </x:c>
      <x:c r="F76" s="15" t="n">
        <x:v>46137</x:v>
      </x:c>
      <x:c r="G76" s="16" t="str">
        <x:v>EBANK:WIB/1505 Dr EBANK:WIB/1505585919/Edfs</x:v>
      </x:c>
      <x:c r="H76" s="14" t="str"/>
      <x:c r="I76" s="14" t="str">
        <x:v>Receipt</x:v>
      </x:c>
      <x:c r="J76" s="17" t="n">
        <x:v>0</x:v>
      </x:c>
      <x:c r="K76" s="17" t="n">
        <x:v>172247.15</x:v>
      </x:c>
      <x:c r="L76" s="17" t="n">
        <x:v>172247.15</x:v>
      </x:c>
      <x:c r="M76" s="17" t="n">
        <x:v>-9811438.25</x:v>
      </x:c>
      <x:c r="N76" s="14" t="str">
        <x:v>High Transaction; Recurring Transaction</x:v>
      </x:c>
      <x:c r="O76" s="14" t="str">
        <x:v>Yes</x:v>
      </x:c>
      <x:c r="P76" s="14" t="str">
        <x:v>EBANKWIB</x:v>
      </x:c>
      <x:c r="Q76" s="14" t="n">
        <x:v>0</x:v>
      </x:c>
      <x:c r="R76" s="14" t="n">
        <x:v>1</x:v>
      </x:c>
      <x:c r="S76" s="14" t="n">
        <x:v>0</x:v>
      </x:c>
      <x:c r="T76" s="14" t="n">
        <x:v>0</x:v>
      </x:c>
      <x:c r="U76" s="14" t="n">
        <x:v>1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46137</x:v>
      </x:c>
    </x:row>
    <x:row r="77">
      <x:c r="A77" s="14" t="n">
        <x:v>113</x:v>
      </x:c>
      <x:c r="B77" s="14" t="str">
        <x:v>273.pdf</x:v>
      </x:c>
      <x:c r="C77" s="15" t="n">
        <x:v>45181</x:v>
      </x:c>
      <x:c r="D77" s="15" t="n">
        <x:v>46146</x:v>
      </x:c>
      <x:c r="E77" s="15" t="n">
        <x:v>46138</x:v>
      </x:c>
      <x:c r="F77" s="15" t="n">
        <x:v>46138</x:v>
      </x:c>
      <x:c r="G77" s="16" t="str">
        <x:v>EBANK:WIB/1505 Dr EBANK:WIB/1505590344/Edfs</x:v>
      </x:c>
      <x:c r="H77" s="14" t="str"/>
      <x:c r="I77" s="14" t="str">
        <x:v>Receipt</x:v>
      </x:c>
      <x:c r="J77" s="17" t="n">
        <x:v>0</x:v>
      </x:c>
      <x:c r="K77" s="17" t="n">
        <x:v>300990.79</x:v>
      </x:c>
      <x:c r="L77" s="17" t="n">
        <x:v>300990.79</x:v>
      </x:c>
      <x:c r="M77" s="17" t="n">
        <x:v>-9510447.46</x:v>
      </x:c>
      <x:c r="N77" s="14" t="str">
        <x:v>High Transaction; Recurring Transaction</x:v>
      </x:c>
      <x:c r="O77" s="14" t="str">
        <x:v>Yes</x:v>
      </x:c>
      <x:c r="P77" s="14" t="str">
        <x:v>EBANKWIB</x:v>
      </x:c>
      <x:c r="Q77" s="14" t="n">
        <x:v>0</x:v>
      </x:c>
      <x:c r="R77" s="14" t="n">
        <x:v>1</x:v>
      </x:c>
      <x:c r="S77" s="14" t="n">
        <x:v>0</x:v>
      </x:c>
      <x:c r="T77" s="14" t="n">
        <x:v>0</x:v>
      </x:c>
      <x:c r="U77" s="14" t="n">
        <x:v>1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46138</x:v>
      </x:c>
    </x:row>
    <x:row r="78">
      <x:c r="A78" s="14" t="n">
        <x:v>114</x:v>
      </x:c>
      <x:c r="B78" s="14" t="str">
        <x:v>273.pdf</x:v>
      </x:c>
      <x:c r="C78" s="15" t="n">
        <x:v>45181</x:v>
      </x:c>
      <x:c r="D78" s="15" t="n">
        <x:v>46146</x:v>
      </x:c>
      <x:c r="E78" s="15" t="n">
        <x:v>46138</x:v>
      </x:c>
      <x:c r="F78" s="15" t="n">
        <x:v>46138</x:v>
      </x:c>
      <x:c r="G78" s="16" t="str">
        <x:v>EBANK:WIB/1505 Dr EBANK:WIB/1505633295/Edfs</x:v>
      </x:c>
      <x:c r="H78" s="14" t="str"/>
      <x:c r="I78" s="14" t="str">
        <x:v>Receipt</x:v>
      </x:c>
      <x:c r="J78" s="17" t="n">
        <x:v>0</x:v>
      </x:c>
      <x:c r="K78" s="17" t="n">
        <x:v>114728</x:v>
      </x:c>
      <x:c r="L78" s="17" t="n">
        <x:v>114728</x:v>
      </x:c>
      <x:c r="M78" s="17" t="n">
        <x:v>-9395719.46</x:v>
      </x:c>
      <x:c r="N78" s="14" t="str">
        <x:v>High Transaction; Recurring Transaction</x:v>
      </x:c>
      <x:c r="O78" s="14" t="str">
        <x:v>Yes</x:v>
      </x:c>
      <x:c r="P78" s="14" t="str">
        <x:v>EBANKWIB</x:v>
      </x:c>
      <x:c r="Q78" s="14" t="n">
        <x:v>0</x:v>
      </x:c>
      <x:c r="R78" s="14" t="n">
        <x:v>1</x:v>
      </x:c>
      <x:c r="S78" s="14" t="n">
        <x:v>0</x:v>
      </x:c>
      <x:c r="T78" s="14" t="n">
        <x:v>0</x:v>
      </x:c>
      <x:c r="U78" s="14" t="n">
        <x:v>1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46138</x:v>
      </x:c>
    </x:row>
    <x:row r="79">
      <x:c r="A79" s="14" t="n">
        <x:v>115</x:v>
      </x:c>
      <x:c r="B79" s="14" t="str">
        <x:v>273.pdf</x:v>
      </x:c>
      <x:c r="C79" s="15" t="n">
        <x:v>45181</x:v>
      </x:c>
      <x:c r="D79" s="15" t="n">
        <x:v>46146</x:v>
      </x:c>
      <x:c r="E79" s="15" t="n">
        <x:v>46139</x:v>
      </x:c>
      <x:c r="F79" s="15" t="n">
        <x:v>46139</x:v>
      </x:c>
      <x:c r="G79" s="16" t="str">
        <x:v>EBANK:WIB/1505 Dr EBANK:WIB/1505672686/Edfs</x:v>
      </x:c>
      <x:c r="H79" s="14" t="str"/>
      <x:c r="I79" s="14" t="str">
        <x:v>Receipt</x:v>
      </x:c>
      <x:c r="J79" s="17" t="n">
        <x:v>0</x:v>
      </x:c>
      <x:c r="K79" s="17" t="n">
        <x:v>460000.8</x:v>
      </x:c>
      <x:c r="L79" s="17" t="n">
        <x:v>460000.8</x:v>
      </x:c>
      <x:c r="M79" s="17" t="n">
        <x:v>-8935718.66</x:v>
      </x:c>
      <x:c r="N79" s="14" t="str">
        <x:v>High Transaction; Recurring Transaction</x:v>
      </x:c>
      <x:c r="O79" s="14" t="str">
        <x:v>Yes</x:v>
      </x:c>
      <x:c r="P79" s="14" t="str">
        <x:v>EBANKWIB</x:v>
      </x:c>
      <x:c r="Q79" s="14" t="n">
        <x:v>0</x:v>
      </x:c>
      <x:c r="R79" s="14" t="n">
        <x:v>1</x:v>
      </x:c>
      <x:c r="S79" s="14" t="n">
        <x:v>0</x:v>
      </x:c>
      <x:c r="T79" s="14" t="n">
        <x:v>0</x:v>
      </x:c>
      <x:c r="U79" s="14" t="n">
        <x:v>1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46139</x:v>
      </x:c>
    </x:row>
    <x:row r="80">
      <x:c r="A80" s="14" t="n">
        <x:v>116</x:v>
      </x:c>
      <x:c r="B80" s="14" t="str">
        <x:v>273.pdf</x:v>
      </x:c>
      <x:c r="C80" s="15" t="n">
        <x:v>45181</x:v>
      </x:c>
      <x:c r="D80" s="15" t="n">
        <x:v>46146</x:v>
      </x:c>
      <x:c r="E80" s="15" t="n">
        <x:v>46139</x:v>
      </x:c>
      <x:c r="F80" s="15" t="n">
        <x:v>46139</x:v>
      </x:c>
      <x:c r="G80" s="16" t="str">
        <x:v>BY CASH Dr BY CASH</x:v>
      </x:c>
      <x:c r="H80" s="14" t="str"/>
      <x:c r="I80" s="14" t="str">
        <x:v>Receipt</x:v>
      </x:c>
      <x:c r="J80" s="17" t="n">
        <x:v>0</x:v>
      </x:c>
      <x:c r="K80" s="17" t="n">
        <x:v>774500</x:v>
      </x:c>
      <x:c r="L80" s="17" t="n">
        <x:v>774500</x:v>
      </x:c>
      <x:c r="M80" s="17" t="n">
        <x:v>-8161218.66</x:v>
      </x:c>
      <x:c r="N80" s="14" t="str">
        <x:v>Cash; High Transaction; Recurring Transaction</x:v>
      </x:c>
      <x:c r="O80" s="14" t="str">
        <x:v>Yes</x:v>
      </x:c>
      <x:c r="P80" s="14" t="str">
        <x:v>BY CASH DR BY CASH</x:v>
      </x:c>
      <x:c r="Q80" s="14" t="n">
        <x:v>1</x:v>
      </x:c>
      <x:c r="R80" s="14" t="n">
        <x:v>1</x:v>
      </x:c>
      <x:c r="S80" s="14" t="n">
        <x:v>0</x:v>
      </x:c>
      <x:c r="T80" s="14" t="n">
        <x:v>0</x:v>
      </x:c>
      <x:c r="U80" s="14" t="n">
        <x:v>1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46139</x:v>
      </x:c>
    </x:row>
    <x:row r="81">
      <x:c r="A81" s="14" t="n">
        <x:v>118</x:v>
      </x:c>
      <x:c r="B81" s="14" t="str">
        <x:v>273.pdf</x:v>
      </x:c>
      <x:c r="C81" s="15" t="n">
        <x:v>45181</x:v>
      </x:c>
      <x:c r="D81" s="15" t="n">
        <x:v>46146</x:v>
      </x:c>
      <x:c r="E81" s="15" t="n">
        <x:v>46139</x:v>
      </x:c>
      <x:c r="F81" s="15" t="n">
        <x:v>46139</x:v>
      </x:c>
      <x:c r="G81" s="16" t="str">
        <x:v>EBANK:WIB/1505 Dr EBANK:WIB/1505752441/Edfs</x:v>
      </x:c>
      <x:c r="H81" s="14" t="str"/>
      <x:c r="I81" s="14" t="str">
        <x:v>Receipt</x:v>
      </x:c>
      <x:c r="J81" s="17" t="n">
        <x:v>0</x:v>
      </x:c>
      <x:c r="K81" s="17" t="n">
        <x:v>365005</x:v>
      </x:c>
      <x:c r="L81" s="17" t="n">
        <x:v>365005</x:v>
      </x:c>
      <x:c r="M81" s="17" t="n">
        <x:v>-7802205.35</x:v>
      </x:c>
      <x:c r="N81" s="14" t="str">
        <x:v>High Transaction; Recurring Transaction</x:v>
      </x:c>
      <x:c r="O81" s="14" t="str">
        <x:v>Yes</x:v>
      </x:c>
      <x:c r="P81" s="14" t="str">
        <x:v>EBANKWIB</x:v>
      </x:c>
      <x:c r="Q81" s="14" t="n">
        <x:v>0</x:v>
      </x:c>
      <x:c r="R81" s="14" t="n">
        <x:v>1</x:v>
      </x:c>
      <x:c r="S81" s="14" t="n">
        <x:v>0</x:v>
      </x:c>
      <x:c r="T81" s="14" t="n">
        <x:v>0</x:v>
      </x:c>
      <x:c r="U81" s="14" t="n">
        <x:v>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46139</x:v>
      </x:c>
    </x:row>
    <x:row r="82">
      <x:c r="A82" s="14" t="n">
        <x:v>119</x:v>
      </x:c>
      <x:c r="B82" s="14" t="str">
        <x:v>273.pdf</x:v>
      </x:c>
      <x:c r="C82" s="15" t="n">
        <x:v>45181</x:v>
      </x:c>
      <x:c r="D82" s="15" t="n">
        <x:v>46146</x:v>
      </x:c>
      <x:c r="E82" s="15" t="n">
        <x:v>46139</x:v>
      </x:c>
      <x:c r="F82" s="15" t="n">
        <x:v>46139</x:v>
      </x:c>
      <x:c r="G82" s="16" t="str">
        <x:v>RTGS-BARBR5202 Dr RTGS-BARBR52026042700952483-HINDUSTAN PETROLEUM CO</x:v>
      </x:c>
      <x:c r="H82" s="14" t="str"/>
      <x:c r="I82" s="14" t="str">
        <x:v>Payment</x:v>
      </x:c>
      <x:c r="J82" s="17" t="n">
        <x:v>1064000</x:v>
      </x:c>
      <x:c r="K82" s="17" t="n">
        <x:v>0</x:v>
      </x:c>
      <x:c r="L82" s="17" t="n">
        <x:v>1064000</x:v>
      </x:c>
      <x:c r="M82" s="17" t="n">
        <x:v>-8866205.35</x:v>
      </x:c>
      <x:c r="N82" s="14" t="str">
        <x:v>High Transaction; Recurring Transaction</x:v>
      </x:c>
      <x:c r="O82" s="14" t="str">
        <x:v>Yes</x:v>
      </x:c>
      <x:c r="P82" s="14" t="str">
        <x:v>BARBR DR RTGS</x:v>
      </x:c>
      <x:c r="Q82" s="14" t="n">
        <x:v>0</x:v>
      </x:c>
      <x:c r="R82" s="14" t="n">
        <x:v>1</x:v>
      </x:c>
      <x:c r="S82" s="14" t="n">
        <x:v>0</x:v>
      </x:c>
      <x:c r="T82" s="14" t="n">
        <x:v>0</x:v>
      </x:c>
      <x:c r="U82" s="14" t="n">
        <x:v>1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46139</x:v>
      </x:c>
    </x:row>
    <x:row r="83">
      <x:c r="A83" s="14" t="n">
        <x:v>120</x:v>
      </x:c>
      <x:c r="B83" s="14" t="str">
        <x:v>273.pdf</x:v>
      </x:c>
      <x:c r="C83" s="15" t="n">
        <x:v>45181</x:v>
      </x:c>
      <x:c r="D83" s="15" t="n">
        <x:v>46146</x:v>
      </x:c>
      <x:c r="E83" s="15" t="n">
        <x:v>46139</x:v>
      </x:c>
      <x:c r="F83" s="15" t="n">
        <x:v>46139</x:v>
      </x:c>
      <x:c r="G83" s="16" t="str">
        <x:v>RTGS-BARBR5202 Dr RTGS-BARBR52026042700958299-HINDUSTAN PETROLEUM CO</x:v>
      </x:c>
      <x:c r="H83" s="14" t="str"/>
      <x:c r="I83" s="14" t="str">
        <x:v>Payment</x:v>
      </x:c>
      <x:c r="J83" s="17" t="n">
        <x:v>768789</x:v>
      </x:c>
      <x:c r="K83" s="17" t="n">
        <x:v>0</x:v>
      </x:c>
      <x:c r="L83" s="17" t="n">
        <x:v>768789</x:v>
      </x:c>
      <x:c r="M83" s="17" t="n">
        <x:v>-9634994.35</x:v>
      </x:c>
      <x:c r="N83" s="14" t="str">
        <x:v>High Transaction; Recurring Transaction</x:v>
      </x:c>
      <x:c r="O83" s="14" t="str">
        <x:v>Yes</x:v>
      </x:c>
      <x:c r="P83" s="14" t="str">
        <x:v>BARBR DR RTGS</x:v>
      </x:c>
      <x:c r="Q83" s="14" t="n">
        <x:v>0</x:v>
      </x:c>
      <x:c r="R83" s="14" t="n">
        <x:v>1</x:v>
      </x:c>
      <x:c r="S83" s="14" t="n">
        <x:v>0</x:v>
      </x:c>
      <x:c r="T83" s="14" t="n">
        <x:v>0</x:v>
      </x:c>
      <x:c r="U83" s="14" t="n">
        <x:v>1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46139</x:v>
      </x:c>
    </x:row>
    <x:row r="84">
      <x:c r="A84" s="14" t="n">
        <x:v>121</x:v>
      </x:c>
      <x:c r="B84" s="14" t="str">
        <x:v>273.pdf</x:v>
      </x:c>
      <x:c r="C84" s="15" t="n">
        <x:v>45181</x:v>
      </x:c>
      <x:c r="D84" s="15" t="n">
        <x:v>46146</x:v>
      </x:c>
      <x:c r="E84" s="15" t="n">
        <x:v>46140</x:v>
      </x:c>
      <x:c r="F84" s="15" t="n">
        <x:v>46140</x:v>
      </x:c>
      <x:c r="G84" s="16" t="str">
        <x:v>BY CASH Dr BY CASH</x:v>
      </x:c>
      <x:c r="H84" s="14" t="str"/>
      <x:c r="I84" s="14" t="str">
        <x:v>Receipt</x:v>
      </x:c>
      <x:c r="J84" s="17" t="n">
        <x:v>0</x:v>
      </x:c>
      <x:c r="K84" s="17" t="n">
        <x:v>246500</x:v>
      </x:c>
      <x:c r="L84" s="17" t="n">
        <x:v>246500</x:v>
      </x:c>
      <x:c r="M84" s="17" t="n">
        <x:v>-9388494.35</x:v>
      </x:c>
      <x:c r="N84" s="14" t="str">
        <x:v>Cash; High Transaction; Recurring Transaction</x:v>
      </x:c>
      <x:c r="O84" s="14" t="str">
        <x:v>Yes</x:v>
      </x:c>
      <x:c r="P84" s="14" t="str">
        <x:v>BY CASH DR BY CASH</x:v>
      </x:c>
      <x:c r="Q84" s="14" t="n">
        <x:v>1</x:v>
      </x:c>
      <x:c r="R84" s="14" t="n">
        <x:v>1</x:v>
      </x:c>
      <x:c r="S84" s="14" t="n">
        <x:v>0</x:v>
      </x:c>
      <x:c r="T84" s="14" t="n">
        <x:v>0</x:v>
      </x:c>
      <x:c r="U84" s="14" t="n">
        <x:v>1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46140</x:v>
      </x:c>
    </x:row>
    <x:row r="85">
      <x:c r="A85" s="14" t="n">
        <x:v>122</x:v>
      </x:c>
      <x:c r="B85" s="14" t="str">
        <x:v>273.pdf</x:v>
      </x:c>
      <x:c r="C85" s="15" t="n">
        <x:v>45181</x:v>
      </x:c>
      <x:c r="D85" s="15" t="n">
        <x:v>46146</x:v>
      </x:c>
      <x:c r="E85" s="15" t="n">
        <x:v>46140</x:v>
      </x:c>
      <x:c r="F85" s="15" t="n">
        <x:v>46140</x:v>
      </x:c>
      <x:c r="G85" s="16" t="str">
        <x:v>EBANK:WIB/1505 Dr EBANK:WIB/1505883831/Edfs</x:v>
      </x:c>
      <x:c r="H85" s="14" t="str"/>
      <x:c r="I85" s="14" t="str">
        <x:v>Receipt</x:v>
      </x:c>
      <x:c r="J85" s="17" t="n">
        <x:v>0</x:v>
      </x:c>
      <x:c r="K85" s="17" t="n">
        <x:v>402798.6</x:v>
      </x:c>
      <x:c r="L85" s="17" t="n">
        <x:v>402798.6</x:v>
      </x:c>
      <x:c r="M85" s="17" t="n">
        <x:v>-8985695.75</x:v>
      </x:c>
      <x:c r="N85" s="14" t="str">
        <x:v>High Transaction; Recurring Transaction</x:v>
      </x:c>
      <x:c r="O85" s="14" t="str">
        <x:v>Yes</x:v>
      </x:c>
      <x:c r="P85" s="14" t="str">
        <x:v>EBANKWIB</x:v>
      </x:c>
      <x:c r="Q85" s="14" t="n">
        <x:v>0</x:v>
      </x:c>
      <x:c r="R85" s="14" t="n">
        <x:v>1</x:v>
      </x:c>
      <x:c r="S85" s="14" t="n">
        <x:v>0</x:v>
      </x:c>
      <x:c r="T85" s="14" t="n">
        <x:v>0</x:v>
      </x:c>
      <x:c r="U85" s="14" t="n">
        <x:v>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46140</x:v>
      </x:c>
    </x:row>
    <x:row r="86">
      <x:c r="A86" s="14" t="n">
        <x:v>123</x:v>
      </x:c>
      <x:c r="B86" s="14" t="str">
        <x:v>273.pdf</x:v>
      </x:c>
      <x:c r="C86" s="15" t="n">
        <x:v>45181</x:v>
      </x:c>
      <x:c r="D86" s="15" t="n">
        <x:v>46146</x:v>
      </x:c>
      <x:c r="E86" s="15" t="n">
        <x:v>46140</x:v>
      </x:c>
      <x:c r="F86" s="15" t="n">
        <x:v>46140</x:v>
      </x:c>
      <x:c r="G86" s="16" t="str">
        <x:v>EBANK:WIB/1505 Dr EBANK:WIB/1505948506/Edfs</x:v>
      </x:c>
      <x:c r="H86" s="14" t="str"/>
      <x:c r="I86" s="14" t="str">
        <x:v>Receipt</x:v>
      </x:c>
      <x:c r="J86" s="17" t="n">
        <x:v>0</x:v>
      </x:c>
      <x:c r="K86" s="17" t="n">
        <x:v>192251.79</x:v>
      </x:c>
      <x:c r="L86" s="17" t="n">
        <x:v>192251.79</x:v>
      </x:c>
      <x:c r="M86" s="17" t="n">
        <x:v>-8793443.96</x:v>
      </x:c>
      <x:c r="N86" s="14" t="str">
        <x:v>High Transaction; Recurring Transaction</x:v>
      </x:c>
      <x:c r="O86" s="14" t="str">
        <x:v>Yes</x:v>
      </x:c>
      <x:c r="P86" s="14" t="str">
        <x:v>EBANKWIB</x:v>
      </x:c>
      <x:c r="Q86" s="14" t="n">
        <x:v>0</x:v>
      </x:c>
      <x:c r="R86" s="14" t="n">
        <x:v>1</x:v>
      </x:c>
      <x:c r="S86" s="14" t="n">
        <x:v>0</x:v>
      </x:c>
      <x:c r="T86" s="14" t="n">
        <x:v>0</x:v>
      </x:c>
      <x:c r="U86" s="14" t="n">
        <x:v>1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46140</x:v>
      </x:c>
    </x:row>
    <x:row r="87">
      <x:c r="A87" s="14" t="n">
        <x:v>124</x:v>
      </x:c>
      <x:c r="B87" s="14" t="str">
        <x:v>273.pdf</x:v>
      </x:c>
      <x:c r="C87" s="15" t="n">
        <x:v>45181</x:v>
      </x:c>
      <x:c r="D87" s="15" t="n">
        <x:v>46146</x:v>
      </x:c>
      <x:c r="E87" s="15" t="n">
        <x:v>46141</x:v>
      </x:c>
      <x:c r="F87" s="15" t="n">
        <x:v>46141</x:v>
      </x:c>
      <x:c r="G87" s="16" t="str">
        <x:v>EBANK:WIB/1505 Dr EBANK:WIB/1505959390/Edfs</x:v>
      </x:c>
      <x:c r="H87" s="14" t="str"/>
      <x:c r="I87" s="14" t="str">
        <x:v>Receipt</x:v>
      </x:c>
      <x:c r="J87" s="17" t="n">
        <x:v>0</x:v>
      </x:c>
      <x:c r="K87" s="17" t="n">
        <x:v>383365.33</x:v>
      </x:c>
      <x:c r="L87" s="17" t="n">
        <x:v>383365.33</x:v>
      </x:c>
      <x:c r="M87" s="17" t="n">
        <x:v>-8410078.63</x:v>
      </x:c>
      <x:c r="N87" s="14" t="str">
        <x:v>High Transaction; Recurring Transaction</x:v>
      </x:c>
      <x:c r="O87" s="14" t="str">
        <x:v>Yes</x:v>
      </x:c>
      <x:c r="P87" s="14" t="str">
        <x:v>EBANKWIB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46141</x:v>
      </x:c>
    </x:row>
    <x:row r="88">
      <x:c r="A88" s="14" t="n">
        <x:v>127</x:v>
      </x:c>
      <x:c r="B88" s="14" t="str">
        <x:v>273.pdf</x:v>
      </x:c>
      <x:c r="C88" s="15" t="n">
        <x:v>45181</x:v>
      </x:c>
      <x:c r="D88" s="15" t="n">
        <x:v>46146</x:v>
      </x:c>
      <x:c r="E88" s="15" t="n">
        <x:v>46141</x:v>
      </x:c>
      <x:c r="F88" s="15" t="n">
        <x:v>46141</x:v>
      </x:c>
      <x:c r="G88" s="16" t="str">
        <x:v>EBANK:WIB/1505 Dr EBANK:WIB/1505997293/Edfs ---------------------------------------------------------------------------------------------------------------------------------- Page Total: 18,44,680.14 35,74,340.46 82,54,025.08Dr ---------------------------------------------------------------------------------------------------------------------------------- Note: Cheques received in inward clearing will be considered for debiting/ returning on the basis opening balance in account Unless the const</x:v>
      </x:c>
      <x:c r="H88" s="14" t="str"/>
      <x:c r="I88" s="14" t="str">
        <x:v>Receipt</x:v>
      </x:c>
      <x:c r="J88" s="17" t="n">
        <x:v>0</x:v>
      </x:c>
      <x:c r="K88" s="17" t="n">
        <x:v>161953</x:v>
      </x:c>
      <x:c r="L88" s="17" t="n">
        <x:v>161953</x:v>
      </x:c>
      <x:c r="M88" s="17" t="n">
        <x:v>-8254025.08</x:v>
      </x:c>
      <x:c r="N88" s="14" t="str">
        <x:v>High Transaction; Recurring Transaction</x:v>
      </x:c>
      <x:c r="O88" s="14" t="str">
        <x:v>Yes</x:v>
      </x:c>
      <x:c r="P88" s="14" t="str">
        <x:v>EBANKWIB</x:v>
      </x:c>
      <x:c r="Q88" s="14" t="n">
        <x:v>0</x:v>
      </x:c>
      <x:c r="R88" s="14" t="n">
        <x:v>1</x:v>
      </x:c>
      <x:c r="S88" s="14" t="n">
        <x:v>0</x:v>
      </x:c>
      <x:c r="T88" s="14" t="n">
        <x:v>0</x:v>
      </x:c>
      <x:c r="U88" s="14" t="n">
        <x:v>1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46141</x:v>
      </x:c>
    </x:row>
    <x:row r="89">
      <x:c r="A89" s="14" t="n">
        <x:v>129</x:v>
      </x:c>
      <x:c r="B89" s="14" t="str">
        <x:v>273.pdf</x:v>
      </x:c>
      <x:c r="C89" s="15" t="n">
        <x:v>45181</x:v>
      </x:c>
      <x:c r="D89" s="15" t="n">
        <x:v>46146</x:v>
      </x:c>
      <x:c r="E89" s="15" t="n">
        <x:v>46141</x:v>
      </x:c>
      <x:c r="F89" s="15" t="n">
        <x:v>46141</x:v>
      </x:c>
      <x:c r="G89" s="16" t="str">
        <x:v>BY CASH Dr BY CASH</x:v>
      </x:c>
      <x:c r="H89" s="14" t="str"/>
      <x:c r="I89" s="14" t="str">
        <x:v>Receipt</x:v>
      </x:c>
      <x:c r="J89" s="17" t="n">
        <x:v>0</x:v>
      </x:c>
      <x:c r="K89" s="17" t="n">
        <x:v>116500</x:v>
      </x:c>
      <x:c r="L89" s="17" t="n">
        <x:v>116500</x:v>
      </x:c>
      <x:c r="M89" s="17" t="n">
        <x:v>-8137649.75</x:v>
      </x:c>
      <x:c r="N89" s="14" t="str">
        <x:v>Cash; High Transaction; Recurring Transaction</x:v>
      </x:c>
      <x:c r="O89" s="14" t="str">
        <x:v>Yes</x:v>
      </x:c>
      <x:c r="P89" s="14" t="str">
        <x:v>BY CASH DR BY CASH</x:v>
      </x:c>
      <x:c r="Q89" s="14" t="n">
        <x:v>1</x:v>
      </x:c>
      <x:c r="R89" s="14" t="n">
        <x:v>1</x:v>
      </x:c>
      <x:c r="S89" s="14" t="n">
        <x:v>0</x:v>
      </x:c>
      <x:c r="T89" s="14" t="n">
        <x:v>0</x:v>
      </x:c>
      <x:c r="U89" s="14" t="n">
        <x:v>1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46141</x:v>
      </x:c>
    </x:row>
    <x:row r="90">
      <x:c r="A90" s="14" t="n">
        <x:v>130</x:v>
      </x:c>
      <x:c r="B90" s="14" t="str">
        <x:v>273.pdf</x:v>
      </x:c>
      <x:c r="C90" s="15" t="n">
        <x:v>45181</x:v>
      </x:c>
      <x:c r="D90" s="15" t="n">
        <x:v>46146</x:v>
      </x:c>
      <x:c r="E90" s="15" t="n">
        <x:v>46141</x:v>
      </x:c>
      <x:c r="F90" s="15" t="n">
        <x:v>46141</x:v>
      </x:c>
      <x:c r="G90" s="16" t="str">
        <x:v>RTGS-BARBR5202 Dr RTGS-BARBR52026042900818962-HINDUSTAN PETROLEUM CO</x:v>
      </x:c>
      <x:c r="H90" s="14" t="str"/>
      <x:c r="I90" s="14" t="str">
        <x:v>Payment</x:v>
      </x:c>
      <x:c r="J90" s="17" t="n">
        <x:v>1745850</x:v>
      </x:c>
      <x:c r="K90" s="17" t="n">
        <x:v>0</x:v>
      </x:c>
      <x:c r="L90" s="17" t="n">
        <x:v>1745850</x:v>
      </x:c>
      <x:c r="M90" s="17" t="n">
        <x:v>-9883499.75</x:v>
      </x:c>
      <x:c r="N90" s="14" t="str">
        <x:v>High Transaction; Recurring Transaction</x:v>
      </x:c>
      <x:c r="O90" s="14" t="str">
        <x:v>Yes</x:v>
      </x:c>
      <x:c r="P90" s="14" t="str">
        <x:v>BARBR DR RTGS</x:v>
      </x:c>
      <x:c r="Q90" s="14" t="n">
        <x:v>0</x:v>
      </x:c>
      <x:c r="R90" s="14" t="n">
        <x:v>1</x:v>
      </x:c>
      <x:c r="S90" s="14" t="n">
        <x:v>0</x:v>
      </x:c>
      <x:c r="T90" s="14" t="n">
        <x:v>0</x:v>
      </x:c>
      <x:c r="U90" s="14" t="n">
        <x:v>1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46141</x:v>
      </x:c>
    </x:row>
    <x:row r="91">
      <x:c r="A91" s="14" t="n">
        <x:v>132</x:v>
      </x:c>
      <x:c r="B91" s="14" t="str">
        <x:v>273.pdf</x:v>
      </x:c>
      <x:c r="C91" s="15" t="n">
        <x:v>45181</x:v>
      </x:c>
      <x:c r="D91" s="15" t="n">
        <x:v>46146</x:v>
      </x:c>
      <x:c r="E91" s="15" t="n">
        <x:v>46141</x:v>
      </x:c>
      <x:c r="F91" s="15" t="n">
        <x:v>46141</x:v>
      </x:c>
      <x:c r="G91" s="16" t="str">
        <x:v>NEFT-BARBV2611 Dr NEFT-BARBV26119745454-HINDUSTAN PETROLEUM CORPORAT</x:v>
      </x:c>
      <x:c r="H91" s="14" t="str"/>
      <x:c r="I91" s="14" t="str">
        <x:v>Payment</x:v>
      </x:c>
      <x:c r="J91" s="17" t="n">
        <x:v>116500</x:v>
      </x:c>
      <x:c r="K91" s="17" t="n">
        <x:v>0</x:v>
      </x:c>
      <x:c r="L91" s="17" t="n">
        <x:v>116500</x:v>
      </x:c>
      <x:c r="M91" s="17" t="n">
        <x:v>-9906735.75</x:v>
      </x:c>
      <x:c r="N91" s="14" t="str">
        <x:v>High Transaction</x:v>
      </x:c>
      <x:c r="O91" s="14" t="str">
        <x:v>No</x:v>
      </x:c>
      <x:c r="P91" s="14" t="str">
        <x:v>BARBV DR NEFT</x:v>
      </x:c>
      <x:c r="Q91" s="14" t="n">
        <x:v>0</x:v>
      </x:c>
      <x:c r="R91" s="14" t="n">
        <x:v>0</x:v>
      </x:c>
      <x:c r="S91" s="14" t="n">
        <x:v>0</x:v>
      </x:c>
      <x:c r="T91" s="14" t="n">
        <x:v>0</x:v>
      </x:c>
      <x:c r="U91" s="14" t="n">
        <x:v>1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46141</x:v>
      </x:c>
    </x:row>
    <x:row r="92">
      <x:c r="A92" s="14" t="n">
        <x:v>135</x:v>
      </x:c>
      <x:c r="B92" s="14" t="str">
        <x:v>273.pdf</x:v>
      </x:c>
      <x:c r="C92" s="15" t="n">
        <x:v>45181</x:v>
      </x:c>
      <x:c r="D92" s="15" t="n">
        <x:v>46146</x:v>
      </x:c>
      <x:c r="E92" s="15" t="n">
        <x:v>46142</x:v>
      </x:c>
      <x:c r="F92" s="15" t="n">
        <x:v>46142</x:v>
      </x:c>
      <x:c r="G92" s="16" t="str">
        <x:v>EBANK:WIB/1506 Dr EBANK:WIB/1506112904/Edfs</x:v>
      </x:c>
      <x:c r="H92" s="14" t="str"/>
      <x:c r="I92" s="14" t="str">
        <x:v>Receipt</x:v>
      </x:c>
      <x:c r="J92" s="17" t="n">
        <x:v>0</x:v>
      </x:c>
      <x:c r="K92" s="17" t="n">
        <x:v>429587.11</x:v>
      </x:c>
      <x:c r="L92" s="17" t="n">
        <x:v>429587.11</x:v>
      </x:c>
      <x:c r="M92" s="17" t="n">
        <x:v>-9340838.64</x:v>
      </x:c>
      <x:c r="N92" s="14" t="str">
        <x:v>High Transaction; Recurring Transaction</x:v>
      </x:c>
      <x:c r="O92" s="14" t="str">
        <x:v>Yes</x:v>
      </x:c>
      <x:c r="P92" s="14" t="str">
        <x:v>EBANKWIB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1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46142</x:v>
      </x:c>
    </x:row>
    <x:row r="93">
      <x:c r="A93" s="14" t="n">
        <x:v>137</x:v>
      </x:c>
      <x:c r="B93" s="14" t="str">
        <x:v>273.pdf</x:v>
      </x:c>
      <x:c r="C93" s="15" t="n">
        <x:v>45181</x:v>
      </x:c>
      <x:c r="D93" s="15" t="n">
        <x:v>46146</x:v>
      </x:c>
      <x:c r="E93" s="15" t="n">
        <x:v>46142</x:v>
      </x:c>
      <x:c r="F93" s="15" t="n">
        <x:v>46142</x:v>
      </x:c>
      <x:c r="G93" s="16" t="str">
        <x:v>RTGS-BARBR5202 Dr RTGS-BARBR52026043000849921-HINDUSTAN PETROLEUM CO</x:v>
      </x:c>
      <x:c r="H93" s="14" t="str"/>
      <x:c r="I93" s="14" t="str">
        <x:v>Payment</x:v>
      </x:c>
      <x:c r="J93" s="17" t="n">
        <x:v>229000</x:v>
      </x:c>
      <x:c r="K93" s="17" t="n">
        <x:v>0</x:v>
      </x:c>
      <x:c r="L93" s="17" t="n">
        <x:v>229000</x:v>
      </x:c>
      <x:c r="M93" s="17" t="n">
        <x:v>-9663102.64</x:v>
      </x:c>
      <x:c r="N93" s="14" t="str">
        <x:v>High Transaction; Recurring Transaction</x:v>
      </x:c>
      <x:c r="O93" s="14" t="str">
        <x:v>Yes</x:v>
      </x:c>
      <x:c r="P93" s="14" t="str">
        <x:v>BARBR DR RTGS</x:v>
      </x:c>
      <x:c r="Q93" s="14" t="n">
        <x:v>0</x:v>
      </x:c>
      <x:c r="R93" s="14" t="n">
        <x:v>1</x:v>
      </x:c>
      <x:c r="S93" s="14" t="n">
        <x:v>0</x:v>
      </x:c>
      <x:c r="T93" s="14" t="n">
        <x:v>0</x:v>
      </x:c>
      <x:c r="U93" s="14" t="n">
        <x:v>1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46142</x:v>
      </x:c>
    </x:row>
    <x:row r="94">
      <x:c r="A94" s="14" t="n">
        <x:v>138</x:v>
      </x:c>
      <x:c r="B94" s="14" t="str">
        <x:v>273.pdf</x:v>
      </x:c>
      <x:c r="C94" s="15" t="n">
        <x:v>45181</x:v>
      </x:c>
      <x:c r="D94" s="15" t="n">
        <x:v>46146</x:v>
      </x:c>
      <x:c r="E94" s="15" t="n">
        <x:v>46142</x:v>
      </x:c>
      <x:c r="F94" s="15" t="n">
        <x:v>46142</x:v>
      </x:c>
      <x:c r="G94" s="16" t="str">
        <x:v>BY CASH Dr BY CASH</x:v>
      </x:c>
      <x:c r="H94" s="14" t="str"/>
      <x:c r="I94" s="14" t="str">
        <x:v>Receipt</x:v>
      </x:c>
      <x:c r="J94" s="17" t="n">
        <x:v>0</x:v>
      </x:c>
      <x:c r="K94" s="17" t="n">
        <x:v>273000</x:v>
      </x:c>
      <x:c r="L94" s="17" t="n">
        <x:v>273000</x:v>
      </x:c>
      <x:c r="M94" s="17" t="n">
        <x:v>-9390102.64</x:v>
      </x:c>
      <x:c r="N94" s="14" t="str">
        <x:v>Cash; High Transaction; Recurring Transaction</x:v>
      </x:c>
      <x:c r="O94" s="14" t="str">
        <x:v>Yes</x:v>
      </x:c>
      <x:c r="P94" s="14" t="str">
        <x:v>BY CASH DR BY CASH</x:v>
      </x:c>
      <x:c r="Q94" s="14" t="n">
        <x:v>1</x:v>
      </x:c>
      <x:c r="R94" s="14" t="n">
        <x:v>1</x:v>
      </x:c>
      <x:c r="S94" s="14" t="n">
        <x:v>0</x:v>
      </x:c>
      <x:c r="T94" s="14" t="n">
        <x:v>0</x:v>
      </x:c>
      <x:c r="U94" s="14" t="n">
        <x:v>1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46142</x:v>
      </x:c>
    </x:row>
    <x:row r="95">
      <x:c r="A95" s="14" t="n">
        <x:v>139</x:v>
      </x:c>
      <x:c r="B95" s="14" t="str">
        <x:v>273.pdf</x:v>
      </x:c>
      <x:c r="C95" s="15" t="n">
        <x:v>45181</x:v>
      </x:c>
      <x:c r="D95" s="15" t="n">
        <x:v>46146</x:v>
      </x:c>
      <x:c r="E95" s="15" t="n">
        <x:v>46142</x:v>
      </x:c>
      <x:c r="F95" s="15" t="n">
        <x:v>46142</x:v>
      </x:c>
      <x:c r="G95" s="16" t="str">
        <x:v>EBANK:WIB/1506 Dr EBANK:WIB/1506237357/Edfs</x:v>
      </x:c>
      <x:c r="H95" s="14" t="str"/>
      <x:c r="I95" s="14" t="str">
        <x:v>Receipt</x:v>
      </x:c>
      <x:c r="J95" s="17" t="n">
        <x:v>0</x:v>
      </x:c>
      <x:c r="K95" s="17" t="n">
        <x:v>307440.05</x:v>
      </x:c>
      <x:c r="L95" s="17" t="n">
        <x:v>307440.05</x:v>
      </x:c>
      <x:c r="M95" s="17" t="n">
        <x:v>-9082662.59</x:v>
      </x:c>
      <x:c r="N95" s="14" t="str">
        <x:v>High Transaction; Recurring Transaction</x:v>
      </x:c>
      <x:c r="O95" s="14" t="str">
        <x:v>Yes</x:v>
      </x:c>
      <x:c r="P95" s="14" t="str">
        <x:v>EBANKWIB</x:v>
      </x:c>
      <x:c r="Q95" s="14" t="n">
        <x:v>0</x:v>
      </x:c>
      <x:c r="R95" s="14" t="n">
        <x:v>1</x:v>
      </x:c>
      <x:c r="S95" s="14" t="n">
        <x:v>0</x:v>
      </x:c>
      <x:c r="T95" s="14" t="n">
        <x:v>0</x:v>
      </x:c>
      <x:c r="U95" s="14" t="n">
        <x:v>1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46142</x:v>
      </x:c>
    </x:row>
    <x:row r="96">
      <x:c r="A96" s="14" t="n">
        <x:v>140</x:v>
      </x:c>
      <x:c r="B96" s="14" t="str">
        <x:v>273.pdf</x:v>
      </x:c>
      <x:c r="C96" s="15" t="n">
        <x:v>45181</x:v>
      </x:c>
      <x:c r="D96" s="15" t="n">
        <x:v>46146</x:v>
      </x:c>
      <x:c r="E96" s="15" t="n">
        <x:v>46142</x:v>
      </x:c>
      <x:c r="F96" s="15" t="n">
        <x:v>46142</x:v>
      </x:c>
      <x:c r="G96" s="16" t="str">
        <x:v>EBANK:WIB/1506 Dr EBANK:WIB/1506303993/Edfs ---------------------------------------------------------------------------------------------------------------------------------- Page Total: 21,84,738.67 14,84,724.36 89,54,039.39Dr ---------------------------------------------------------------------------------------------------------------------------------- Grand Total: 2,30,94,114.44 2,41,39,693.85 89,54,039.39Dr -----------------------------------------------------------------------------------</x:v>
      </x:c>
      <x:c r="H96" s="14" t="str"/>
      <x:c r="I96" s="14" t="str">
        <x:v>Receipt</x:v>
      </x:c>
      <x:c r="J96" s="17" t="n">
        <x:v>0</x:v>
      </x:c>
      <x:c r="K96" s="17" t="n">
        <x:v>128623.2</x:v>
      </x:c>
      <x:c r="L96" s="17" t="n">
        <x:v>128623.2</x:v>
      </x:c>
      <x:c r="M96" s="17" t="n">
        <x:v>-8954039.39</x:v>
      </x:c>
      <x:c r="N96" s="14" t="str">
        <x:v>High Transaction; Recurring Transaction</x:v>
      </x:c>
      <x:c r="O96" s="14" t="str">
        <x:v>Yes</x:v>
      </x:c>
      <x:c r="P96" s="14" t="str">
        <x:v>EBANKWIB</x:v>
      </x:c>
      <x:c r="Q96" s="14" t="n">
        <x:v>0</x:v>
      </x:c>
      <x:c r="R96" s="14" t="n">
        <x:v>1</x:v>
      </x:c>
      <x:c r="S96" s="14" t="n">
        <x:v>0</x:v>
      </x:c>
      <x:c r="T96" s="14" t="n">
        <x:v>0</x:v>
      </x:c>
      <x:c r="U96" s="14" t="n">
        <x:v>1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46142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02bceb39ca97456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Total Receipts and Payments Transactions</x:v>
      </x:c>
      <x:c r="B1" s="25" t="str">
        <x:v>Total Receipts and Payments Transactions</x:v>
      </x:c>
      <x:c r="C1" s="25" t="str">
        <x:v>Total Receipts and Payments Transactions</x:v>
      </x:c>
      <x:c r="D1" s="25" t="str">
        <x:v>Total Receipts and Payments Transactions</x:v>
      </x:c>
      <x:c r="E1" s="25" t="str">
        <x:v>Total Receipts and Payments Transactions</x:v>
      </x:c>
      <x:c r="F1" s="25" t="str">
        <x:v>Total Receipts and Payments Transactions</x:v>
      </x:c>
      <x:c r="G1" s="25" t="str">
        <x:v>Total Receipts and Payments Transactions</x:v>
      </x:c>
      <x:c r="H1" s="25" t="str">
        <x:v>Total Receipts and Payments Transactions</x:v>
      </x:c>
      <x:c r="I1" s="25" t="str">
        <x:v>Total Receipts and Payments Transactions</x:v>
      </x:c>
      <x:c r="J1" s="25" t="str">
        <x:v>Total Receipts and Payments Transactions</x:v>
      </x:c>
      <x:c r="K1" s="25" t="str">
        <x:v>Total Receipts and Payments Transactions</x:v>
      </x:c>
      <x:c r="L1" s="25" t="str">
        <x:v>Total Receipts and Payments Transactions</x:v>
      </x:c>
      <x:c r="M1" s="25" t="str">
        <x:v>Total Receipts and Payments Transactions</x:v>
      </x:c>
      <x:c r="N1" s="25" t="str">
        <x:v>Total Receipts and Payments Transactions</x:v>
      </x:c>
      <x:c r="O1" s="25" t="str">
        <x:v>Total Receipts and Payments Transactions</x:v>
      </x:c>
      <x:c r="P1" s="25" t="str">
        <x:v>Total Receipts and Payments Transactions</x:v>
      </x:c>
      <x:c r="Q1" s="25" t="str">
        <x:v>Total Receipts and Payments Transactions</x:v>
      </x:c>
      <x:c r="R1" s="25" t="str">
        <x:v>Total Receipts and Payments Transactions</x:v>
      </x:c>
      <x:c r="S1" s="25" t="str">
        <x:v>Total Receipts and Payments Transactions</x:v>
      </x:c>
      <x:c r="T1" s="25" t="str">
        <x:v>Total Receipts and Payments Transactions</x:v>
      </x:c>
      <x:c r="U1" s="25" t="str">
        <x:v>Total Receipts and Payments Transactions</x:v>
      </x:c>
      <x:c r="V1" s="25" t="str">
        <x:v>Total Receipts and Payments Transactions</x:v>
      </x:c>
      <x:c r="W1" s="25" t="str">
        <x:v>Total Receipts and Payments Transactions</x:v>
      </x:c>
      <x:c r="X1" s="25" t="str">
        <x:v>Total Receipts and Payments Transactions</x:v>
      </x:c>
      <x:c r="Y1" s="25" t="str">
        <x:v>Total Receipts and Payments Transactions</x:v>
      </x:c>
      <x:c r="Z1" s="25" t="str">
        <x:v>Total Receipts and Payments Transactions</x:v>
      </x:c>
      <x:c r="AA1" s="25" t="str">
        <x:v>Total Receipts and Payments Transactions</x:v>
      </x:c>
    </x:row>
    <x:row r="2">
      <x:c r="A2" s="26" t="str">
        <x:v>Rows</x:v>
      </x:c>
      <x:c r="B2" s="26" t="n">
        <x:v>140</x:v>
      </x:c>
      <x:c r="C2" s="26" t="str">
        <x:v>Match</x:v>
      </x:c>
      <x:c r="D2" s="26" t="str">
        <x:v>All transactions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1</x:v>
      </x:c>
      <x:c r="B5" s="14" t="str">
        <x:v>273.pdf</x:v>
      </x:c>
      <x:c r="C5" s="15" t="n">
        <x:v>45181</x:v>
      </x:c>
      <x:c r="D5" s="15" t="n">
        <x:v>46146</x:v>
      </x:c>
      <x:c r="E5" s="15" t="n">
        <x:v>46114</x:v>
      </x:c>
      <x:c r="F5" s="15" t="n">
        <x:v>46114</x:v>
      </x:c>
      <x:c r="G5" s="16" t="str">
        <x:v>EBANK:WIB/1502 Dr EBANK:WIB/1502021829/Edfs</x:v>
      </x:c>
      <x:c r="H5" s="14" t="str"/>
      <x:c r="I5" s="14" t="str">
        <x:v>Payment</x:v>
      </x:c>
      <x:c r="J5" s="17" t="n">
        <x:v>681881.6</x:v>
      </x:c>
      <x:c r="K5" s="17" t="n">
        <x:v>0</x:v>
      </x:c>
      <x:c r="L5" s="17" t="n">
        <x:v>681881.6</x:v>
      </x:c>
      <x:c r="M5" s="17" t="n">
        <x:v>-9317737.2</x:v>
      </x:c>
      <x:c r="N5" s="14" t="str">
        <x:v>High Transaction</x:v>
      </x:c>
      <x:c r="O5" s="14" t="str">
        <x:v>No</x:v>
      </x:c>
      <x:c r="P5" s="14" t="str">
        <x:v>EBANKWIB</x:v>
      </x:c>
      <x:c r="Q5" s="14" t="n">
        <x:v>0</x:v>
      </x:c>
      <x:c r="R5" s="14" t="n">
        <x:v>0</x:v>
      </x:c>
      <x:c r="S5" s="14" t="n">
        <x:v>0</x:v>
      </x:c>
      <x:c r="T5" s="14" t="n">
        <x:v>0</x:v>
      </x:c>
      <x:c r="U5" s="14" t="n">
        <x:v>1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</x:row>
    <x:row r="6">
      <x:c r="A6" s="14" t="n">
        <x:v>2</x:v>
      </x:c>
      <x:c r="B6" s="14" t="str">
        <x:v>273.pdf</x:v>
      </x:c>
      <x:c r="C6" s="15" t="n">
        <x:v>45181</x:v>
      </x:c>
      <x:c r="D6" s="15" t="n">
        <x:v>46146</x:v>
      </x:c>
      <x:c r="E6" s="15" t="n">
        <x:v>46114</x:v>
      </x:c>
      <x:c r="F6" s="15" t="n">
        <x:v>46114</x:v>
      </x:c>
      <x:c r="G6" s="16" t="str">
        <x:v>AMBATT-CHENNAI Dr INT260319DEAL6205053</x:v>
      </x:c>
      <x:c r="H6" s="14" t="str"/>
      <x:c r="I6" s="14" t="str">
        <x:v>Payment</x:v>
      </x:c>
      <x:c r="J6" s="17" t="n">
        <x:v>5246.6</x:v>
      </x:c>
      <x:c r="K6" s="17" t="n">
        <x:v>0</x:v>
      </x:c>
      <x:c r="L6" s="17" t="n">
        <x:v>5246.6</x:v>
      </x:c>
      <x:c r="M6" s="17" t="n">
        <x:v>-9322983.8</x:v>
      </x:c>
      <x:c r="N6" s="14" t="str">
        <x:v>Other</x:v>
      </x:c>
      <x:c r="O6" s="14" t="str">
        <x:v>No</x:v>
      </x:c>
      <x:c r="P6" s="14" t="str">
        <x:v>CHENNAI DR INTDEAL</x:v>
      </x:c>
      <x:c r="Q6" s="14" t="n">
        <x:v>0</x:v>
      </x:c>
      <x:c r="R6" s="14" t="n">
        <x:v>0</x:v>
      </x:c>
      <x:c r="S6" s="14" t="n">
        <x:v>0</x:v>
      </x:c>
      <x:c r="T6" s="14" t="n">
        <x:v>0</x:v>
      </x:c>
      <x:c r="U6" s="14" t="n">
        <x:v>0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</x:row>
    <x:row r="7">
      <x:c r="A7" s="14" t="n">
        <x:v>3</x:v>
      </x:c>
      <x:c r="B7" s="14" t="str">
        <x:v>273.pdf</x:v>
      </x:c>
      <x:c r="C7" s="15" t="n">
        <x:v>45181</x:v>
      </x:c>
      <x:c r="D7" s="15" t="n">
        <x:v>46146</x:v>
      </x:c>
      <x:c r="E7" s="15" t="n">
        <x:v>46114</x:v>
      </x:c>
      <x:c r="F7" s="15" t="n">
        <x:v>46114</x:v>
      </x:c>
      <x:c r="G7" s="16" t="str">
        <x:v>EBANK:WIB/1502 Dr EBANK:WIB/1502110539/Edfs</x:v>
      </x:c>
      <x:c r="H7" s="14" t="str"/>
      <x:c r="I7" s="14" t="str">
        <x:v>Receipt</x:v>
      </x:c>
      <x:c r="J7" s="17" t="n">
        <x:v>0</x:v>
      </x:c>
      <x:c r="K7" s="17" t="n">
        <x:v>248340</x:v>
      </x:c>
      <x:c r="L7" s="17" t="n">
        <x:v>248340</x:v>
      </x:c>
      <x:c r="M7" s="17" t="n">
        <x:v>-9074643.8</x:v>
      </x:c>
      <x:c r="N7" s="14" t="str">
        <x:v>High Transaction; Recurring Transaction</x:v>
      </x:c>
      <x:c r="O7" s="14" t="str">
        <x:v>Yes</x:v>
      </x:c>
      <x:c r="P7" s="14" t="str">
        <x:v>EBANKWIB</x:v>
      </x:c>
      <x:c r="Q7" s="14" t="n">
        <x:v>0</x:v>
      </x:c>
      <x:c r="R7" s="14" t="n">
        <x:v>1</x:v>
      </x:c>
      <x:c r="S7" s="14" t="n">
        <x:v>0</x:v>
      </x:c>
      <x:c r="T7" s="14" t="n">
        <x:v>0</x:v>
      </x:c>
      <x:c r="U7" s="14" t="n">
        <x:v>1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46114</x:v>
      </x:c>
    </x:row>
    <x:row r="8">
      <x:c r="A8" s="14" t="n">
        <x:v>4</x:v>
      </x:c>
      <x:c r="B8" s="14" t="str">
        <x:v>273.pdf</x:v>
      </x:c>
      <x:c r="C8" s="15" t="n">
        <x:v>45181</x:v>
      </x:c>
      <x:c r="D8" s="15" t="n">
        <x:v>46146</x:v>
      </x:c>
      <x:c r="E8" s="15" t="n">
        <x:v>46114</x:v>
      </x:c>
      <x:c r="F8" s="15" t="n">
        <x:v>46114</x:v>
      </x:c>
      <x:c r="G8" s="16" t="str">
        <x:v>BY CASH Dr BY CASH</x:v>
      </x:c>
      <x:c r="H8" s="14" t="str"/>
      <x:c r="I8" s="14" t="str">
        <x:v>Receipt</x:v>
      </x:c>
      <x:c r="J8" s="17" t="n">
        <x:v>0</x:v>
      </x:c>
      <x:c r="K8" s="17" t="n">
        <x:v>67500</x:v>
      </x:c>
      <x:c r="L8" s="17" t="n">
        <x:v>67500</x:v>
      </x:c>
      <x:c r="M8" s="17" t="n">
        <x:v>-9007143.8</x:v>
      </x:c>
      <x:c r="N8" s="14" t="str">
        <x:v>Cash; Recurring Transaction</x:v>
      </x:c>
      <x:c r="O8" s="14" t="str">
        <x:v>Yes</x:v>
      </x:c>
      <x:c r="P8" s="14" t="str">
        <x:v>BY CASH DR BY CASH</x:v>
      </x:c>
      <x:c r="Q8" s="14" t="n">
        <x:v>1</x:v>
      </x:c>
      <x:c r="R8" s="14" t="n">
        <x:v>1</x:v>
      </x:c>
      <x:c r="S8" s="14" t="n">
        <x:v>0</x:v>
      </x:c>
      <x:c r="T8" s="14" t="n">
        <x:v>0</x:v>
      </x:c>
      <x:c r="U8" s="14" t="n">
        <x:v>0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46114</x:v>
      </x:c>
    </x:row>
    <x:row r="9">
      <x:c r="A9" s="14" t="n">
        <x:v>5</x:v>
      </x:c>
      <x:c r="B9" s="14" t="str">
        <x:v>273.pdf</x:v>
      </x:c>
      <x:c r="C9" s="15" t="n">
        <x:v>45181</x:v>
      </x:c>
      <x:c r="D9" s="15" t="n">
        <x:v>46146</x:v>
      </x:c>
      <x:c r="E9" s="15" t="n">
        <x:v>46114</x:v>
      </x:c>
      <x:c r="F9" s="15" t="n">
        <x:v>46114</x:v>
      </x:c>
      <x:c r="G9" s="16" t="str">
        <x:v>VIRARW-THANE/B Dr BY CASH</x:v>
      </x:c>
      <x:c r="H9" s="14" t="str"/>
      <x:c r="I9" s="14" t="str">
        <x:v>Receipt</x:v>
      </x:c>
      <x:c r="J9" s="17" t="n">
        <x:v>0</x:v>
      </x:c>
      <x:c r="K9" s="17" t="n">
        <x:v>426000</x:v>
      </x:c>
      <x:c r="L9" s="17" t="n">
        <x:v>426000</x:v>
      </x:c>
      <x:c r="M9" s="17" t="n">
        <x:v>-8581143.8</x:v>
      </x:c>
      <x:c r="N9" s="14" t="str">
        <x:v>Cash; High Transaction; Recurring Transaction</x:v>
      </x:c>
      <x:c r="O9" s="14" t="str">
        <x:v>Yes</x:v>
      </x:c>
      <x:c r="P9" s="14" t="str">
        <x:v>B DR BY CASH</x:v>
      </x:c>
      <x:c r="Q9" s="14" t="n">
        <x:v>1</x:v>
      </x:c>
      <x:c r="R9" s="14" t="n">
        <x:v>1</x:v>
      </x:c>
      <x:c r="S9" s="14" t="n">
        <x:v>0</x:v>
      </x:c>
      <x:c r="T9" s="14" t="n">
        <x:v>0</x:v>
      </x:c>
      <x:c r="U9" s="14" t="n">
        <x:v>1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46114</x:v>
      </x:c>
    </x:row>
    <x:row r="10">
      <x:c r="A10" s="14" t="n">
        <x:v>6</x:v>
      </x:c>
      <x:c r="B10" s="14" t="str">
        <x:v>273.pdf</x:v>
      </x:c>
      <x:c r="C10" s="15" t="n">
        <x:v>45181</x:v>
      </x:c>
      <x:c r="D10" s="15" t="n">
        <x:v>46146</x:v>
      </x:c>
      <x:c r="E10" s="15" t="n">
        <x:v>46114</x:v>
      </x:c>
      <x:c r="F10" s="15" t="n">
        <x:v>46114</x:v>
      </x:c>
      <x:c r="G10" s="16" t="str">
        <x:v>EBANK:WIB/1502 Dr EBANK:WIB/1502234210/Edfs</x:v>
      </x:c>
      <x:c r="H10" s="14" t="str"/>
      <x:c r="I10" s="14" t="str">
        <x:v>Receipt</x:v>
      </x:c>
      <x:c r="J10" s="17" t="n">
        <x:v>0</x:v>
      </x:c>
      <x:c r="K10" s="17" t="n">
        <x:v>791482.5</x:v>
      </x:c>
      <x:c r="L10" s="17" t="n">
        <x:v>791482.5</x:v>
      </x:c>
      <x:c r="M10" s="17" t="n">
        <x:v>-7789661.3</x:v>
      </x:c>
      <x:c r="N10" s="14" t="str">
        <x:v>High Transaction; Recurring Transaction</x:v>
      </x:c>
      <x:c r="O10" s="14" t="str">
        <x:v>Yes</x:v>
      </x:c>
      <x:c r="P10" s="14" t="str">
        <x:v>EBANKWIB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1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46114</x:v>
      </x:c>
    </x:row>
    <x:row r="11">
      <x:c r="A11" s="14" t="n">
        <x:v>7</x:v>
      </x:c>
      <x:c r="B11" s="14" t="str">
        <x:v>273.pdf</x:v>
      </x:c>
      <x:c r="C11" s="15" t="n">
        <x:v>45181</x:v>
      </x:c>
      <x:c r="D11" s="15" t="n">
        <x:v>46146</x:v>
      </x:c>
      <x:c r="E11" s="15" t="n">
        <x:v>46114</x:v>
      </x:c>
      <x:c r="F11" s="15" t="n">
        <x:v>46114</x:v>
      </x:c>
      <x:c r="G11" s="16" t="str">
        <x:v>RTGS-BARBR5202 Dr RTGS-BARBR52026040200930050-HINDUSTAN PETROLEUM CO</x:v>
      </x:c>
      <x:c r="H11" s="14" t="str"/>
      <x:c r="I11" s="14" t="str">
        <x:v>Payment</x:v>
      </x:c>
      <x:c r="J11" s="17" t="n">
        <x:v>1410247.26</x:v>
      </x:c>
      <x:c r="K11" s="17" t="n">
        <x:v>0</x:v>
      </x:c>
      <x:c r="L11" s="17" t="n">
        <x:v>1410247.26</x:v>
      </x:c>
      <x:c r="M11" s="17" t="n">
        <x:v>-9199908.56</x:v>
      </x:c>
      <x:c r="N11" s="14" t="str">
        <x:v>High Transaction; Recurring Transaction</x:v>
      </x:c>
      <x:c r="O11" s="14" t="str">
        <x:v>Yes</x:v>
      </x:c>
      <x:c r="P11" s="14" t="str">
        <x:v>BARBR DR RTGS</x:v>
      </x:c>
      <x:c r="Q11" s="14" t="n">
        <x:v>0</x:v>
      </x:c>
      <x:c r="R11" s="14" t="n">
        <x:v>1</x:v>
      </x:c>
      <x:c r="S11" s="14" t="n">
        <x:v>0</x:v>
      </x:c>
      <x:c r="T11" s="14" t="n">
        <x:v>0</x:v>
      </x:c>
      <x:c r="U11" s="14" t="n">
        <x:v>1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46114</x:v>
      </x:c>
    </x:row>
    <x:row r="12">
      <x:c r="A12" s="14" t="n">
        <x:v>8</x:v>
      </x:c>
      <x:c r="B12" s="14" t="str">
        <x:v>273.pdf</x:v>
      </x:c>
      <x:c r="C12" s="15" t="n">
        <x:v>45181</x:v>
      </x:c>
      <x:c r="D12" s="15" t="n">
        <x:v>46146</x:v>
      </x:c>
      <x:c r="E12" s="15" t="n">
        <x:v>46115</x:v>
      </x:c>
      <x:c r="F12" s="15" t="n">
        <x:v>46115</x:v>
      </x:c>
      <x:c r="G12" s="16" t="str">
        <x:v>EBANK:WIB/1502 Dr EBANK:WIB/1502413595/Edfs</x:v>
      </x:c>
      <x:c r="H12" s="14" t="str"/>
      <x:c r="I12" s="14" t="str">
        <x:v>Receipt</x:v>
      </x:c>
      <x:c r="J12" s="17" t="n">
        <x:v>0</x:v>
      </x:c>
      <x:c r="K12" s="17" t="n">
        <x:v>790104.58</x:v>
      </x:c>
      <x:c r="L12" s="17" t="n">
        <x:v>790104.58</x:v>
      </x:c>
      <x:c r="M12" s="17" t="n">
        <x:v>-8409803.98</x:v>
      </x:c>
      <x:c r="N12" s="14" t="str">
        <x:v>High Transaction; Recurring Transaction</x:v>
      </x:c>
      <x:c r="O12" s="14" t="str">
        <x:v>Yes</x:v>
      </x:c>
      <x:c r="P12" s="14" t="str">
        <x:v>EBANKWIB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1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46115</x:v>
      </x:c>
    </x:row>
    <x:row r="13">
      <x:c r="A13" s="14" t="n">
        <x:v>9</x:v>
      </x:c>
      <x:c r="B13" s="14" t="str">
        <x:v>273.pdf</x:v>
      </x:c>
      <x:c r="C13" s="15" t="n">
        <x:v>45181</x:v>
      </x:c>
      <x:c r="D13" s="15" t="n">
        <x:v>46146</x:v>
      </x:c>
      <x:c r="E13" s="15" t="n">
        <x:v>46116</x:v>
      </x:c>
      <x:c r="F13" s="15" t="n">
        <x:v>46116</x:v>
      </x:c>
      <x:c r="G13" s="16" t="str">
        <x:v>0000-MUMBAI/IN Dr INT260322DEAL6217382</x:v>
      </x:c>
      <x:c r="H13" s="14" t="str"/>
      <x:c r="I13" s="14" t="str">
        <x:v>Payment</x:v>
      </x:c>
      <x:c r="J13" s="17" t="n">
        <x:v>5204.27</x:v>
      </x:c>
      <x:c r="K13" s="17" t="n">
        <x:v>0</x:v>
      </x:c>
      <x:c r="L13" s="17" t="n">
        <x:v>5204.27</x:v>
      </x:c>
      <x:c r="M13" s="17" t="n">
        <x:v>-8415008.25</x:v>
      </x:c>
      <x:c r="N13" s="14" t="str">
        <x:v>Recurring Transaction</x:v>
      </x:c>
      <x:c r="O13" s="14" t="str">
        <x:v>Yes</x:v>
      </x:c>
      <x:c r="P13" s="14" t="str">
        <x:v>IN DR INTDEAL</x:v>
      </x:c>
      <x:c r="Q13" s="14" t="n">
        <x:v>0</x:v>
      </x:c>
      <x:c r="R13" s="14" t="n">
        <x:v>1</x:v>
      </x:c>
      <x:c r="S13" s="14" t="n">
        <x:v>0</x:v>
      </x:c>
      <x:c r="T13" s="14" t="n">
        <x:v>0</x:v>
      </x:c>
      <x:c r="U13" s="14" t="n">
        <x:v>0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46116</x:v>
      </x:c>
    </x:row>
    <x:row r="14">
      <x:c r="A14" s="14" t="n">
        <x:v>10</x:v>
      </x:c>
      <x:c r="B14" s="14" t="str">
        <x:v>273.pdf</x:v>
      </x:c>
      <x:c r="C14" s="15" t="n">
        <x:v>45181</x:v>
      </x:c>
      <x:c r="D14" s="15" t="n">
        <x:v>46146</x:v>
      </x:c>
      <x:c r="E14" s="15" t="n">
        <x:v>46116</x:v>
      </x:c>
      <x:c r="F14" s="15" t="n">
        <x:v>46116</x:v>
      </x:c>
      <x:c r="G14" s="16" t="str">
        <x:v>MOGHBS-MOGHALS Dr INT260323DEAL6218681</x:v>
      </x:c>
      <x:c r="H14" s="14" t="str"/>
      <x:c r="I14" s="14" t="str">
        <x:v>Payment</x:v>
      </x:c>
      <x:c r="J14" s="17" t="n">
        <x:v>54.45</x:v>
      </x:c>
      <x:c r="K14" s="17" t="n">
        <x:v>0</x:v>
      </x:c>
      <x:c r="L14" s="17" t="n">
        <x:v>54.45</x:v>
      </x:c>
      <x:c r="M14" s="17" t="n">
        <x:v>-8415062.7</x:v>
      </x:c>
      <x:c r="N14" s="14" t="str">
        <x:v>Other</x:v>
      </x:c>
      <x:c r="O14" s="14" t="str">
        <x:v>No</x:v>
      </x:c>
      <x:c r="P14" s="14" t="str">
        <x:v>MOGHALS DR INTDEAL</x:v>
      </x:c>
      <x:c r="Q14" s="14" t="n">
        <x:v>0</x:v>
      </x:c>
      <x:c r="R14" s="14" t="n">
        <x:v>0</x:v>
      </x:c>
      <x:c r="S14" s="14" t="n">
        <x:v>0</x:v>
      </x:c>
      <x:c r="T14" s="14" t="n">
        <x:v>0</x:v>
      </x:c>
      <x:c r="U14" s="14" t="n">
        <x:v>0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46116</x:v>
      </x:c>
    </x:row>
    <x:row r="15">
      <x:c r="A15" s="14" t="n">
        <x:v>11</x:v>
      </x:c>
      <x:c r="B15" s="14" t="str">
        <x:v>273.pdf</x:v>
      </x:c>
      <x:c r="C15" s="15" t="n">
        <x:v>45181</x:v>
      </x:c>
      <x:c r="D15" s="15" t="n">
        <x:v>46146</x:v>
      </x:c>
      <x:c r="E15" s="15" t="n">
        <x:v>46116</x:v>
      </x:c>
      <x:c r="F15" s="15" t="n">
        <x:v>46116</x:v>
      </x:c>
      <x:c r="G15" s="16" t="str">
        <x:v>EBANK:WIB/1502 Dr EBANK:WIB/1502423934/Edfs</x:v>
      </x:c>
      <x:c r="H15" s="14" t="str"/>
      <x:c r="I15" s="14" t="str">
        <x:v>Receipt</x:v>
      </x:c>
      <x:c r="J15" s="17" t="n">
        <x:v>0</x:v>
      </x:c>
      <x:c r="K15" s="17" t="n">
        <x:v>240091</x:v>
      </x:c>
      <x:c r="L15" s="17" t="n">
        <x:v>240091</x:v>
      </x:c>
      <x:c r="M15" s="17" t="n">
        <x:v>-8174971.7</x:v>
      </x:c>
      <x:c r="N15" s="14" t="str">
        <x:v>High Transaction; Recurring Transaction</x:v>
      </x:c>
      <x:c r="O15" s="14" t="str">
        <x:v>Yes</x:v>
      </x:c>
      <x:c r="P15" s="14" t="str">
        <x:v>EBANKWIB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1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46116</x:v>
      </x:c>
    </x:row>
    <x:row r="16">
      <x:c r="A16" s="14" t="n">
        <x:v>12</x:v>
      </x:c>
      <x:c r="B16" s="14" t="str">
        <x:v>273.pdf</x:v>
      </x:c>
      <x:c r="C16" s="15" t="n">
        <x:v>45181</x:v>
      </x:c>
      <x:c r="D16" s="15" t="n">
        <x:v>46146</x:v>
      </x:c>
      <x:c r="E16" s="15" t="n">
        <x:v>46116</x:v>
      </x:c>
      <x:c r="F16" s="15" t="n">
        <x:v>46116</x:v>
      </x:c>
      <x:c r="G16" s="16" t="str">
        <x:v>BY CASH Dr BY CASH</x:v>
      </x:c>
      <x:c r="H16" s="14" t="str"/>
      <x:c r="I16" s="14" t="str">
        <x:v>Receipt</x:v>
      </x:c>
      <x:c r="J16" s="17" t="n">
        <x:v>0</x:v>
      </x:c>
      <x:c r="K16" s="17" t="n">
        <x:v>423500</x:v>
      </x:c>
      <x:c r="L16" s="17" t="n">
        <x:v>423500</x:v>
      </x:c>
      <x:c r="M16" s="17" t="n">
        <x:v>-7751471.7</x:v>
      </x:c>
      <x:c r="N16" s="14" t="str">
        <x:v>Cash; High Transaction; Recurring Transaction</x:v>
      </x:c>
      <x:c r="O16" s="14" t="str">
        <x:v>Yes</x:v>
      </x:c>
      <x:c r="P16" s="14" t="str">
        <x:v>BY CASH DR BY CASH</x:v>
      </x:c>
      <x:c r="Q16" s="14" t="n">
        <x:v>1</x:v>
      </x:c>
      <x:c r="R16" s="14" t="n">
        <x:v>1</x:v>
      </x:c>
      <x:c r="S16" s="14" t="n">
        <x:v>0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46116</x:v>
      </x:c>
    </x:row>
    <x:row r="17">
      <x:c r="A17" s="14" t="n">
        <x:v>13</x:v>
      </x:c>
      <x:c r="B17" s="14" t="str">
        <x:v>273.pdf</x:v>
      </x:c>
      <x:c r="C17" s="15" t="n">
        <x:v>45181</x:v>
      </x:c>
      <x:c r="D17" s="15" t="n">
        <x:v>46146</x:v>
      </x:c>
      <x:c r="E17" s="15" t="n">
        <x:v>46116</x:v>
      </x:c>
      <x:c r="F17" s="15" t="n">
        <x:v>46116</x:v>
      </x:c>
      <x:c r="G17" s="16" t="str">
        <x:v>EBANK:WIB/1502 Dr ---------------------------------------------------------------------------------------------------------------------------------- Page Total: 14,20,752.58 37,89,230.05 76,31,141.33Dr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</x:v>
      </x:c>
      <x:c r="H17" s="14" t="str"/>
      <x:c r="I17" s="14" t="str">
        <x:v>Receipt</x:v>
      </x:c>
      <x:c r="J17" s="17" t="n">
        <x:v>0</x:v>
      </x:c>
      <x:c r="K17" s="17" t="n">
        <x:v>120330.37</x:v>
      </x:c>
      <x:c r="L17" s="17" t="n">
        <x:v>120330.37</x:v>
      </x:c>
      <x:c r="M17" s="17" t="n">
        <x:v>-7631141.33</x:v>
      </x:c>
      <x:c r="N17" s="14" t="str">
        <x:v>High Transaction; Recurring Transaction</x:v>
      </x:c>
      <x:c r="O17" s="14" t="str">
        <x:v>Yes</x:v>
      </x:c>
      <x:c r="P17" s="14" t="str">
        <x:v>EBANKWIB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1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46116</x:v>
      </x:c>
    </x:row>
    <x:row r="18">
      <x:c r="A18" s="14" t="n">
        <x:v>14</x:v>
      </x:c>
      <x:c r="B18" s="14" t="str">
        <x:v>273.pdf</x:v>
      </x:c>
      <x:c r="C18" s="15" t="n">
        <x:v>45181</x:v>
      </x:c>
      <x:c r="D18" s="15" t="n">
        <x:v>46146</x:v>
      </x:c>
      <x:c r="E18" s="15" t="n">
        <x:v>46116</x:v>
      </x:c>
      <x:c r="F18" s="15" t="n">
        <x:v>46116</x:v>
      </x:c>
      <x:c r="G18" s="16" t="str">
        <x:v>RTGS-BARBR5202 Dr RTGS-BARBR52026040400789528-HINDUSTAN PETROLEUM CO</x:v>
      </x:c>
      <x:c r="H18" s="14" t="str"/>
      <x:c r="I18" s="14" t="str">
        <x:v>Payment</x:v>
      </x:c>
      <x:c r="J18" s="17" t="n">
        <x:v>1854884.36</x:v>
      </x:c>
      <x:c r="K18" s="17" t="n">
        <x:v>0</x:v>
      </x:c>
      <x:c r="L18" s="17" t="n">
        <x:v>1854884.36</x:v>
      </x:c>
      <x:c r="M18" s="17" t="n">
        <x:v>-9486025.69</x:v>
      </x:c>
      <x:c r="N18" s="14" t="str">
        <x:v>High Transaction; Recurring Transaction</x:v>
      </x:c>
      <x:c r="O18" s="14" t="str">
        <x:v>Yes</x:v>
      </x:c>
      <x:c r="P18" s="14" t="str">
        <x:v>BARBR DR RTGS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1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46116</x:v>
      </x:c>
    </x:row>
    <x:row r="19">
      <x:c r="A19" s="14" t="n">
        <x:v>15</x:v>
      </x:c>
      <x:c r="B19" s="14" t="str">
        <x:v>273.pdf</x:v>
      </x:c>
      <x:c r="C19" s="15" t="n">
        <x:v>45181</x:v>
      </x:c>
      <x:c r="D19" s="15" t="n">
        <x:v>46146</x:v>
      </x:c>
      <x:c r="E19" s="15" t="n">
        <x:v>46117</x:v>
      </x:c>
      <x:c r="F19" s="15" t="n">
        <x:v>46117</x:v>
      </x:c>
      <x:c r="G19" s="16" t="str">
        <x:v>EBANK:WIB/1502 Dr EBANK:WIB/1502577386/Edfs</x:v>
      </x:c>
      <x:c r="H19" s="14" t="str"/>
      <x:c r="I19" s="14" t="str">
        <x:v>Receipt</x:v>
      </x:c>
      <x:c r="J19" s="17" t="n">
        <x:v>0</x:v>
      </x:c>
      <x:c r="K19" s="17" t="n">
        <x:v>300403.36</x:v>
      </x:c>
      <x:c r="L19" s="17" t="n">
        <x:v>300403.36</x:v>
      </x:c>
      <x:c r="M19" s="17" t="n">
        <x:v>-9185622.33</x:v>
      </x:c>
      <x:c r="N19" s="14" t="str">
        <x:v>High Transaction; Recurring Transaction</x:v>
      </x:c>
      <x:c r="O19" s="14" t="str">
        <x:v>Yes</x:v>
      </x:c>
      <x:c r="P19" s="14" t="str">
        <x:v>EBANKWIB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1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46117</x:v>
      </x:c>
    </x:row>
    <x:row r="20">
      <x:c r="A20" s="14" t="n">
        <x:v>16</x:v>
      </x:c>
      <x:c r="B20" s="14" t="str">
        <x:v>273.pdf</x:v>
      </x:c>
      <x:c r="C20" s="15" t="n">
        <x:v>45181</x:v>
      </x:c>
      <x:c r="D20" s="15" t="n">
        <x:v>46146</x:v>
      </x:c>
      <x:c r="E20" s="15" t="n">
        <x:v>46118</x:v>
      </x:c>
      <x:c r="F20" s="15" t="n">
        <x:v>46118</x:v>
      </x:c>
      <x:c r="G20" s="16" t="str">
        <x:v>EBANK:WIB/1502 Dr https://cbdrpt101.bankofbaroda.co.in:22000/finbranch/arjspmorph/INFENG/tran_rpt.jsp?... 04-05-2026 EBANK:WIB/1502642025/Edfs</x:v>
      </x:c>
      <x:c r="H20" s="14" t="str"/>
      <x:c r="I20" s="14" t="str">
        <x:v>Receipt</x:v>
      </x:c>
      <x:c r="J20" s="17" t="n">
        <x:v>0</x:v>
      </x:c>
      <x:c r="K20" s="17" t="n">
        <x:v>365780.21</x:v>
      </x:c>
      <x:c r="L20" s="17" t="n">
        <x:v>365780.21</x:v>
      </x:c>
      <x:c r="M20" s="17" t="n">
        <x:v>-8819842.12</x:v>
      </x:c>
      <x:c r="N20" s="14" t="str">
        <x:v>High Transaction; Recurring Transaction</x:v>
      </x:c>
      <x:c r="O20" s="14" t="str">
        <x:v>Yes</x:v>
      </x:c>
      <x:c r="P20" s="14" t="str">
        <x:v>EBANKWIB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1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46118</x:v>
      </x:c>
    </x:row>
    <x:row r="21">
      <x:c r="A21" s="14" t="n">
        <x:v>17</x:v>
      </x:c>
      <x:c r="B21" s="14" t="str">
        <x:v>273.pdf</x:v>
      </x:c>
      <x:c r="C21" s="15" t="n">
        <x:v>45181</x:v>
      </x:c>
      <x:c r="D21" s="15" t="n">
        <x:v>46146</x:v>
      </x:c>
      <x:c r="E21" s="15" t="n">
        <x:v>46118</x:v>
      </x:c>
      <x:c r="F21" s="15" t="n">
        <x:v>46118</x:v>
      </x:c>
      <x:c r="G21" s="16" t="str">
        <x:v>BY CASH Dr BY CASH</x:v>
      </x:c>
      <x:c r="H21" s="14" t="str"/>
      <x:c r="I21" s="14" t="str">
        <x:v>Receipt</x:v>
      </x:c>
      <x:c r="J21" s="17" t="n">
        <x:v>0</x:v>
      </x:c>
      <x:c r="K21" s="17" t="n">
        <x:v>273000</x:v>
      </x:c>
      <x:c r="L21" s="17" t="n">
        <x:v>273000</x:v>
      </x:c>
      <x:c r="M21" s="17" t="n">
        <x:v>-8546842.12</x:v>
      </x:c>
      <x:c r="N21" s="14" t="str">
        <x:v>Cash; High Transaction; Recurring Transaction</x:v>
      </x:c>
      <x:c r="O21" s="14" t="str">
        <x:v>Yes</x:v>
      </x:c>
      <x:c r="P21" s="14" t="str">
        <x:v>BY CASH DR BY CASH</x:v>
      </x:c>
      <x:c r="Q21" s="14" t="n">
        <x:v>1</x:v>
      </x:c>
      <x:c r="R21" s="14" t="n">
        <x:v>1</x:v>
      </x:c>
      <x:c r="S21" s="14" t="n">
        <x:v>0</x:v>
      </x:c>
      <x:c r="T21" s="14" t="n">
        <x:v>0</x:v>
      </x:c>
      <x:c r="U21" s="14" t="n">
        <x:v>1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46118</x:v>
      </x:c>
    </x:row>
    <x:row r="22">
      <x:c r="A22" s="14" t="n">
        <x:v>18</x:v>
      </x:c>
      <x:c r="B22" s="14" t="str">
        <x:v>273.pdf</x:v>
      </x:c>
      <x:c r="C22" s="15" t="n">
        <x:v>45181</x:v>
      </x:c>
      <x:c r="D22" s="15" t="n">
        <x:v>46146</x:v>
      </x:c>
      <x:c r="E22" s="15" t="n">
        <x:v>46118</x:v>
      </x:c>
      <x:c r="F22" s="15" t="n">
        <x:v>46118</x:v>
      </x:c>
      <x:c r="G22" s="16" t="str">
        <x:v>EBANK:WIB/1502 Dr EBANK:WIB/1502790855/Edfs</x:v>
      </x:c>
      <x:c r="H22" s="14" t="str"/>
      <x:c r="I22" s="14" t="str">
        <x:v>Receipt</x:v>
      </x:c>
      <x:c r="J22" s="17" t="n">
        <x:v>0</x:v>
      </x:c>
      <x:c r="K22" s="17" t="n">
        <x:v>198114</x:v>
      </x:c>
      <x:c r="L22" s="17" t="n">
        <x:v>198114</x:v>
      </x:c>
      <x:c r="M22" s="17" t="n">
        <x:v>-8348728.12</x:v>
      </x:c>
      <x:c r="N22" s="14" t="str">
        <x:v>High Transaction; Recurring Transaction</x:v>
      </x:c>
      <x:c r="O22" s="14" t="str">
        <x:v>Yes</x:v>
      </x:c>
      <x:c r="P22" s="14" t="str">
        <x:v>EBANKWIB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1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46118</x:v>
      </x:c>
    </x:row>
    <x:row r="23">
      <x:c r="A23" s="14" t="n">
        <x:v>19</x:v>
      </x:c>
      <x:c r="B23" s="14" t="str">
        <x:v>273.pdf</x:v>
      </x:c>
      <x:c r="C23" s="15" t="n">
        <x:v>45181</x:v>
      </x:c>
      <x:c r="D23" s="15" t="n">
        <x:v>46146</x:v>
      </x:c>
      <x:c r="E23" s="15" t="n">
        <x:v>46118</x:v>
      </x:c>
      <x:c r="F23" s="15" t="n">
        <x:v>46118</x:v>
      </x:c>
      <x:c r="G23" s="16" t="str">
        <x:v>BASGUR-GURGAON Dr INT260324DEAL6234708</x:v>
      </x:c>
      <x:c r="H23" s="14" t="str"/>
      <x:c r="I23" s="14" t="str">
        <x:v>Payment</x:v>
      </x:c>
      <x:c r="J23" s="17" t="n">
        <x:v>5732.4</x:v>
      </x:c>
      <x:c r="K23" s="17" t="n">
        <x:v>0</x:v>
      </x:c>
      <x:c r="L23" s="17" t="n">
        <x:v>5732.4</x:v>
      </x:c>
      <x:c r="M23" s="17" t="n">
        <x:v>-8354460.52</x:v>
      </x:c>
      <x:c r="N23" s="14" t="str">
        <x:v>Other</x:v>
      </x:c>
      <x:c r="O23" s="14" t="str">
        <x:v>No</x:v>
      </x:c>
      <x:c r="P23" s="14" t="str">
        <x:v>GURGAON DR INTDEAL</x:v>
      </x:c>
      <x:c r="Q23" s="14" t="n">
        <x:v>0</x:v>
      </x:c>
      <x:c r="R23" s="14" t="n">
        <x:v>0</x:v>
      </x:c>
      <x:c r="S23" s="14" t="n">
        <x:v>0</x:v>
      </x:c>
      <x:c r="T23" s="14" t="n">
        <x:v>0</x:v>
      </x:c>
      <x:c r="U23" s="14" t="n">
        <x:v>0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46118</x:v>
      </x:c>
    </x:row>
    <x:row r="24">
      <x:c r="A24" s="14" t="n">
        <x:v>20</x:v>
      </x:c>
      <x:c r="B24" s="14" t="str">
        <x:v>273.pdf</x:v>
      </x:c>
      <x:c r="C24" s="15" t="n">
        <x:v>45181</x:v>
      </x:c>
      <x:c r="D24" s="15" t="n">
        <x:v>46146</x:v>
      </x:c>
      <x:c r="E24" s="15" t="n">
        <x:v>46119</x:v>
      </x:c>
      <x:c r="F24" s="15" t="n">
        <x:v>46119</x:v>
      </x:c>
      <x:c r="G24" s="16" t="str">
        <x:v>EBANK:WIB/1502 Dr EBANK:WIB/1502821939/Edfs</x:v>
      </x:c>
      <x:c r="H24" s="14" t="str"/>
      <x:c r="I24" s="14" t="str">
        <x:v>Receipt</x:v>
      </x:c>
      <x:c r="J24" s="17" t="n">
        <x:v>0</x:v>
      </x:c>
      <x:c r="K24" s="17" t="n">
        <x:v>330493.07</x:v>
      </x:c>
      <x:c r="L24" s="17" t="n">
        <x:v>330493.07</x:v>
      </x:c>
      <x:c r="M24" s="17" t="n">
        <x:v>-8023967.45</x:v>
      </x:c>
      <x:c r="N24" s="14" t="str">
        <x:v>High Transaction; Recurring Transaction</x:v>
      </x:c>
      <x:c r="O24" s="14" t="str">
        <x:v>Yes</x:v>
      </x:c>
      <x:c r="P24" s="14" t="str">
        <x:v>EBANKWIB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1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46119</x:v>
      </x:c>
    </x:row>
    <x:row r="25">
      <x:c r="A25" s="14" t="n">
        <x:v>21</x:v>
      </x:c>
      <x:c r="B25" s="14" t="str">
        <x:v>273.pdf</x:v>
      </x:c>
      <x:c r="C25" s="15" t="n">
        <x:v>45181</x:v>
      </x:c>
      <x:c r="D25" s="15" t="n">
        <x:v>46146</x:v>
      </x:c>
      <x:c r="E25" s="15" t="n">
        <x:v>46119</x:v>
      </x:c>
      <x:c r="F25" s="15" t="n">
        <x:v>46119</x:v>
      </x:c>
      <x:c r="G25" s="16" t="str">
        <x:v>EBANK:WIB/1502 Dr EBANK:WIB/1502986421/Edfs</x:v>
      </x:c>
      <x:c r="H25" s="14" t="str"/>
      <x:c r="I25" s="14" t="str">
        <x:v>Receipt</x:v>
      </x:c>
      <x:c r="J25" s="17" t="n">
        <x:v>0</x:v>
      </x:c>
      <x:c r="K25" s="17" t="n">
        <x:v>137582.35</x:v>
      </x:c>
      <x:c r="L25" s="17" t="n">
        <x:v>137582.35</x:v>
      </x:c>
      <x:c r="M25" s="17" t="n">
        <x:v>-7886385.1</x:v>
      </x:c>
      <x:c r="N25" s="14" t="str">
        <x:v>High Transaction; Recurring Transaction</x:v>
      </x:c>
      <x:c r="O25" s="14" t="str">
        <x:v>Yes</x:v>
      </x:c>
      <x:c r="P25" s="14" t="str">
        <x:v>EBANKWIB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1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46119</x:v>
      </x:c>
    </x:row>
    <x:row r="26">
      <x:c r="A26" s="14" t="n">
        <x:v>22</x:v>
      </x:c>
      <x:c r="B26" s="14" t="str">
        <x:v>273.pdf</x:v>
      </x:c>
      <x:c r="C26" s="15" t="n">
        <x:v>45181</x:v>
      </x:c>
      <x:c r="D26" s="15" t="n">
        <x:v>46146</x:v>
      </x:c>
      <x:c r="E26" s="15" t="n">
        <x:v>46119</x:v>
      </x:c>
      <x:c r="F26" s="15" t="n">
        <x:v>46119</x:v>
      </x:c>
      <x:c r="G26" s="16" t="str">
        <x:v>RTGS-BARBR5202 Dr RTGS-BARBR52026040700945156-HINDUSTAN PETROLEUM CO</x:v>
      </x:c>
      <x:c r="H26" s="14" t="str"/>
      <x:c r="I26" s="14" t="str">
        <x:v>Payment</x:v>
      </x:c>
      <x:c r="J26" s="17" t="n">
        <x:v>1902609.28</x:v>
      </x:c>
      <x:c r="K26" s="17" t="n">
        <x:v>0</x:v>
      </x:c>
      <x:c r="L26" s="17" t="n">
        <x:v>1902609.28</x:v>
      </x:c>
      <x:c r="M26" s="17" t="n">
        <x:v>-9788994.38</x:v>
      </x:c>
      <x:c r="N26" s="14" t="str">
        <x:v>High Transaction; Recurring Transaction</x:v>
      </x:c>
      <x:c r="O26" s="14" t="str">
        <x:v>Yes</x:v>
      </x:c>
      <x:c r="P26" s="14" t="str">
        <x:v>BARBR DR RTGS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1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46119</x:v>
      </x:c>
    </x:row>
    <x:row r="27">
      <x:c r="A27" s="14" t="n">
        <x:v>23</x:v>
      </x:c>
      <x:c r="B27" s="14" t="str">
        <x:v>273.pdf</x:v>
      </x:c>
      <x:c r="C27" s="15" t="n">
        <x:v>45181</x:v>
      </x:c>
      <x:c r="D27" s="15" t="n">
        <x:v>46146</x:v>
      </x:c>
      <x:c r="E27" s="15" t="n">
        <x:v>46120</x:v>
      </x:c>
      <x:c r="F27" s="15" t="n">
        <x:v>46120</x:v>
      </x:c>
      <x:c r="G27" s="16" t="str">
        <x:v>EBANK:WIB/1503 Dr EBANK:WIB/1503050809/Edfs</x:v>
      </x:c>
      <x:c r="H27" s="14" t="str"/>
      <x:c r="I27" s="14" t="str">
        <x:v>Receipt</x:v>
      </x:c>
      <x:c r="J27" s="17" t="n">
        <x:v>0</x:v>
      </x:c>
      <x:c r="K27" s="17" t="n">
        <x:v>381113</x:v>
      </x:c>
      <x:c r="L27" s="17" t="n">
        <x:v>381113</x:v>
      </x:c>
      <x:c r="M27" s="17" t="n">
        <x:v>-9407881.38</x:v>
      </x:c>
      <x:c r="N27" s="14" t="str">
        <x:v>High Transaction; Recurring Transaction</x:v>
      </x:c>
      <x:c r="O27" s="14" t="str">
        <x:v>Yes</x:v>
      </x:c>
      <x:c r="P27" s="14" t="str">
        <x:v>EBANKWIB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1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46120</x:v>
      </x:c>
    </x:row>
    <x:row r="28">
      <x:c r="A28" s="14" t="n">
        <x:v>24</x:v>
      </x:c>
      <x:c r="B28" s="14" t="str">
        <x:v>273.pdf</x:v>
      </x:c>
      <x:c r="C28" s="15" t="n">
        <x:v>45181</x:v>
      </x:c>
      <x:c r="D28" s="15" t="n">
        <x:v>46146</x:v>
      </x:c>
      <x:c r="E28" s="15" t="n">
        <x:v>46120</x:v>
      </x:c>
      <x:c r="F28" s="15" t="n">
        <x:v>46120</x:v>
      </x:c>
      <x:c r="G28" s="16" t="str">
        <x:v>BY CASH Dr BY CASH</x:v>
      </x:c>
      <x:c r="H28" s="14" t="str"/>
      <x:c r="I28" s="14" t="str">
        <x:v>Receipt</x:v>
      </x:c>
      <x:c r="J28" s="17" t="n">
        <x:v>0</x:v>
      </x:c>
      <x:c r="K28" s="17" t="n">
        <x:v>115000</x:v>
      </x:c>
      <x:c r="L28" s="17" t="n">
        <x:v>115000</x:v>
      </x:c>
      <x:c r="M28" s="17" t="n">
        <x:v>-9292881.38</x:v>
      </x:c>
      <x:c r="N28" s="14" t="str">
        <x:v>Cash; High Transaction; Recurring Transaction</x:v>
      </x:c>
      <x:c r="O28" s="14" t="str">
        <x:v>Yes</x:v>
      </x:c>
      <x:c r="P28" s="14" t="str">
        <x:v>BY CASH DR BY CASH</x:v>
      </x:c>
      <x:c r="Q28" s="14" t="n">
        <x:v>1</x:v>
      </x:c>
      <x:c r="R28" s="14" t="n">
        <x:v>1</x:v>
      </x:c>
      <x:c r="S28" s="14" t="n">
        <x:v>0</x:v>
      </x:c>
      <x:c r="T28" s="14" t="n">
        <x:v>0</x:v>
      </x:c>
      <x:c r="U28" s="14" t="n">
        <x:v>1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46120</x:v>
      </x:c>
    </x:row>
    <x:row r="29">
      <x:c r="A29" s="14" t="n">
        <x:v>25</x:v>
      </x:c>
      <x:c r="B29" s="14" t="str">
        <x:v>273.pdf</x:v>
      </x:c>
      <x:c r="C29" s="15" t="n">
        <x:v>45181</x:v>
      </x:c>
      <x:c r="D29" s="15" t="n">
        <x:v>46146</x:v>
      </x:c>
      <x:c r="E29" s="15" t="n">
        <x:v>46120</x:v>
      </x:c>
      <x:c r="F29" s="15" t="n">
        <x:v>46120</x:v>
      </x:c>
      <x:c r="G29" s="16" t="str">
        <x:v>EBANK:WIB/1503 Dr EBANK:WIB/1503170712/Edfs</x:v>
      </x:c>
      <x:c r="H29" s="14" t="str"/>
      <x:c r="I29" s="14" t="str">
        <x:v>Receipt</x:v>
      </x:c>
      <x:c r="J29" s="17" t="n">
        <x:v>0</x:v>
      </x:c>
      <x:c r="K29" s="17" t="n">
        <x:v>108620</x:v>
      </x:c>
      <x:c r="L29" s="17" t="n">
        <x:v>108620</x:v>
      </x:c>
      <x:c r="M29" s="17" t="n">
        <x:v>-9184261.38</x:v>
      </x:c>
      <x:c r="N29" s="14" t="str">
        <x:v>High Transaction; Recurring Transaction</x:v>
      </x:c>
      <x:c r="O29" s="14" t="str">
        <x:v>Yes</x:v>
      </x:c>
      <x:c r="P29" s="14" t="str">
        <x:v>EBANKWIB</x:v>
      </x:c>
      <x:c r="Q29" s="14" t="n">
        <x:v>0</x:v>
      </x:c>
      <x:c r="R29" s="14" t="n">
        <x:v>1</x:v>
      </x:c>
      <x:c r="S29" s="14" t="n">
        <x:v>0</x:v>
      </x:c>
      <x:c r="T29" s="14" t="n">
        <x:v>0</x:v>
      </x:c>
      <x:c r="U29" s="14" t="n">
        <x:v>1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46120</x:v>
      </x:c>
    </x:row>
    <x:row r="30">
      <x:c r="A30" s="14" t="n">
        <x:v>26</x:v>
      </x:c>
      <x:c r="B30" s="14" t="str">
        <x:v>273.pdf</x:v>
      </x:c>
      <x:c r="C30" s="15" t="n">
        <x:v>45181</x:v>
      </x:c>
      <x:c r="D30" s="15" t="n">
        <x:v>46146</x:v>
      </x:c>
      <x:c r="E30" s="15" t="n">
        <x:v>46121</x:v>
      </x:c>
      <x:c r="F30" s="15" t="n">
        <x:v>46121</x:v>
      </x:c>
      <x:c r="G30" s="16" t="str">
        <x:v>0000-MUMBAI/IN Dr INT260325DEAL6242558</x:v>
      </x:c>
      <x:c r="H30" s="14" t="str"/>
      <x:c r="I30" s="14" t="str">
        <x:v>Payment</x:v>
      </x:c>
      <x:c r="J30" s="17" t="n">
        <x:v>5694.93</x:v>
      </x:c>
      <x:c r="K30" s="17" t="n">
        <x:v>0</x:v>
      </x:c>
      <x:c r="L30" s="17" t="n">
        <x:v>5694.93</x:v>
      </x:c>
      <x:c r="M30" s="17" t="n">
        <x:v>-9189956.31</x:v>
      </x:c>
      <x:c r="N30" s="14" t="str">
        <x:v>Recurring Transaction</x:v>
      </x:c>
      <x:c r="O30" s="14" t="str">
        <x:v>Yes</x:v>
      </x:c>
      <x:c r="P30" s="14" t="str">
        <x:v>IN DR INTDEAL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0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46121</x:v>
      </x:c>
    </x:row>
    <x:row r="31">
      <x:c r="A31" s="14" t="n">
        <x:v>27</x:v>
      </x:c>
      <x:c r="B31" s="14" t="str">
        <x:v>273.pdf</x:v>
      </x:c>
      <x:c r="C31" s="15" t="n">
        <x:v>45181</x:v>
      </x:c>
      <x:c r="D31" s="15" t="n">
        <x:v>46146</x:v>
      </x:c>
      <x:c r="E31" s="15" t="n">
        <x:v>46121</x:v>
      </x:c>
      <x:c r="F31" s="15" t="n">
        <x:v>46121</x:v>
      </x:c>
      <x:c r="G31" s="16" t="str">
        <x:v>0000-MUMBAI/IN Dr INT260325DEAL6242558</x:v>
      </x:c>
      <x:c r="H31" s="14" t="str"/>
      <x:c r="I31" s="14" t="str">
        <x:v>Receipt</x:v>
      </x:c>
      <x:c r="J31" s="17" t="n">
        <x:v>0</x:v>
      </x:c>
      <x:c r="K31" s="17" t="n">
        <x:v>25.59</x:v>
      </x:c>
      <x:c r="L31" s="17" t="n">
        <x:v>25.59</x:v>
      </x:c>
      <x:c r="M31" s="17" t="n">
        <x:v>-9189930.72</x:v>
      </x:c>
      <x:c r="N31" s="14" t="str">
        <x:v>Recurring Transaction</x:v>
      </x:c>
      <x:c r="O31" s="14" t="str">
        <x:v>Yes</x:v>
      </x:c>
      <x:c r="P31" s="14" t="str">
        <x:v>IN DR INTDEAL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0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46121</x:v>
      </x:c>
    </x:row>
    <x:row r="32">
      <x:c r="A32" s="14" t="n">
        <x:v>28</x:v>
      </x:c>
      <x:c r="B32" s="14" t="str">
        <x:v>273.pdf</x:v>
      </x:c>
      <x:c r="C32" s="15" t="n">
        <x:v>45181</x:v>
      </x:c>
      <x:c r="D32" s="15" t="n">
        <x:v>46146</x:v>
      </x:c>
      <x:c r="E32" s="15" t="n">
        <x:v>46121</x:v>
      </x:c>
      <x:c r="F32" s="15" t="n">
        <x:v>46121</x:v>
      </x:c>
      <x:c r="G32" s="16" t="str">
        <x:v>BY CASH Dr BY CASH</x:v>
      </x:c>
      <x:c r="H32" s="14" t="str"/>
      <x:c r="I32" s="14" t="str">
        <x:v>Receipt</x:v>
      </x:c>
      <x:c r="J32" s="17" t="n">
        <x:v>0</x:v>
      </x:c>
      <x:c r="K32" s="17" t="n">
        <x:v>180000</x:v>
      </x:c>
      <x:c r="L32" s="17" t="n">
        <x:v>180000</x:v>
      </x:c>
      <x:c r="M32" s="17" t="n">
        <x:v>-9009930.72</x:v>
      </x:c>
      <x:c r="N32" s="14" t="str">
        <x:v>Cash; High Transaction; Recurring Transaction</x:v>
      </x:c>
      <x:c r="O32" s="14" t="str">
        <x:v>Yes</x:v>
      </x:c>
      <x:c r="P32" s="14" t="str">
        <x:v>BY CASH DR BY CASH</x:v>
      </x:c>
      <x:c r="Q32" s="14" t="n">
        <x:v>1</x:v>
      </x:c>
      <x:c r="R32" s="14" t="n">
        <x:v>1</x:v>
      </x:c>
      <x:c r="S32" s="14" t="n">
        <x:v>0</x:v>
      </x:c>
      <x:c r="T32" s="14" t="n">
        <x:v>0</x:v>
      </x:c>
      <x:c r="U32" s="14" t="n">
        <x:v>1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46121</x:v>
      </x:c>
    </x:row>
    <x:row r="33">
      <x:c r="A33" s="14" t="n">
        <x:v>29</x:v>
      </x:c>
      <x:c r="B33" s="14" t="str">
        <x:v>273.pdf</x:v>
      </x:c>
      <x:c r="C33" s="15" t="n">
        <x:v>45181</x:v>
      </x:c>
      <x:c r="D33" s="15" t="n">
        <x:v>46146</x:v>
      </x:c>
      <x:c r="E33" s="15" t="n">
        <x:v>46121</x:v>
      </x:c>
      <x:c r="F33" s="15" t="n">
        <x:v>46121</x:v>
      </x:c>
      <x:c r="G33" s="16" t="str">
        <x:v>EBANK:WIB/1503 Dr EBANK:WIB/1503311707/Edfs ---------------------------------------------------------------------------------------------------------------------------------- Page Total: 37,68,920.97 27,70,249.58 86,29,812.72Dr ---------------------------------------------------------------------------------------------------------------------------------- Note: Cheques received in inward clearing will be considered for debiting/ returning on the basis opening balance in account Unless the const</x:v>
      </x:c>
      <x:c r="H33" s="14" t="str"/>
      <x:c r="I33" s="14" t="str">
        <x:v>Receipt</x:v>
      </x:c>
      <x:c r="J33" s="17" t="n">
        <x:v>0</x:v>
      </x:c>
      <x:c r="K33" s="17" t="n">
        <x:v>380118</x:v>
      </x:c>
      <x:c r="L33" s="17" t="n">
        <x:v>380118</x:v>
      </x:c>
      <x:c r="M33" s="17" t="n">
        <x:v>-8629812.72</x:v>
      </x:c>
      <x:c r="N33" s="14" t="str">
        <x:v>High Transaction; Recurring Transaction</x:v>
      </x:c>
      <x:c r="O33" s="14" t="str">
        <x:v>Yes</x:v>
      </x:c>
      <x:c r="P33" s="14" t="str">
        <x:v>EBANKWIB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1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46121</x:v>
      </x:c>
    </x:row>
    <x:row r="34">
      <x:c r="A34" s="14" t="n">
        <x:v>30</x:v>
      </x:c>
      <x:c r="B34" s="14" t="str">
        <x:v>273.pdf</x:v>
      </x:c>
      <x:c r="C34" s="15" t="n">
        <x:v>45181</x:v>
      </x:c>
      <x:c r="D34" s="15" t="n">
        <x:v>46146</x:v>
      </x:c>
      <x:c r="E34" s="15" t="n">
        <x:v>46122</x:v>
      </x:c>
      <x:c r="F34" s="15" t="n">
        <x:v>46122</x:v>
      </x:c>
      <x:c r="G34" s="16" t="str">
        <x:v>EBANK:WIB/1503 Dr EBANK:WIB/1503339201/Edfs</x:v>
      </x:c>
      <x:c r="H34" s="14" t="str"/>
      <x:c r="I34" s="14" t="str">
        <x:v>Receipt</x:v>
      </x:c>
      <x:c r="J34" s="17" t="n">
        <x:v>0</x:v>
      </x:c>
      <x:c r="K34" s="17" t="n">
        <x:v>432999</x:v>
      </x:c>
      <x:c r="L34" s="17" t="n">
        <x:v>432999</x:v>
      </x:c>
      <x:c r="M34" s="17" t="n">
        <x:v>-8196813.72</x:v>
      </x:c>
      <x:c r="N34" s="14" t="str">
        <x:v>High Transaction; Recurring Transaction</x:v>
      </x:c>
      <x:c r="O34" s="14" t="str">
        <x:v>Yes</x:v>
      </x:c>
      <x:c r="P34" s="14" t="str">
        <x:v>EBANKWIB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1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46122</x:v>
      </x:c>
    </x:row>
    <x:row r="35">
      <x:c r="A35" s="14" t="n">
        <x:v>31</x:v>
      </x:c>
      <x:c r="B35" s="14" t="str">
        <x:v>273.pdf</x:v>
      </x:c>
      <x:c r="C35" s="15" t="n">
        <x:v>45181</x:v>
      </x:c>
      <x:c r="D35" s="15" t="n">
        <x:v>46146</x:v>
      </x:c>
      <x:c r="E35" s="15" t="n">
        <x:v>46122</x:v>
      </x:c>
      <x:c r="F35" s="15" t="n">
        <x:v>46122</x:v>
      </x:c>
      <x:c r="G35" s="16" t="str">
        <x:v>0000-MUMBAI/IN Dr INT260326DEAL6244623</x:v>
      </x:c>
      <x:c r="H35" s="14" t="str"/>
      <x:c r="I35" s="14" t="str">
        <x:v>Payment</x:v>
      </x:c>
      <x:c r="J35" s="17" t="n">
        <x:v>1193.25</x:v>
      </x:c>
      <x:c r="K35" s="17" t="n">
        <x:v>0</x:v>
      </x:c>
      <x:c r="L35" s="17" t="n">
        <x:v>1193.25</x:v>
      </x:c>
      <x:c r="M35" s="17" t="n">
        <x:v>-8198006.97</x:v>
      </x:c>
      <x:c r="N35" s="14" t="str">
        <x:v>Recurring Transaction</x:v>
      </x:c>
      <x:c r="O35" s="14" t="str">
        <x:v>Yes</x:v>
      </x:c>
      <x:c r="P35" s="14" t="str">
        <x:v>IN DR INTDEAL</x:v>
      </x:c>
      <x:c r="Q35" s="14" t="n">
        <x:v>0</x:v>
      </x:c>
      <x:c r="R35" s="14" t="n">
        <x:v>1</x:v>
      </x:c>
      <x:c r="S35" s="14" t="n">
        <x:v>0</x:v>
      </x:c>
      <x:c r="T35" s="14" t="n">
        <x:v>0</x:v>
      </x:c>
      <x:c r="U35" s="14" t="n">
        <x:v>0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46122</x:v>
      </x:c>
    </x:row>
    <x:row r="36">
      <x:c r="A36" s="14" t="n">
        <x:v>32</x:v>
      </x:c>
      <x:c r="B36" s="14" t="str">
        <x:v>273.pdf</x:v>
      </x:c>
      <x:c r="C36" s="15" t="n">
        <x:v>45181</x:v>
      </x:c>
      <x:c r="D36" s="15" t="n">
        <x:v>46146</x:v>
      </x:c>
      <x:c r="E36" s="15" t="n">
        <x:v>46122</x:v>
      </x:c>
      <x:c r="F36" s="15" t="n">
        <x:v>46122</x:v>
      </x:c>
      <x:c r="G36" s="16" t="str">
        <x:v>RTGS-BARBR5202 Dr RTGS-BARBR52026041000833640-HINDUSTAN PETROLEUM CO</x:v>
      </x:c>
      <x:c r="H36" s="14" t="str"/>
      <x:c r="I36" s="14" t="str">
        <x:v>Payment</x:v>
      </x:c>
      <x:c r="J36" s="17" t="n">
        <x:v>1801993</x:v>
      </x:c>
      <x:c r="K36" s="17" t="n">
        <x:v>0</x:v>
      </x:c>
      <x:c r="L36" s="17" t="n">
        <x:v>1801993</x:v>
      </x:c>
      <x:c r="M36" s="17" t="n">
        <x:v>-9999999.97</x:v>
      </x:c>
      <x:c r="N36" s="14" t="str">
        <x:v>High Transaction; Recurring Transaction</x:v>
      </x:c>
      <x:c r="O36" s="14" t="str">
        <x:v>Yes</x:v>
      </x:c>
      <x:c r="P36" s="14" t="str">
        <x:v>BARBR DR RTGS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1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46122</x:v>
      </x:c>
    </x:row>
    <x:row r="37">
      <x:c r="A37" s="14" t="n">
        <x:v>33</x:v>
      </x:c>
      <x:c r="B37" s="14" t="str">
        <x:v>273.pdf</x:v>
      </x:c>
      <x:c r="C37" s="15" t="n">
        <x:v>45181</x:v>
      </x:c>
      <x:c r="D37" s="15" t="n">
        <x:v>46146</x:v>
      </x:c>
      <x:c r="E37" s="15" t="n">
        <x:v>46122</x:v>
      </x:c>
      <x:c r="F37" s="15" t="n">
        <x:v>46122</x:v>
      </x:c>
      <x:c r="G37" s="16" t="str">
        <x:v>EBANK:WIB/1503 Dr EBANK:WIB/1503385381/Edfs</x:v>
      </x:c>
      <x:c r="H37" s="14" t="str"/>
      <x:c r="I37" s="14" t="str">
        <x:v>Receipt</x:v>
      </x:c>
      <x:c r="J37" s="17" t="n">
        <x:v>0</x:v>
      </x:c>
      <x:c r="K37" s="17" t="n">
        <x:v>49686</x:v>
      </x:c>
      <x:c r="L37" s="17" t="n">
        <x:v>49686</x:v>
      </x:c>
      <x:c r="M37" s="17" t="n">
        <x:v>-9950313.97</x:v>
      </x:c>
      <x:c r="N37" s="14" t="str">
        <x:v>Recurring Transaction</x:v>
      </x:c>
      <x:c r="O37" s="14" t="str">
        <x:v>Yes</x:v>
      </x:c>
      <x:c r="P37" s="14" t="str">
        <x:v>EBANKWIB</x:v>
      </x:c>
      <x:c r="Q37" s="14" t="n">
        <x:v>0</x:v>
      </x:c>
      <x:c r="R37" s="14" t="n">
        <x:v>1</x:v>
      </x:c>
      <x:c r="S37" s="14" t="n">
        <x:v>0</x:v>
      </x:c>
      <x:c r="T37" s="14" t="n">
        <x:v>0</x:v>
      </x:c>
      <x:c r="U37" s="14" t="n">
        <x:v>0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46122</x:v>
      </x:c>
    </x:row>
    <x:row r="38">
      <x:c r="A38" s="14" t="n">
        <x:v>34</x:v>
      </x:c>
      <x:c r="B38" s="14" t="str">
        <x:v>273.pdf</x:v>
      </x:c>
      <x:c r="C38" s="15" t="n">
        <x:v>45181</x:v>
      </x:c>
      <x:c r="D38" s="15" t="n">
        <x:v>46146</x:v>
      </x:c>
      <x:c r="E38" s="15" t="n">
        <x:v>46122</x:v>
      </x:c>
      <x:c r="F38" s="15" t="n">
        <x:v>46122</x:v>
      </x:c>
      <x:c r="G38" s="16" t="str">
        <x:v>BY CASH Dr BY CASH</x:v>
      </x:c>
      <x:c r="H38" s="14" t="str"/>
      <x:c r="I38" s="14" t="str">
        <x:v>Receipt</x:v>
      </x:c>
      <x:c r="J38" s="17" t="n">
        <x:v>0</x:v>
      </x:c>
      <x:c r="K38" s="17" t="n">
        <x:v>171000</x:v>
      </x:c>
      <x:c r="L38" s="17" t="n">
        <x:v>171000</x:v>
      </x:c>
      <x:c r="M38" s="17" t="n">
        <x:v>-9779313.97</x:v>
      </x:c>
      <x:c r="N38" s="14" t="str">
        <x:v>Cash; High Transaction; Recurring Transaction</x:v>
      </x:c>
      <x:c r="O38" s="14" t="str">
        <x:v>Yes</x:v>
      </x:c>
      <x:c r="P38" s="14" t="str">
        <x:v>BY CASH DR BY CASH</x:v>
      </x:c>
      <x:c r="Q38" s="14" t="n">
        <x:v>1</x:v>
      </x:c>
      <x:c r="R38" s="14" t="n">
        <x:v>1</x:v>
      </x:c>
      <x:c r="S38" s="14" t="n">
        <x:v>0</x:v>
      </x:c>
      <x:c r="T38" s="14" t="n">
        <x:v>0</x:v>
      </x:c>
      <x:c r="U38" s="14" t="n">
        <x:v>1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46122</x:v>
      </x:c>
    </x:row>
    <x:row r="39">
      <x:c r="A39" s="14" t="n">
        <x:v>35</x:v>
      </x:c>
      <x:c r="B39" s="14" t="str">
        <x:v>273.pdf</x:v>
      </x:c>
      <x:c r="C39" s="15" t="n">
        <x:v>45181</x:v>
      </x:c>
      <x:c r="D39" s="15" t="n">
        <x:v>46146</x:v>
      </x:c>
      <x:c r="E39" s="15" t="n">
        <x:v>46122</x:v>
      </x:c>
      <x:c r="F39" s="15" t="n">
        <x:v>46122</x:v>
      </x:c>
      <x:c r="G39" s="16" t="str">
        <x:v>NEFT-BARBQ2610 Dr NEFT-BARBQ26100745025-HINDUSTAN PETROLEUM CORPORAT</x:v>
      </x:c>
      <x:c r="H39" s="14" t="str"/>
      <x:c r="I39" s="14" t="str">
        <x:v>Payment</x:v>
      </x:c>
      <x:c r="J39" s="17" t="n">
        <x:v>20471.76</x:v>
      </x:c>
      <x:c r="K39" s="17" t="n">
        <x:v>0</x:v>
      </x:c>
      <x:c r="L39" s="17" t="n">
        <x:v>20471.76</x:v>
      </x:c>
      <x:c r="M39" s="17" t="n">
        <x:v>-9799785.73</x:v>
      </x:c>
      <x:c r="N39" s="14" t="str">
        <x:v>Recurring Transaction</x:v>
      </x:c>
      <x:c r="O39" s="14" t="str">
        <x:v>Yes</x:v>
      </x:c>
      <x:c r="P39" s="14" t="str">
        <x:v>BARBQ DR NEFT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0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46122</x:v>
      </x:c>
    </x:row>
    <x:row r="40">
      <x:c r="A40" s="14" t="n">
        <x:v>36</x:v>
      </x:c>
      <x:c r="B40" s="14" t="str">
        <x:v>273.pdf</x:v>
      </x:c>
      <x:c r="C40" s="15" t="n">
        <x:v>45181</x:v>
      </x:c>
      <x:c r="D40" s="15" t="n">
        <x:v>46146</x:v>
      </x:c>
      <x:c r="E40" s="15" t="n">
        <x:v>46123</x:v>
      </x:c>
      <x:c r="F40" s="15" t="n">
        <x:v>46123</x:v>
      </x:c>
      <x:c r="G40" s="16" t="str">
        <x:v>0000-MUMBAI/IN Dr INT260327DEAL6258765</x:v>
      </x:c>
      <x:c r="H40" s="14" t="str"/>
      <x:c r="I40" s="14" t="str">
        <x:v>Payment</x:v>
      </x:c>
      <x:c r="J40" s="17" t="n">
        <x:v>7076.83</x:v>
      </x:c>
      <x:c r="K40" s="17" t="n">
        <x:v>0</x:v>
      </x:c>
      <x:c r="L40" s="17" t="n">
        <x:v>7076.83</x:v>
      </x:c>
      <x:c r="M40" s="17" t="n">
        <x:v>-9806862.56</x:v>
      </x:c>
      <x:c r="N40" s="14" t="str">
        <x:v>Recurring Transaction</x:v>
      </x:c>
      <x:c r="O40" s="14" t="str">
        <x:v>Yes</x:v>
      </x:c>
      <x:c r="P40" s="14" t="str">
        <x:v>IN DR INTDEAL</x:v>
      </x:c>
      <x:c r="Q40" s="14" t="n">
        <x:v>0</x:v>
      </x:c>
      <x:c r="R40" s="14" t="n">
        <x:v>1</x:v>
      </x:c>
      <x:c r="S40" s="14" t="n">
        <x:v>0</x:v>
      </x:c>
      <x:c r="T40" s="14" t="n">
        <x:v>0</x:v>
      </x:c>
      <x:c r="U40" s="14" t="n">
        <x:v>0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46123</x:v>
      </x:c>
    </x:row>
    <x:row r="41">
      <x:c r="A41" s="14" t="n">
        <x:v>37</x:v>
      </x:c>
      <x:c r="B41" s="14" t="str">
        <x:v>273.pdf</x:v>
      </x:c>
      <x:c r="C41" s="15" t="n">
        <x:v>45181</x:v>
      </x:c>
      <x:c r="D41" s="15" t="n">
        <x:v>46146</x:v>
      </x:c>
      <x:c r="E41" s="15" t="n">
        <x:v>46123</x:v>
      </x:c>
      <x:c r="F41" s="15" t="n">
        <x:v>46123</x:v>
      </x:c>
      <x:c r="G41" s="16" t="str">
        <x:v>0000-MUMBAI/IN Dr INT260327DEAL6258950</x:v>
      </x:c>
      <x:c r="H41" s="14" t="str"/>
      <x:c r="I41" s="14" t="str">
        <x:v>Payment</x:v>
      </x:c>
      <x:c r="J41" s="17" t="n">
        <x:v>350.17</x:v>
      </x:c>
      <x:c r="K41" s="17" t="n">
        <x:v>0</x:v>
      </x:c>
      <x:c r="L41" s="17" t="n">
        <x:v>350.17</x:v>
      </x:c>
      <x:c r="M41" s="17" t="n">
        <x:v>-9807212.73</x:v>
      </x:c>
      <x:c r="N41" s="14" t="str">
        <x:v>Recurring Transaction</x:v>
      </x:c>
      <x:c r="O41" s="14" t="str">
        <x:v>Yes</x:v>
      </x:c>
      <x:c r="P41" s="14" t="str">
        <x:v>IN DR INTDEAL</x:v>
      </x:c>
      <x:c r="Q41" s="14" t="n">
        <x:v>0</x:v>
      </x:c>
      <x:c r="R41" s="14" t="n">
        <x:v>1</x:v>
      </x:c>
      <x:c r="S41" s="14" t="n">
        <x:v>0</x:v>
      </x:c>
      <x:c r="T41" s="14" t="n">
        <x:v>0</x:v>
      </x:c>
      <x:c r="U41" s="14" t="n">
        <x:v>0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46123</x:v>
      </x:c>
    </x:row>
    <x:row r="42">
      <x:c r="A42" s="14" t="n">
        <x:v>38</x:v>
      </x:c>
      <x:c r="B42" s="14" t="str">
        <x:v>273.pdf</x:v>
      </x:c>
      <x:c r="C42" s="15" t="n">
        <x:v>45181</x:v>
      </x:c>
      <x:c r="D42" s="15" t="n">
        <x:v>46146</x:v>
      </x:c>
      <x:c r="E42" s="15" t="n">
        <x:v>46123</x:v>
      </x:c>
      <x:c r="F42" s="15" t="n">
        <x:v>46123</x:v>
      </x:c>
      <x:c r="G42" s="16" t="str">
        <x:v>EBANK:WIB/1503 Dr EBANK:WIB/1503559058/Edfs</x:v>
      </x:c>
      <x:c r="H42" s="14" t="str"/>
      <x:c r="I42" s="14" t="str">
        <x:v>Receipt</x:v>
      </x:c>
      <x:c r="J42" s="17" t="n">
        <x:v>0</x:v>
      </x:c>
      <x:c r="K42" s="17" t="n">
        <x:v>353767.15</x:v>
      </x:c>
      <x:c r="L42" s="17" t="n">
        <x:v>353767.15</x:v>
      </x:c>
      <x:c r="M42" s="17" t="n">
        <x:v>-9453445.58</x:v>
      </x:c>
      <x:c r="N42" s="14" t="str">
        <x:v>High Transaction; Recurring Transaction</x:v>
      </x:c>
      <x:c r="O42" s="14" t="str">
        <x:v>Yes</x:v>
      </x:c>
      <x:c r="P42" s="14" t="str">
        <x:v>EBANKWIB</x:v>
      </x:c>
      <x:c r="Q42" s="14" t="n">
        <x:v>0</x:v>
      </x:c>
      <x:c r="R42" s="14" t="n">
        <x:v>1</x:v>
      </x:c>
      <x:c r="S42" s="14" t="n">
        <x:v>0</x:v>
      </x:c>
      <x:c r="T42" s="14" t="n">
        <x:v>0</x:v>
      </x:c>
      <x:c r="U42" s="14" t="n">
        <x:v>1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46123</x:v>
      </x:c>
    </x:row>
    <x:row r="43">
      <x:c r="A43" s="14" t="n">
        <x:v>39</x:v>
      </x:c>
      <x:c r="B43" s="14" t="str">
        <x:v>273.pdf</x:v>
      </x:c>
      <x:c r="C43" s="15" t="n">
        <x:v>45181</x:v>
      </x:c>
      <x:c r="D43" s="15" t="n">
        <x:v>46146</x:v>
      </x:c>
      <x:c r="E43" s="15" t="n">
        <x:v>46124</x:v>
      </x:c>
      <x:c r="F43" s="15" t="n">
        <x:v>46124</x:v>
      </x:c>
      <x:c r="G43" s="16" t="str">
        <x:v>EBANK:WIB/1503 Dr EBANK:WIB/1503691094/Edfs</x:v>
      </x:c>
      <x:c r="H43" s="14" t="str"/>
      <x:c r="I43" s="14" t="str">
        <x:v>Receipt</x:v>
      </x:c>
      <x:c r="J43" s="17" t="n">
        <x:v>0</x:v>
      </x:c>
      <x:c r="K43" s="17" t="n">
        <x:v>521281.39</x:v>
      </x:c>
      <x:c r="L43" s="17" t="n">
        <x:v>521281.39</x:v>
      </x:c>
      <x:c r="M43" s="17" t="n">
        <x:v>-8932164.19</x:v>
      </x:c>
      <x:c r="N43" s="14" t="str">
        <x:v>High Transaction; Recurring Transaction</x:v>
      </x:c>
      <x:c r="O43" s="14" t="str">
        <x:v>Yes</x:v>
      </x:c>
      <x:c r="P43" s="14" t="str">
        <x:v>EBANKWIB</x:v>
      </x:c>
      <x:c r="Q43" s="14" t="n">
        <x:v>0</x:v>
      </x:c>
      <x:c r="R43" s="14" t="n">
        <x:v>1</x:v>
      </x:c>
      <x:c r="S43" s="14" t="n">
        <x:v>0</x:v>
      </x:c>
      <x:c r="T43" s="14" t="n">
        <x:v>0</x:v>
      </x:c>
      <x:c r="U43" s="14" t="n">
        <x:v>1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46124</x:v>
      </x:c>
    </x:row>
    <x:row r="44">
      <x:c r="A44" s="14" t="n">
        <x:v>40</x:v>
      </x:c>
      <x:c r="B44" s="14" t="str">
        <x:v>273.pdf</x:v>
      </x:c>
      <x:c r="C44" s="15" t="n">
        <x:v>45181</x:v>
      </x:c>
      <x:c r="D44" s="15" t="n">
        <x:v>46146</x:v>
      </x:c>
      <x:c r="E44" s="15" t="n">
        <x:v>46125</x:v>
      </x:c>
      <x:c r="F44" s="15" t="n">
        <x:v>46125</x:v>
      </x:c>
      <x:c r="G44" s="16" t="str">
        <x:v>0000-MUMBAI/IN Dr INT260327DEAL6258765</x:v>
      </x:c>
      <x:c r="H44" s="14" t="str"/>
      <x:c r="I44" s="14" t="str">
        <x:v>Payment</x:v>
      </x:c>
      <x:c r="J44" s="17" t="n">
        <x:v>305.5</x:v>
      </x:c>
      <x:c r="K44" s="17" t="n">
        <x:v>0</x:v>
      </x:c>
      <x:c r="L44" s="17" t="n">
        <x:v>305.5</x:v>
      </x:c>
      <x:c r="M44" s="17" t="n">
        <x:v>-8932469.69</x:v>
      </x:c>
      <x:c r="N44" s="14" t="str">
        <x:v>Recurring Transaction</x:v>
      </x:c>
      <x:c r="O44" s="14" t="str">
        <x:v>Yes</x:v>
      </x:c>
      <x:c r="P44" s="14" t="str">
        <x:v>IN DR INTDEAL</x:v>
      </x:c>
      <x:c r="Q44" s="14" t="n">
        <x:v>0</x:v>
      </x:c>
      <x:c r="R44" s="14" t="n">
        <x:v>1</x:v>
      </x:c>
      <x:c r="S44" s="14" t="n">
        <x:v>0</x:v>
      </x:c>
      <x:c r="T44" s="14" t="n">
        <x:v>0</x:v>
      </x:c>
      <x:c r="U44" s="14" t="n">
        <x:v>0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46125</x:v>
      </x:c>
    </x:row>
    <x:row r="45">
      <x:c r="A45" s="14" t="n">
        <x:v>41</x:v>
      </x:c>
      <x:c r="B45" s="14" t="str">
        <x:v>273.pdf</x:v>
      </x:c>
      <x:c r="C45" s="15" t="n">
        <x:v>45181</x:v>
      </x:c>
      <x:c r="D45" s="15" t="n">
        <x:v>46146</x:v>
      </x:c>
      <x:c r="E45" s="15" t="n">
        <x:v>46125</x:v>
      </x:c>
      <x:c r="F45" s="15" t="n">
        <x:v>46125</x:v>
      </x:c>
      <x:c r="G45" s="16" t="str">
        <x:v>VIRARW-THANE/B Dr https://cbdrpt101.bankofbaroda.co.in:22000/finbranch/arjspmorph/INFENG/tran_rpt.jsp?... 04-05-2026 BY CASH</x:v>
      </x:c>
      <x:c r="H45" s="14" t="str"/>
      <x:c r="I45" s="14" t="str">
        <x:v>Receipt</x:v>
      </x:c>
      <x:c r="J45" s="17" t="n">
        <x:v>0</x:v>
      </x:c>
      <x:c r="K45" s="17" t="n">
        <x:v>439000</x:v>
      </x:c>
      <x:c r="L45" s="17" t="n">
        <x:v>439000</x:v>
      </x:c>
      <x:c r="M45" s="17" t="n">
        <x:v>-8493469.69</x:v>
      </x:c>
      <x:c r="N45" s="14" t="str">
        <x:v>Cash; High Transaction</x:v>
      </x:c>
      <x:c r="O45" s="14" t="str">
        <x:v>No</x:v>
      </x:c>
      <x:c r="P45" s="14" t="str">
        <x:v>B DR HTTPS</x:v>
      </x:c>
      <x:c r="Q45" s="14" t="n">
        <x:v>1</x:v>
      </x:c>
      <x:c r="R45" s="14" t="n">
        <x:v>0</x:v>
      </x:c>
      <x:c r="S45" s="14" t="n">
        <x:v>0</x:v>
      </x:c>
      <x:c r="T45" s="14" t="n">
        <x:v>0</x:v>
      </x:c>
      <x:c r="U45" s="14" t="n">
        <x:v>1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46125</x:v>
      </x:c>
    </x:row>
    <x:row r="46">
      <x:c r="A46" s="14" t="n">
        <x:v>42</x:v>
      </x:c>
      <x:c r="B46" s="14" t="str">
        <x:v>273.pdf</x:v>
      </x:c>
      <x:c r="C46" s="15" t="n">
        <x:v>45181</x:v>
      </x:c>
      <x:c r="D46" s="15" t="n">
        <x:v>46146</x:v>
      </x:c>
      <x:c r="E46" s="15" t="n">
        <x:v>46125</x:v>
      </x:c>
      <x:c r="F46" s="15" t="n">
        <x:v>46125</x:v>
      </x:c>
      <x:c r="G46" s="16" t="str">
        <x:v>DIGITA-MUMBAI/ Dr INT260327DEAL6258765</x:v>
      </x:c>
      <x:c r="H46" s="14" t="str"/>
      <x:c r="I46" s="14" t="str">
        <x:v>Payment</x:v>
      </x:c>
      <x:c r="J46" s="17" t="n">
        <x:v>182.75</x:v>
      </x:c>
      <x:c r="K46" s="17" t="n">
        <x:v>0</x:v>
      </x:c>
      <x:c r="L46" s="17" t="n">
        <x:v>182.75</x:v>
      </x:c>
      <x:c r="M46" s="17" t="n">
        <x:v>-8493652.44</x:v>
      </x:c>
      <x:c r="N46" s="14" t="str">
        <x:v>Recurring Transaction</x:v>
      </x:c>
      <x:c r="O46" s="14" t="str">
        <x:v>Yes</x:v>
      </x:c>
      <x:c r="P46" s="14" t="str">
        <x:v>DR INTDEAL</x:v>
      </x:c>
      <x:c r="Q46" s="14" t="n">
        <x:v>0</x:v>
      </x:c>
      <x:c r="R46" s="14" t="n">
        <x:v>1</x:v>
      </x:c>
      <x:c r="S46" s="14" t="n">
        <x:v>0</x:v>
      </x:c>
      <x:c r="T46" s="14" t="n">
        <x:v>0</x:v>
      </x:c>
      <x:c r="U46" s="14" t="n">
        <x:v>0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46125</x:v>
      </x:c>
    </x:row>
    <x:row r="47">
      <x:c r="A47" s="14" t="n">
        <x:v>43</x:v>
      </x:c>
      <x:c r="B47" s="14" t="str">
        <x:v>273.pdf</x:v>
      </x:c>
      <x:c r="C47" s="15" t="n">
        <x:v>45181</x:v>
      </x:c>
      <x:c r="D47" s="15" t="n">
        <x:v>46146</x:v>
      </x:c>
      <x:c r="E47" s="15" t="n">
        <x:v>46125</x:v>
      </x:c>
      <x:c r="F47" s="15" t="n">
        <x:v>46125</x:v>
      </x:c>
      <x:c r="G47" s="16" t="str">
        <x:v>EBANK:WIB/1503 Dr EBANK:WIB/1503777187/Edfs</x:v>
      </x:c>
      <x:c r="H47" s="14" t="str"/>
      <x:c r="I47" s="14" t="str">
        <x:v>Receipt</x:v>
      </x:c>
      <x:c r="J47" s="17" t="n">
        <x:v>0</x:v>
      </x:c>
      <x:c r="K47" s="17" t="n">
        <x:v>610444.28</x:v>
      </x:c>
      <x:c r="L47" s="17" t="n">
        <x:v>610444.28</x:v>
      </x:c>
      <x:c r="M47" s="17" t="n">
        <x:v>-7883208.16</x:v>
      </x:c>
      <x:c r="N47" s="14" t="str">
        <x:v>High Transaction; Recurring Transaction</x:v>
      </x:c>
      <x:c r="O47" s="14" t="str">
        <x:v>Yes</x:v>
      </x:c>
      <x:c r="P47" s="14" t="str">
        <x:v>EBANKWIB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1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46125</x:v>
      </x:c>
    </x:row>
    <x:row r="48">
      <x:c r="A48" s="14" t="n">
        <x:v>44</x:v>
      </x:c>
      <x:c r="B48" s="14" t="str">
        <x:v>273.pdf</x:v>
      </x:c>
      <x:c r="C48" s="15" t="n">
        <x:v>45181</x:v>
      </x:c>
      <x:c r="D48" s="15" t="n">
        <x:v>46146</x:v>
      </x:c>
      <x:c r="E48" s="15" t="n">
        <x:v>46125</x:v>
      </x:c>
      <x:c r="F48" s="15" t="n">
        <x:v>46125</x:v>
      </x:c>
      <x:c r="G48" s="16" t="str">
        <x:v>DIGITA-MUMBAI/ Dr INT260327DEAL6258950</x:v>
      </x:c>
      <x:c r="H48" s="14" t="str"/>
      <x:c r="I48" s="14" t="str">
        <x:v>Payment</x:v>
      </x:c>
      <x:c r="J48" s="17" t="n">
        <x:v>46.82</x:v>
      </x:c>
      <x:c r="K48" s="17" t="n">
        <x:v>0</x:v>
      </x:c>
      <x:c r="L48" s="17" t="n">
        <x:v>46.82</x:v>
      </x:c>
      <x:c r="M48" s="17" t="n">
        <x:v>-7883254.98</x:v>
      </x:c>
      <x:c r="N48" s="14" t="str">
        <x:v>Recurring Transaction</x:v>
      </x:c>
      <x:c r="O48" s="14" t="str">
        <x:v>Yes</x:v>
      </x:c>
      <x:c r="P48" s="14" t="str">
        <x:v>DR INTDEAL</x:v>
      </x:c>
      <x:c r="Q48" s="14" t="n">
        <x:v>0</x:v>
      </x:c>
      <x:c r="R48" s="14" t="n">
        <x:v>1</x:v>
      </x:c>
      <x:c r="S48" s="14" t="n">
        <x:v>0</x:v>
      </x:c>
      <x:c r="T48" s="14" t="n">
        <x:v>0</x:v>
      </x:c>
      <x:c r="U48" s="14" t="n">
        <x:v>0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46125</x:v>
      </x:c>
    </x:row>
    <x:row r="49">
      <x:c r="A49" s="14" t="n">
        <x:v>45</x:v>
      </x:c>
      <x:c r="B49" s="14" t="str">
        <x:v>273.pdf</x:v>
      </x:c>
      <x:c r="C49" s="15" t="n">
        <x:v>45181</x:v>
      </x:c>
      <x:c r="D49" s="15" t="n">
        <x:v>46146</x:v>
      </x:c>
      <x:c r="E49" s="15" t="n">
        <x:v>46125</x:v>
      </x:c>
      <x:c r="F49" s="15" t="n">
        <x:v>46125</x:v>
      </x:c>
      <x:c r="G49" s="16" t="str">
        <x:v>BY CASH Dr BY CASH</x:v>
      </x:c>
      <x:c r="H49" s="14" t="str"/>
      <x:c r="I49" s="14" t="str">
        <x:v>Receipt</x:v>
      </x:c>
      <x:c r="J49" s="17" t="n">
        <x:v>0</x:v>
      </x:c>
      <x:c r="K49" s="17" t="n">
        <x:v>78500</x:v>
      </x:c>
      <x:c r="L49" s="17" t="n">
        <x:v>78500</x:v>
      </x:c>
      <x:c r="M49" s="17" t="n">
        <x:v>-7804754.98</x:v>
      </x:c>
      <x:c r="N49" s="14" t="str">
        <x:v>Cash; Recurring Transaction</x:v>
      </x:c>
      <x:c r="O49" s="14" t="str">
        <x:v>Yes</x:v>
      </x:c>
      <x:c r="P49" s="14" t="str">
        <x:v>BY CASH DR BY CASH</x:v>
      </x:c>
      <x:c r="Q49" s="14" t="n">
        <x:v>1</x:v>
      </x:c>
      <x:c r="R49" s="14" t="n">
        <x:v>1</x:v>
      </x:c>
      <x:c r="S49" s="14" t="n">
        <x:v>0</x:v>
      </x:c>
      <x:c r="T49" s="14" t="n">
        <x:v>0</x:v>
      </x:c>
      <x:c r="U49" s="14" t="n">
        <x:v>0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46125</x:v>
      </x:c>
    </x:row>
    <x:row r="50">
      <x:c r="A50" s="14" t="n">
        <x:v>46</x:v>
      </x:c>
      <x:c r="B50" s="14" t="str">
        <x:v>273.pdf</x:v>
      </x:c>
      <x:c r="C50" s="15" t="n">
        <x:v>45181</x:v>
      </x:c>
      <x:c r="D50" s="15" t="n">
        <x:v>46146</x:v>
      </x:c>
      <x:c r="E50" s="15" t="n">
        <x:v>46125</x:v>
      </x:c>
      <x:c r="F50" s="15" t="n">
        <x:v>46125</x:v>
      </x:c>
      <x:c r="G50" s="16" t="str">
        <x:v>EBANK:WIB/1503 Dr ---------------------------------------------------------------------------------------------------------------------------------- Page Total: 18,31,620.08 27,64,671.60 76,96,761.20Dr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</x:v>
      </x:c>
      <x:c r="H50" s="14" t="str"/>
      <x:c r="I50" s="14" t="str">
        <x:v>Receipt</x:v>
      </x:c>
      <x:c r="J50" s="17" t="n">
        <x:v>0</x:v>
      </x:c>
      <x:c r="K50" s="17" t="n">
        <x:v>107993.78</x:v>
      </x:c>
      <x:c r="L50" s="17" t="n">
        <x:v>107993.78</x:v>
      </x:c>
      <x:c r="M50" s="17" t="n">
        <x:v>-7696761.2</x:v>
      </x:c>
      <x:c r="N50" s="14" t="str">
        <x:v>High Transaction; Recurring Transaction</x:v>
      </x:c>
      <x:c r="O50" s="14" t="str">
        <x:v>Yes</x:v>
      </x:c>
      <x:c r="P50" s="14" t="str">
        <x:v>EBANKWIB</x:v>
      </x:c>
      <x:c r="Q50" s="14" t="n">
        <x:v>0</x:v>
      </x:c>
      <x:c r="R50" s="14" t="n">
        <x:v>1</x:v>
      </x:c>
      <x:c r="S50" s="14" t="n">
        <x:v>0</x:v>
      </x:c>
      <x:c r="T50" s="14" t="n">
        <x:v>0</x:v>
      </x:c>
      <x:c r="U50" s="14" t="n">
        <x:v>1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46125</x:v>
      </x:c>
    </x:row>
    <x:row r="51">
      <x:c r="A51" s="14" t="n">
        <x:v>47</x:v>
      </x:c>
      <x:c r="B51" s="14" t="str">
        <x:v>273.pdf</x:v>
      </x:c>
      <x:c r="C51" s="15" t="n">
        <x:v>45181</x:v>
      </x:c>
      <x:c r="D51" s="15" t="n">
        <x:v>46146</x:v>
      </x:c>
      <x:c r="E51" s="15" t="n">
        <x:v>46125</x:v>
      </x:c>
      <x:c r="F51" s="15" t="n">
        <x:v>46125</x:v>
      </x:c>
      <x:c r="G51" s="16" t="str">
        <x:v>RTGS-BARBR5202 Dr RTGS-BARBR52026041300983458-HINDUSTAN PETROLEUM CO</x:v>
      </x:c>
      <x:c r="H51" s="14" t="str"/>
      <x:c r="I51" s="14" t="str">
        <x:v>Payment</x:v>
      </x:c>
      <x:c r="J51" s="17" t="n">
        <x:v>1962976.51</x:v>
      </x:c>
      <x:c r="K51" s="17" t="n">
        <x:v>0</x:v>
      </x:c>
      <x:c r="L51" s="17" t="n">
        <x:v>1962976.51</x:v>
      </x:c>
      <x:c r="M51" s="17" t="n">
        <x:v>-9659737.71</x:v>
      </x:c>
      <x:c r="N51" s="14" t="str">
        <x:v>High Transaction; Recurring Transaction</x:v>
      </x:c>
      <x:c r="O51" s="14" t="str">
        <x:v>Yes</x:v>
      </x:c>
      <x:c r="P51" s="14" t="str">
        <x:v>BARBR DR RTGS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1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46125</x:v>
      </x:c>
    </x:row>
    <x:row r="52">
      <x:c r="A52" s="14" t="n">
        <x:v>48</x:v>
      </x:c>
      <x:c r="B52" s="14" t="str">
        <x:v>273.pdf</x:v>
      </x:c>
      <x:c r="C52" s="15" t="n">
        <x:v>45181</x:v>
      </x:c>
      <x:c r="D52" s="15" t="n">
        <x:v>46146</x:v>
      </x:c>
      <x:c r="E52" s="15" t="n">
        <x:v>46126</x:v>
      </x:c>
      <x:c r="F52" s="15" t="n">
        <x:v>46126</x:v>
      </x:c>
      <x:c r="G52" s="16" t="str">
        <x:v>0000-MUMBAI/IN Dr INT260330DEAL6270027</x:v>
      </x:c>
      <x:c r="H52" s="14" t="str"/>
      <x:c r="I52" s="14" t="str">
        <x:v>Payment</x:v>
      </x:c>
      <x:c r="J52" s="17" t="n">
        <x:v>7127.18</x:v>
      </x:c>
      <x:c r="K52" s="17" t="n">
        <x:v>0</x:v>
      </x:c>
      <x:c r="L52" s="17" t="n">
        <x:v>7127.18</x:v>
      </x:c>
      <x:c r="M52" s="17" t="n">
        <x:v>-9666864.89</x:v>
      </x:c>
      <x:c r="N52" s="14" t="str">
        <x:v>Recurring Transaction</x:v>
      </x:c>
      <x:c r="O52" s="14" t="str">
        <x:v>Yes</x:v>
      </x:c>
      <x:c r="P52" s="14" t="str">
        <x:v>IN DR INTDEAL</x:v>
      </x:c>
      <x:c r="Q52" s="14" t="n">
        <x:v>0</x:v>
      </x:c>
      <x:c r="R52" s="14" t="n">
        <x:v>1</x:v>
      </x:c>
      <x:c r="S52" s="14" t="n">
        <x:v>0</x:v>
      </x:c>
      <x:c r="T52" s="14" t="n">
        <x:v>0</x:v>
      </x:c>
      <x:c r="U52" s="14" t="n">
        <x:v>0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46126</x:v>
      </x:c>
    </x:row>
    <x:row r="53">
      <x:c r="A53" s="14" t="n">
        <x:v>49</x:v>
      </x:c>
      <x:c r="B53" s="14" t="str">
        <x:v>273.pdf</x:v>
      </x:c>
      <x:c r="C53" s="15" t="n">
        <x:v>45181</x:v>
      </x:c>
      <x:c r="D53" s="15" t="n">
        <x:v>46146</x:v>
      </x:c>
      <x:c r="E53" s="15" t="n">
        <x:v>46126</x:v>
      </x:c>
      <x:c r="F53" s="15" t="n">
        <x:v>46126</x:v>
      </x:c>
      <x:c r="G53" s="16" t="str">
        <x:v>EBANK:WIB/1503 Dr EBANK:WIB/1503879023/Edfs</x:v>
      </x:c>
      <x:c r="H53" s="14" t="str"/>
      <x:c r="I53" s="14" t="str">
        <x:v>Receipt</x:v>
      </x:c>
      <x:c r="J53" s="17" t="n">
        <x:v>0</x:v>
      </x:c>
      <x:c r="K53" s="17" t="n">
        <x:v>421121.65</x:v>
      </x:c>
      <x:c r="L53" s="17" t="n">
        <x:v>421121.65</x:v>
      </x:c>
      <x:c r="M53" s="17" t="n">
        <x:v>-9245743.24</x:v>
      </x:c>
      <x:c r="N53" s="14" t="str">
        <x:v>High Transaction; Recurring Transaction</x:v>
      </x:c>
      <x:c r="O53" s="14" t="str">
        <x:v>Yes</x:v>
      </x:c>
      <x:c r="P53" s="14" t="str">
        <x:v>EBANKWIB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46126</x:v>
      </x:c>
    </x:row>
    <x:row r="54">
      <x:c r="A54" s="14" t="n">
        <x:v>50</x:v>
      </x:c>
      <x:c r="B54" s="14" t="str">
        <x:v>273.pdf</x:v>
      </x:c>
      <x:c r="C54" s="15" t="n">
        <x:v>45181</x:v>
      </x:c>
      <x:c r="D54" s="15" t="n">
        <x:v>46146</x:v>
      </x:c>
      <x:c r="E54" s="15" t="n">
        <x:v>46126</x:v>
      </x:c>
      <x:c r="F54" s="15" t="n">
        <x:v>46126</x:v>
      </x:c>
      <x:c r="G54" s="16" t="str">
        <x:v>EBANK:WIB/1504 Dr EBANK:WIB/1504010401/Edfs</x:v>
      </x:c>
      <x:c r="H54" s="14" t="str"/>
      <x:c r="I54" s="14" t="str">
        <x:v>Receipt</x:v>
      </x:c>
      <x:c r="J54" s="17" t="n">
        <x:v>0</x:v>
      </x:c>
      <x:c r="K54" s="17" t="n">
        <x:v>240000</x:v>
      </x:c>
      <x:c r="L54" s="17" t="n">
        <x:v>240000</x:v>
      </x:c>
      <x:c r="M54" s="17" t="n">
        <x:v>-9005743.24</x:v>
      </x:c>
      <x:c r="N54" s="14" t="str">
        <x:v>High Transaction; Recurring Transaction</x:v>
      </x:c>
      <x:c r="O54" s="14" t="str">
        <x:v>Yes</x:v>
      </x:c>
      <x:c r="P54" s="14" t="str">
        <x:v>EBANKWIB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1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46126</x:v>
      </x:c>
    </x:row>
    <x:row r="55">
      <x:c r="A55" s="14" t="n">
        <x:v>51</x:v>
      </x:c>
      <x:c r="B55" s="14" t="str">
        <x:v>273.pdf</x:v>
      </x:c>
      <x:c r="C55" s="15" t="n">
        <x:v>45181</x:v>
      </x:c>
      <x:c r="D55" s="15" t="n">
        <x:v>46146</x:v>
      </x:c>
      <x:c r="E55" s="15" t="n">
        <x:v>46127</x:v>
      </x:c>
      <x:c r="F55" s="15" t="n">
        <x:v>46127</x:v>
      </x:c>
      <x:c r="G55" s="16" t="str">
        <x:v>0000-MUMBAI/IN Dr INT260331DEAL6279575</x:v>
      </x:c>
      <x:c r="H55" s="14" t="str"/>
      <x:c r="I55" s="14" t="str">
        <x:v>Payment</x:v>
      </x:c>
      <x:c r="J55" s="17" t="n">
        <x:v>1795.79</x:v>
      </x:c>
      <x:c r="K55" s="17" t="n">
        <x:v>0</x:v>
      </x:c>
      <x:c r="L55" s="17" t="n">
        <x:v>1795.79</x:v>
      </x:c>
      <x:c r="M55" s="17" t="n">
        <x:v>-9007539.03</x:v>
      </x:c>
      <x:c r="N55" s="14" t="str">
        <x:v>Recurring Transaction</x:v>
      </x:c>
      <x:c r="O55" s="14" t="str">
        <x:v>Yes</x:v>
      </x:c>
      <x:c r="P55" s="14" t="str">
        <x:v>IN DR INTDEAL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46127</x:v>
      </x:c>
    </x:row>
    <x:row r="56">
      <x:c r="A56" s="14" t="n">
        <x:v>52</x:v>
      </x:c>
      <x:c r="B56" s="14" t="str">
        <x:v>273.pdf</x:v>
      </x:c>
      <x:c r="C56" s="15" t="n">
        <x:v>45181</x:v>
      </x:c>
      <x:c r="D56" s="15" t="n">
        <x:v>46146</x:v>
      </x:c>
      <x:c r="E56" s="15" t="n">
        <x:v>46127</x:v>
      </x:c>
      <x:c r="F56" s="15" t="n">
        <x:v>46127</x:v>
      </x:c>
      <x:c r="G56" s="16" t="str">
        <x:v>EBANK:WIB/1504 Dr EBANK:WIB/1504019959/Edfs</x:v>
      </x:c>
      <x:c r="H56" s="14" t="str"/>
      <x:c r="I56" s="14" t="str">
        <x:v>Receipt</x:v>
      </x:c>
      <x:c r="J56" s="17" t="n">
        <x:v>0</x:v>
      </x:c>
      <x:c r="K56" s="17" t="n">
        <x:v>401141.57</x:v>
      </x:c>
      <x:c r="L56" s="17" t="n">
        <x:v>401141.57</x:v>
      </x:c>
      <x:c r="M56" s="17" t="n">
        <x:v>-8606397.46</x:v>
      </x:c>
      <x:c r="N56" s="14" t="str">
        <x:v>High Transaction; Recurring Transaction</x:v>
      </x:c>
      <x:c r="O56" s="14" t="str">
        <x:v>Yes</x:v>
      </x:c>
      <x:c r="P56" s="14" t="str">
        <x:v>EBANKWIB</x:v>
      </x:c>
      <x:c r="Q56" s="14" t="n">
        <x:v>0</x:v>
      </x:c>
      <x:c r="R56" s="14" t="n">
        <x:v>1</x:v>
      </x:c>
      <x:c r="S56" s="14" t="n">
        <x:v>0</x:v>
      </x:c>
      <x:c r="T56" s="14" t="n">
        <x:v>0</x:v>
      </x:c>
      <x:c r="U56" s="14" t="n">
        <x:v>1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46127</x:v>
      </x:c>
    </x:row>
    <x:row r="57">
      <x:c r="A57" s="14" t="n">
        <x:v>53</x:v>
      </x:c>
      <x:c r="B57" s="14" t="str">
        <x:v>273.pdf</x:v>
      </x:c>
      <x:c r="C57" s="15" t="n">
        <x:v>45181</x:v>
      </x:c>
      <x:c r="D57" s="15" t="n">
        <x:v>46146</x:v>
      </x:c>
      <x:c r="E57" s="15" t="n">
        <x:v>46127</x:v>
      </x:c>
      <x:c r="F57" s="15" t="n">
        <x:v>46127</x:v>
      </x:c>
      <x:c r="G57" s="16" t="str">
        <x:v>BANTWA-BANTWAL Dr INT260330DEAL6270027</x:v>
      </x:c>
      <x:c r="H57" s="14" t="str"/>
      <x:c r="I57" s="14" t="str">
        <x:v>Payment</x:v>
      </x:c>
      <x:c r="J57" s="17" t="n">
        <x:v>241.53</x:v>
      </x:c>
      <x:c r="K57" s="17" t="n">
        <x:v>0</x:v>
      </x:c>
      <x:c r="L57" s="17" t="n">
        <x:v>241.53</x:v>
      </x:c>
      <x:c r="M57" s="17" t="n">
        <x:v>-8606638.99</x:v>
      </x:c>
      <x:c r="N57" s="14" t="str">
        <x:v>Other</x:v>
      </x:c>
      <x:c r="O57" s="14" t="str">
        <x:v>No</x:v>
      </x:c>
      <x:c r="P57" s="14" t="str">
        <x:v>BANTWAL DR INTDEAL</x:v>
      </x:c>
      <x:c r="Q57" s="14" t="n">
        <x:v>0</x:v>
      </x:c>
      <x:c r="R57" s="14" t="n">
        <x:v>0</x:v>
      </x:c>
      <x:c r="S57" s="14" t="n">
        <x:v>0</x:v>
      </x:c>
      <x:c r="T57" s="14" t="n">
        <x:v>0</x:v>
      </x:c>
      <x:c r="U57" s="14" t="n">
        <x:v>0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46127</x:v>
      </x:c>
    </x:row>
    <x:row r="58">
      <x:c r="A58" s="14" t="n">
        <x:v>54</x:v>
      </x:c>
      <x:c r="B58" s="14" t="str">
        <x:v>273.pdf</x:v>
      </x:c>
      <x:c r="C58" s="15" t="n">
        <x:v>45181</x:v>
      </x:c>
      <x:c r="D58" s="15" t="n">
        <x:v>46146</x:v>
      </x:c>
      <x:c r="E58" s="15" t="n">
        <x:v>46127</x:v>
      </x:c>
      <x:c r="F58" s="15" t="n">
        <x:v>46127</x:v>
      </x:c>
      <x:c r="G58" s="16" t="str">
        <x:v>EBANK:WIB/1504 Dr EBANK:WIB/1504096201/Edfs</x:v>
      </x:c>
      <x:c r="H58" s="14" t="str"/>
      <x:c r="I58" s="14" t="str">
        <x:v>Receipt</x:v>
      </x:c>
      <x:c r="J58" s="17" t="n">
        <x:v>0</x:v>
      </x:c>
      <x:c r="K58" s="17" t="n">
        <x:v>125424</x:v>
      </x:c>
      <x:c r="L58" s="17" t="n">
        <x:v>125424</x:v>
      </x:c>
      <x:c r="M58" s="17" t="n">
        <x:v>-8481214.99</x:v>
      </x:c>
      <x:c r="N58" s="14" t="str">
        <x:v>High Transaction; Recurring Transaction</x:v>
      </x:c>
      <x:c r="O58" s="14" t="str">
        <x:v>Yes</x:v>
      </x:c>
      <x:c r="P58" s="14" t="str">
        <x:v>EBANKWIB</x:v>
      </x:c>
      <x:c r="Q58" s="14" t="n">
        <x:v>0</x:v>
      </x:c>
      <x:c r="R58" s="14" t="n">
        <x:v>1</x:v>
      </x:c>
      <x:c r="S58" s="14" t="n">
        <x:v>0</x:v>
      </x:c>
      <x:c r="T58" s="14" t="n">
        <x:v>0</x:v>
      </x:c>
      <x:c r="U58" s="14" t="n">
        <x:v>1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46127</x:v>
      </x:c>
    </x:row>
    <x:row r="59">
      <x:c r="A59" s="14" t="n">
        <x:v>55</x:v>
      </x:c>
      <x:c r="B59" s="14" t="str">
        <x:v>273.pdf</x:v>
      </x:c>
      <x:c r="C59" s="15" t="n">
        <x:v>45181</x:v>
      </x:c>
      <x:c r="D59" s="15" t="n">
        <x:v>46146</x:v>
      </x:c>
      <x:c r="E59" s="15" t="n">
        <x:v>46127</x:v>
      </x:c>
      <x:c r="F59" s="15" t="n">
        <x:v>46127</x:v>
      </x:c>
      <x:c r="G59" s="16" t="str">
        <x:v>BY CASH Dr BY CASH</x:v>
      </x:c>
      <x:c r="H59" s="14" t="str"/>
      <x:c r="I59" s="14" t="str">
        <x:v>Receipt</x:v>
      </x:c>
      <x:c r="J59" s="17" t="n">
        <x:v>0</x:v>
      </x:c>
      <x:c r="K59" s="17" t="n">
        <x:v>371000</x:v>
      </x:c>
      <x:c r="L59" s="17" t="n">
        <x:v>371000</x:v>
      </x:c>
      <x:c r="M59" s="17" t="n">
        <x:v>-8110214.99</x:v>
      </x:c>
      <x:c r="N59" s="14" t="str">
        <x:v>Cash; High Transaction; Recurring Transaction</x:v>
      </x:c>
      <x:c r="O59" s="14" t="str">
        <x:v>Yes</x:v>
      </x:c>
      <x:c r="P59" s="14" t="str">
        <x:v>BY CASH DR BY CASH</x:v>
      </x:c>
      <x:c r="Q59" s="14" t="n">
        <x:v>1</x:v>
      </x:c>
      <x:c r="R59" s="14" t="n">
        <x:v>1</x:v>
      </x:c>
      <x:c r="S59" s="14" t="n">
        <x:v>0</x:v>
      </x:c>
      <x:c r="T59" s="14" t="n">
        <x:v>0</x:v>
      </x:c>
      <x:c r="U59" s="14" t="n">
        <x:v>1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46127</x:v>
      </x:c>
    </x:row>
    <x:row r="60">
      <x:c r="A60" s="14" t="n">
        <x:v>56</x:v>
      </x:c>
      <x:c r="B60" s="14" t="str">
        <x:v>273.pdf</x:v>
      </x:c>
      <x:c r="C60" s="15" t="n">
        <x:v>45181</x:v>
      </x:c>
      <x:c r="D60" s="15" t="n">
        <x:v>46146</x:v>
      </x:c>
      <x:c r="E60" s="15" t="n">
        <x:v>46127</x:v>
      </x:c>
      <x:c r="F60" s="15" t="n">
        <x:v>46127</x:v>
      </x:c>
      <x:c r="G60" s="16" t="str">
        <x:v>EBANK:WIB/1504 Dr EBANK:WIB/1504156827/Edfs</x:v>
      </x:c>
      <x:c r="H60" s="14" t="str"/>
      <x:c r="I60" s="14" t="str">
        <x:v>Receipt</x:v>
      </x:c>
      <x:c r="J60" s="17" t="n">
        <x:v>0</x:v>
      </x:c>
      <x:c r="K60" s="17" t="n">
        <x:v>13736</x:v>
      </x:c>
      <x:c r="L60" s="17" t="n">
        <x:v>13736</x:v>
      </x:c>
      <x:c r="M60" s="17" t="n">
        <x:v>-8096478.99</x:v>
      </x:c>
      <x:c r="N60" s="14" t="str">
        <x:v>Recurring Transaction</x:v>
      </x:c>
      <x:c r="O60" s="14" t="str">
        <x:v>Yes</x:v>
      </x:c>
      <x:c r="P60" s="14" t="str">
        <x:v>EBANKWIB</x:v>
      </x:c>
      <x:c r="Q60" s="14" t="n">
        <x:v>0</x:v>
      </x:c>
      <x:c r="R60" s="14" t="n">
        <x:v>1</x:v>
      </x:c>
      <x:c r="S60" s="14" t="n">
        <x:v>0</x:v>
      </x:c>
      <x:c r="T60" s="14" t="n">
        <x:v>0</x:v>
      </x:c>
      <x:c r="U60" s="14" t="n">
        <x:v>0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46127</x:v>
      </x:c>
    </x:row>
    <x:row r="61">
      <x:c r="A61" s="14" t="n">
        <x:v>57</x:v>
      </x:c>
      <x:c r="B61" s="14" t="str">
        <x:v>273.pdf</x:v>
      </x:c>
      <x:c r="C61" s="15" t="n">
        <x:v>45181</x:v>
      </x:c>
      <x:c r="D61" s="15" t="n">
        <x:v>46146</x:v>
      </x:c>
      <x:c r="E61" s="15" t="n">
        <x:v>46127</x:v>
      </x:c>
      <x:c r="F61" s="15" t="n">
        <x:v>46127</x:v>
      </x:c>
      <x:c r="G61" s="16" t="str">
        <x:v>RTGS-BARBR5202 Dr RTGS-BARBR52026041500840540-HINDUSTAN PETROLEUM CO</x:v>
      </x:c>
      <x:c r="H61" s="14" t="str"/>
      <x:c r="I61" s="14" t="str">
        <x:v>Payment</x:v>
      </x:c>
      <x:c r="J61" s="17" t="n">
        <x:v>1889785</x:v>
      </x:c>
      <x:c r="K61" s="17" t="n">
        <x:v>0</x:v>
      </x:c>
      <x:c r="L61" s="17" t="n">
        <x:v>1889785</x:v>
      </x:c>
      <x:c r="M61" s="17" t="n">
        <x:v>-9986263.99</x:v>
      </x:c>
      <x:c r="N61" s="14" t="str">
        <x:v>High Transaction; Recurring Transaction</x:v>
      </x:c>
      <x:c r="O61" s="14" t="str">
        <x:v>Yes</x:v>
      </x:c>
      <x:c r="P61" s="14" t="str">
        <x:v>BARBR DR RTGS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1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46127</x:v>
      </x:c>
    </x:row>
    <x:row r="62">
      <x:c r="A62" s="14" t="n">
        <x:v>58</x:v>
      </x:c>
      <x:c r="B62" s="14" t="str">
        <x:v>273.pdf</x:v>
      </x:c>
      <x:c r="C62" s="15" t="n">
        <x:v>45181</x:v>
      </x:c>
      <x:c r="D62" s="15" t="n">
        <x:v>46146</x:v>
      </x:c>
      <x:c r="E62" s="15" t="n">
        <x:v>46127</x:v>
      </x:c>
      <x:c r="F62" s="15" t="n">
        <x:v>46127</x:v>
      </x:c>
      <x:c r="G62" s="16" t="str">
        <x:v>EBANK:WIB/1504 Dr EBANK:WIB/1504160264/Edfs</x:v>
      </x:c>
      <x:c r="H62" s="14" t="str"/>
      <x:c r="I62" s="14" t="str">
        <x:v>Receipt</x:v>
      </x:c>
      <x:c r="J62" s="17" t="n">
        <x:v>0</x:v>
      </x:c>
      <x:c r="K62" s="17" t="n">
        <x:v>54252.8</x:v>
      </x:c>
      <x:c r="L62" s="17" t="n">
        <x:v>54252.8</x:v>
      </x:c>
      <x:c r="M62" s="17" t="n">
        <x:v>-9932011.19</x:v>
      </x:c>
      <x:c r="N62" s="14" t="str">
        <x:v>Recurring Transaction</x:v>
      </x:c>
      <x:c r="O62" s="14" t="str">
        <x:v>Yes</x:v>
      </x:c>
      <x:c r="P62" s="14" t="str">
        <x:v>EBANKWIB</x:v>
      </x:c>
      <x:c r="Q62" s="14" t="n">
        <x:v>0</x:v>
      </x:c>
      <x:c r="R62" s="14" t="n">
        <x:v>1</x:v>
      </x:c>
      <x:c r="S62" s="14" t="n">
        <x:v>0</x:v>
      </x:c>
      <x:c r="T62" s="14" t="n">
        <x:v>0</x:v>
      </x:c>
      <x:c r="U62" s="14" t="n">
        <x:v>0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46127</x:v>
      </x:c>
    </x:row>
    <x:row r="63">
      <x:c r="A63" s="14" t="n">
        <x:v>59</x:v>
      </x:c>
      <x:c r="B63" s="14" t="str">
        <x:v>273.pdf</x:v>
      </x:c>
      <x:c r="C63" s="15" t="n">
        <x:v>45181</x:v>
      </x:c>
      <x:c r="D63" s="15" t="n">
        <x:v>46146</x:v>
      </x:c>
      <x:c r="E63" s="15" t="n">
        <x:v>46127</x:v>
      </x:c>
      <x:c r="F63" s="15" t="n">
        <x:v>46127</x:v>
      </x:c>
      <x:c r="G63" s="16" t="str">
        <x:v>NEFT-BARBQ2610 Dr NEFT-BARBQ26105757267-HINDUSTAN PETROLEUM CORPORAT</x:v>
      </x:c>
      <x:c r="H63" s="14" t="str"/>
      <x:c r="I63" s="14" t="str">
        <x:v>Payment</x:v>
      </x:c>
      <x:c r="J63" s="17" t="n">
        <x:v>67988</x:v>
      </x:c>
      <x:c r="K63" s="17" t="n">
        <x:v>0</x:v>
      </x:c>
      <x:c r="L63" s="17" t="n">
        <x:v>67988</x:v>
      </x:c>
      <x:c r="M63" s="17" t="n">
        <x:v>-9999999.19</x:v>
      </x:c>
      <x:c r="N63" s="14" t="str">
        <x:v>Recurring Transaction</x:v>
      </x:c>
      <x:c r="O63" s="14" t="str">
        <x:v>Yes</x:v>
      </x:c>
      <x:c r="P63" s="14" t="str">
        <x:v>BARBQ DR NEFT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0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46127</x:v>
      </x:c>
    </x:row>
    <x:row r="64">
      <x:c r="A64" s="14" t="n">
        <x:v>60</x:v>
      </x:c>
      <x:c r="B64" s="14" t="str">
        <x:v>273.pdf</x:v>
      </x:c>
      <x:c r="C64" s="15" t="n">
        <x:v>45181</x:v>
      </x:c>
      <x:c r="D64" s="15" t="n">
        <x:v>46146</x:v>
      </x:c>
      <x:c r="E64" s="15" t="n">
        <x:v>46127</x:v>
      </x:c>
      <x:c r="F64" s="15" t="n">
        <x:v>46127</x:v>
      </x:c>
      <x:c r="G64" s="16" t="str">
        <x:v>EBANK:WIB/1504 Dr EBANK:WIB/1504165308/Edfs</x:v>
      </x:c>
      <x:c r="H64" s="14" t="str"/>
      <x:c r="I64" s="14" t="str">
        <x:v>Receipt</x:v>
      </x:c>
      <x:c r="J64" s="17" t="n">
        <x:v>0</x:v>
      </x:c>
      <x:c r="K64" s="17" t="n">
        <x:v>44496</x:v>
      </x:c>
      <x:c r="L64" s="17" t="n">
        <x:v>44496</x:v>
      </x:c>
      <x:c r="M64" s="17" t="n">
        <x:v>-9955503.19</x:v>
      </x:c>
      <x:c r="N64" s="14" t="str">
        <x:v>Recurring Transaction</x:v>
      </x:c>
      <x:c r="O64" s="14" t="str">
        <x:v>Yes</x:v>
      </x:c>
      <x:c r="P64" s="14" t="str">
        <x:v>EBANKWIB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0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46127</x:v>
      </x:c>
    </x:row>
    <x:row r="65">
      <x:c r="A65" s="14" t="n">
        <x:v>61</x:v>
      </x:c>
      <x:c r="B65" s="14" t="str">
        <x:v>273.pdf</x:v>
      </x:c>
      <x:c r="C65" s="15" t="n">
        <x:v>45181</x:v>
      </x:c>
      <x:c r="D65" s="15" t="n">
        <x:v>46146</x:v>
      </x:c>
      <x:c r="E65" s="15" t="n">
        <x:v>46128</x:v>
      </x:c>
      <x:c r="F65" s="15" t="n">
        <x:v>46128</x:v>
      </x:c>
      <x:c r="G65" s="16" t="str">
        <x:v>NEFT-BARBS2610 Dr NEFT-BARBS26106083004-HINDUSTAN PETROLEUM CORPORAT</x:v>
      </x:c>
      <x:c r="H65" s="14" t="str"/>
      <x:c r="I65" s="14" t="str">
        <x:v>Payment</x:v>
      </x:c>
      <x:c r="J65" s="17" t="n">
        <x:v>40692.24</x:v>
      </x:c>
      <x:c r="K65" s="17" t="n">
        <x:v>0</x:v>
      </x:c>
      <x:c r="L65" s="17" t="n">
        <x:v>40692.24</x:v>
      </x:c>
      <x:c r="M65" s="17" t="n">
        <x:v>-9996195.43</x:v>
      </x:c>
      <x:c r="N65" s="14" t="str">
        <x:v>Other</x:v>
      </x:c>
      <x:c r="O65" s="14" t="str">
        <x:v>No</x:v>
      </x:c>
      <x:c r="P65" s="14" t="str">
        <x:v>BARBS DR NEFT</x:v>
      </x:c>
      <x:c r="Q65" s="14" t="n">
        <x:v>0</x:v>
      </x:c>
      <x:c r="R65" s="14" t="n">
        <x:v>0</x:v>
      </x:c>
      <x:c r="S65" s="14" t="n">
        <x:v>0</x:v>
      </x:c>
      <x:c r="T65" s="14" t="n">
        <x:v>0</x:v>
      </x:c>
      <x:c r="U65" s="14" t="n">
        <x:v>0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46128</x:v>
      </x:c>
    </x:row>
    <x:row r="66">
      <x:c r="A66" s="14" t="n">
        <x:v>62</x:v>
      </x:c>
      <x:c r="B66" s="14" t="str">
        <x:v>273.pdf</x:v>
      </x:c>
      <x:c r="C66" s="15" t="n">
        <x:v>45181</x:v>
      </x:c>
      <x:c r="D66" s="15" t="n">
        <x:v>46146</x:v>
      </x:c>
      <x:c r="E66" s="15" t="n">
        <x:v>46128</x:v>
      </x:c>
      <x:c r="F66" s="15" t="n">
        <x:v>46128</x:v>
      </x:c>
      <x:c r="G66" s="16" t="str">
        <x:v>EBANK:WIB/1504 Dr ---------------------------------------------------------------------------------------------------------------------------------- Page Total: 39,70,606.25 25,69,345.80 90,98,021.65Dr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</x:v>
      </x:c>
      <x:c r="H66" s="14" t="str"/>
      <x:c r="I66" s="14" t="str">
        <x:v>Receipt</x:v>
      </x:c>
      <x:c r="J66" s="17" t="n">
        <x:v>0</x:v>
      </x:c>
      <x:c r="K66" s="17" t="n">
        <x:v>898173.78</x:v>
      </x:c>
      <x:c r="L66" s="17" t="n">
        <x:v>898173.78</x:v>
      </x:c>
      <x:c r="M66" s="17" t="n">
        <x:v>-9098021.65</x:v>
      </x:c>
      <x:c r="N66" s="14" t="str">
        <x:v>High Transaction; Recurring Transaction</x:v>
      </x:c>
      <x:c r="O66" s="14" t="str">
        <x:v>Yes</x:v>
      </x:c>
      <x:c r="P66" s="14" t="str">
        <x:v>EBANKWIB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1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46128</x:v>
      </x:c>
    </x:row>
    <x:row r="67">
      <x:c r="A67" s="14" t="n">
        <x:v>63</x:v>
      </x:c>
      <x:c r="B67" s="14" t="str">
        <x:v>273.pdf</x:v>
      </x:c>
      <x:c r="C67" s="15" t="n">
        <x:v>45181</x:v>
      </x:c>
      <x:c r="D67" s="15" t="n">
        <x:v>46146</x:v>
      </x:c>
      <x:c r="E67" s="15" t="n">
        <x:v>46128</x:v>
      </x:c>
      <x:c r="F67" s="15" t="n">
        <x:v>46128</x:v>
      </x:c>
      <x:c r="G67" s="16" t="str">
        <x:v>BY CASH Dr BY CASH</x:v>
      </x:c>
      <x:c r="H67" s="14" t="str"/>
      <x:c r="I67" s="14" t="str">
        <x:v>Receipt</x:v>
      </x:c>
      <x:c r="J67" s="17" t="n">
        <x:v>0</x:v>
      </x:c>
      <x:c r="K67" s="17" t="n">
        <x:v>166000</x:v>
      </x:c>
      <x:c r="L67" s="17" t="n">
        <x:v>166000</x:v>
      </x:c>
      <x:c r="M67" s="17" t="n">
        <x:v>-8932021.65</x:v>
      </x:c>
      <x:c r="N67" s="14" t="str">
        <x:v>Cash; High Transaction; Recurring Transaction</x:v>
      </x:c>
      <x:c r="O67" s="14" t="str">
        <x:v>Yes</x:v>
      </x:c>
      <x:c r="P67" s="14" t="str">
        <x:v>BY CASH DR BY CASH</x:v>
      </x:c>
      <x:c r="Q67" s="14" t="n">
        <x:v>1</x:v>
      </x:c>
      <x:c r="R67" s="14" t="n">
        <x:v>1</x:v>
      </x:c>
      <x:c r="S67" s="14" t="n">
        <x:v>0</x:v>
      </x:c>
      <x:c r="T67" s="14" t="n">
        <x:v>0</x:v>
      </x:c>
      <x:c r="U67" s="14" t="n">
        <x:v>1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46128</x:v>
      </x:c>
    </x:row>
    <x:row r="68">
      <x:c r="A68" s="14" t="n">
        <x:v>64</x:v>
      </x:c>
      <x:c r="B68" s="14" t="str">
        <x:v>273.pdf</x:v>
      </x:c>
      <x:c r="C68" s="15" t="n">
        <x:v>45181</x:v>
      </x:c>
      <x:c r="D68" s="15" t="n">
        <x:v>46146</x:v>
      </x:c>
      <x:c r="E68" s="15" t="n">
        <x:v>46128</x:v>
      </x:c>
      <x:c r="F68" s="15" t="n">
        <x:v>46128</x:v>
      </x:c>
      <x:c r="G68" s="16" t="str">
        <x:v>DIGITA-MUMBAI/ Dr INT260330DEAL6270027</x:v>
      </x:c>
      <x:c r="H68" s="14" t="str"/>
      <x:c r="I68" s="14" t="str">
        <x:v>Payment</x:v>
      </x:c>
      <x:c r="J68" s="17" t="n">
        <x:v>3.6</x:v>
      </x:c>
      <x:c r="K68" s="17" t="n">
        <x:v>0</x:v>
      </x:c>
      <x:c r="L68" s="17" t="n">
        <x:v>3.6</x:v>
      </x:c>
      <x:c r="M68" s="17" t="n">
        <x:v>-8932025.25</x:v>
      </x:c>
      <x:c r="N68" s="14" t="str">
        <x:v>Recurring Transaction</x:v>
      </x:c>
      <x:c r="O68" s="14" t="str">
        <x:v>Yes</x:v>
      </x:c>
      <x:c r="P68" s="14" t="str">
        <x:v>DR INTDEAL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0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46128</x:v>
      </x:c>
    </x:row>
    <x:row r="69">
      <x:c r="A69" s="14" t="n">
        <x:v>65</x:v>
      </x:c>
      <x:c r="B69" s="14" t="str">
        <x:v>273.pdf</x:v>
      </x:c>
      <x:c r="C69" s="15" t="n">
        <x:v>45181</x:v>
      </x:c>
      <x:c r="D69" s="15" t="n">
        <x:v>46146</x:v>
      </x:c>
      <x:c r="E69" s="15" t="n">
        <x:v>46128</x:v>
      </x:c>
      <x:c r="F69" s="15" t="n">
        <x:v>46128</x:v>
      </x:c>
      <x:c r="G69" s="16" t="str">
        <x:v>VJSOLU-SOLUR/I Dr INT260331DEAL6279575</x:v>
      </x:c>
      <x:c r="H69" s="14" t="str"/>
      <x:c r="I69" s="14" t="str">
        <x:v>Payment</x:v>
      </x:c>
      <x:c r="J69" s="17" t="n">
        <x:v>120.12</x:v>
      </x:c>
      <x:c r="K69" s="17" t="n">
        <x:v>0</x:v>
      </x:c>
      <x:c r="L69" s="17" t="n">
        <x:v>120.12</x:v>
      </x:c>
      <x:c r="M69" s="17" t="n">
        <x:v>-8932145.37</x:v>
      </x:c>
      <x:c r="N69" s="14" t="str">
        <x:v>Other</x:v>
      </x:c>
      <x:c r="O69" s="14" t="str">
        <x:v>No</x:v>
      </x:c>
      <x:c r="P69" s="14" t="str">
        <x:v>I DR INTDEAL</x:v>
      </x:c>
      <x:c r="Q69" s="14" t="n">
        <x:v>0</x:v>
      </x:c>
      <x:c r="R69" s="14" t="n">
        <x:v>0</x:v>
      </x:c>
      <x:c r="S69" s="14" t="n">
        <x:v>0</x:v>
      </x:c>
      <x:c r="T69" s="14" t="n">
        <x:v>0</x:v>
      </x:c>
      <x:c r="U69" s="14" t="n">
        <x:v>0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46128</x:v>
      </x:c>
    </x:row>
    <x:row r="70">
      <x:c r="A70" s="14" t="n">
        <x:v>66</x:v>
      </x:c>
      <x:c r="B70" s="14" t="str">
        <x:v>273.pdf</x:v>
      </x:c>
      <x:c r="C70" s="15" t="n">
        <x:v>45181</x:v>
      </x:c>
      <x:c r="D70" s="15" t="n">
        <x:v>46146</x:v>
      </x:c>
      <x:c r="E70" s="15" t="n">
        <x:v>46129</x:v>
      </x:c>
      <x:c r="F70" s="15" t="n">
        <x:v>46129</x:v>
      </x:c>
      <x:c r="G70" s="16" t="str">
        <x:v>EBANK:WIB/1504 Dr EBANK:WIB/1504347697/Edfs</x:v>
      </x:c>
      <x:c r="H70" s="14" t="str"/>
      <x:c r="I70" s="14" t="str">
        <x:v>Receipt</x:v>
      </x:c>
      <x:c r="J70" s="17" t="n">
        <x:v>0</x:v>
      </x:c>
      <x:c r="K70" s="17" t="n">
        <x:v>328514.76</x:v>
      </x:c>
      <x:c r="L70" s="17" t="n">
        <x:v>328514.76</x:v>
      </x:c>
      <x:c r="M70" s="17" t="n">
        <x:v>-8603630.61</x:v>
      </x:c>
      <x:c r="N70" s="14" t="str">
        <x:v>High Transaction; Recurring Transaction</x:v>
      </x:c>
      <x:c r="O70" s="14" t="str">
        <x:v>Yes</x:v>
      </x:c>
      <x:c r="P70" s="14" t="str">
        <x:v>EBANKWIB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1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46129</x:v>
      </x:c>
    </x:row>
    <x:row r="71">
      <x:c r="A71" s="14" t="n">
        <x:v>67</x:v>
      </x:c>
      <x:c r="B71" s="14" t="str">
        <x:v>273.pdf</x:v>
      </x:c>
      <x:c r="C71" s="15" t="n">
        <x:v>45181</x:v>
      </x:c>
      <x:c r="D71" s="15" t="n">
        <x:v>46146</x:v>
      </x:c>
      <x:c r="E71" s="15" t="n">
        <x:v>46129</x:v>
      </x:c>
      <x:c r="F71" s="15" t="n">
        <x:v>46129</x:v>
      </x:c>
      <x:c r="G71" s="16" t="str">
        <x:v>0000-MUMBAI/IN Dr INT260402DEAL6291634</x:v>
      </x:c>
      <x:c r="H71" s="14" t="str"/>
      <x:c r="I71" s="14" t="str">
        <x:v>Payment</x:v>
      </x:c>
      <x:c r="J71" s="17" t="n">
        <x:v>4857.17</x:v>
      </x:c>
      <x:c r="K71" s="17" t="n">
        <x:v>0</x:v>
      </x:c>
      <x:c r="L71" s="17" t="n">
        <x:v>4857.17</x:v>
      </x:c>
      <x:c r="M71" s="17" t="n">
        <x:v>-8608487.78</x:v>
      </x:c>
      <x:c r="N71" s="14" t="str">
        <x:v>Recurring Transaction</x:v>
      </x:c>
      <x:c r="O71" s="14" t="str">
        <x:v>Yes</x:v>
      </x:c>
      <x:c r="P71" s="14" t="str">
        <x:v>IN DR INTDEAL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0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46129</x:v>
      </x:c>
    </x:row>
    <x:row r="72">
      <x:c r="A72" s="14" t="n">
        <x:v>68</x:v>
      </x:c>
      <x:c r="B72" s="14" t="str">
        <x:v>273.pdf</x:v>
      </x:c>
      <x:c r="C72" s="15" t="n">
        <x:v>45181</x:v>
      </x:c>
      <x:c r="D72" s="15" t="n">
        <x:v>46146</x:v>
      </x:c>
      <x:c r="E72" s="15" t="n">
        <x:v>46129</x:v>
      </x:c>
      <x:c r="F72" s="15" t="n">
        <x:v>46129</x:v>
      </x:c>
      <x:c r="G72" s="16" t="str">
        <x:v>EBANK:WIB/1504 Dr EBANK:WIB/1504424773/Edfs</x:v>
      </x:c>
      <x:c r="H72" s="14" t="str"/>
      <x:c r="I72" s="14" t="str">
        <x:v>Receipt</x:v>
      </x:c>
      <x:c r="J72" s="17" t="n">
        <x:v>0</x:v>
      </x:c>
      <x:c r="K72" s="17" t="n">
        <x:v>150000</x:v>
      </x:c>
      <x:c r="L72" s="17" t="n">
        <x:v>150000</x:v>
      </x:c>
      <x:c r="M72" s="17" t="n">
        <x:v>-8458487.78</x:v>
      </x:c>
      <x:c r="N72" s="14" t="str">
        <x:v>High Transaction; Recurring Transaction</x:v>
      </x:c>
      <x:c r="O72" s="14" t="str">
        <x:v>Yes</x:v>
      </x:c>
      <x:c r="P72" s="14" t="str">
        <x:v>EBANKWIB</x:v>
      </x:c>
      <x:c r="Q72" s="14" t="n">
        <x:v>0</x:v>
      </x:c>
      <x:c r="R72" s="14" t="n">
        <x:v>1</x:v>
      </x:c>
      <x:c r="S72" s="14" t="n">
        <x:v>0</x:v>
      </x:c>
      <x:c r="T72" s="14" t="n">
        <x:v>0</x:v>
      </x:c>
      <x:c r="U72" s="14" t="n">
        <x:v>1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46129</x:v>
      </x:c>
    </x:row>
    <x:row r="73">
      <x:c r="A73" s="14" t="n">
        <x:v>69</x:v>
      </x:c>
      <x:c r="B73" s="14" t="str">
        <x:v>273.pdf</x:v>
      </x:c>
      <x:c r="C73" s="15" t="n">
        <x:v>45181</x:v>
      </x:c>
      <x:c r="D73" s="15" t="n">
        <x:v>46146</x:v>
      </x:c>
      <x:c r="E73" s="15" t="n">
        <x:v>46130</x:v>
      </x:c>
      <x:c r="F73" s="15" t="n">
        <x:v>46130</x:v>
      </x:c>
      <x:c r="G73" s="16" t="str">
        <x:v>0000-MUMBAI/IN Dr INT260404DEAL6301802</x:v>
      </x:c>
      <x:c r="H73" s="14" t="str"/>
      <x:c r="I73" s="14" t="str">
        <x:v>Payment</x:v>
      </x:c>
      <x:c r="J73" s="17" t="n">
        <x:v>6118.58</x:v>
      </x:c>
      <x:c r="K73" s="17" t="n">
        <x:v>0</x:v>
      </x:c>
      <x:c r="L73" s="17" t="n">
        <x:v>6118.58</x:v>
      </x:c>
      <x:c r="M73" s="17" t="n">
        <x:v>-8464606.36</x:v>
      </x:c>
      <x:c r="N73" s="14" t="str">
        <x:v>Recurring Transaction</x:v>
      </x:c>
      <x:c r="O73" s="14" t="str">
        <x:v>Yes</x:v>
      </x:c>
      <x:c r="P73" s="14" t="str">
        <x:v>IN DR INTDEAL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0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46130</x:v>
      </x:c>
    </x:row>
    <x:row r="74">
      <x:c r="A74" s="14" t="n">
        <x:v>70</x:v>
      </x:c>
      <x:c r="B74" s="14" t="str">
        <x:v>273.pdf</x:v>
      </x:c>
      <x:c r="C74" s="15" t="n">
        <x:v>45181</x:v>
      </x:c>
      <x:c r="D74" s="15" t="n">
        <x:v>46146</x:v>
      </x:c>
      <x:c r="E74" s="15" t="n">
        <x:v>46130</x:v>
      </x:c>
      <x:c r="F74" s="15" t="n">
        <x:v>46130</x:v>
      </x:c>
      <x:c r="G74" s="16" t="str">
        <x:v>BY CASH Dr BY CASH</x:v>
      </x:c>
      <x:c r="H74" s="14" t="str"/>
      <x:c r="I74" s="14" t="str">
        <x:v>Receipt</x:v>
      </x:c>
      <x:c r="J74" s="17" t="n">
        <x:v>0</x:v>
      </x:c>
      <x:c r="K74" s="17" t="n">
        <x:v>394500</x:v>
      </x:c>
      <x:c r="L74" s="17" t="n">
        <x:v>394500</x:v>
      </x:c>
      <x:c r="M74" s="17" t="n">
        <x:v>-8070106.36</x:v>
      </x:c>
      <x:c r="N74" s="14" t="str">
        <x:v>Cash; High Transaction; Recurring Transaction</x:v>
      </x:c>
      <x:c r="O74" s="14" t="str">
        <x:v>Yes</x:v>
      </x:c>
      <x:c r="P74" s="14" t="str">
        <x:v>BY CASH DR BY CASH</x:v>
      </x:c>
      <x:c r="Q74" s="14" t="n">
        <x:v>1</x:v>
      </x:c>
      <x:c r="R74" s="14" t="n">
        <x:v>1</x:v>
      </x:c>
      <x:c r="S74" s="14" t="n">
        <x:v>0</x:v>
      </x:c>
      <x:c r="T74" s="14" t="n">
        <x:v>0</x:v>
      </x:c>
      <x:c r="U74" s="14" t="n">
        <x:v>1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46130</x:v>
      </x:c>
    </x:row>
    <x:row r="75">
      <x:c r="A75" s="14" t="n">
        <x:v>71</x:v>
      </x:c>
      <x:c r="B75" s="14" t="str">
        <x:v>273.pdf</x:v>
      </x:c>
      <x:c r="C75" s="15" t="n">
        <x:v>45181</x:v>
      </x:c>
      <x:c r="D75" s="15" t="n">
        <x:v>46146</x:v>
      </x:c>
      <x:c r="E75" s="15" t="n">
        <x:v>46130</x:v>
      </x:c>
      <x:c r="F75" s="15" t="n">
        <x:v>46130</x:v>
      </x:c>
      <x:c r="G75" s="16" t="str">
        <x:v>DBUTRA-LUCKNOW Dr INT260402DEAL6291634</x:v>
      </x:c>
      <x:c r="H75" s="14" t="str"/>
      <x:c r="I75" s="14" t="str">
        <x:v>Payment</x:v>
      </x:c>
      <x:c r="J75" s="17" t="n">
        <x:v>93.69</x:v>
      </x:c>
      <x:c r="K75" s="17" t="n">
        <x:v>0</x:v>
      </x:c>
      <x:c r="L75" s="17" t="n">
        <x:v>93.69</x:v>
      </x:c>
      <x:c r="M75" s="17" t="n">
        <x:v>-8070200.05</x:v>
      </x:c>
      <x:c r="N75" s="14" t="str">
        <x:v>Other</x:v>
      </x:c>
      <x:c r="O75" s="14" t="str">
        <x:v>No</x:v>
      </x:c>
      <x:c r="P75" s="14" t="str">
        <x:v>LUCKNOW DR INTDEAL</x:v>
      </x:c>
      <x:c r="Q75" s="14" t="n">
        <x:v>0</x:v>
      </x:c>
      <x:c r="R75" s="14" t="n">
        <x:v>0</x:v>
      </x:c>
      <x:c r="S75" s="14" t="n">
        <x:v>0</x:v>
      </x:c>
      <x:c r="T75" s="14" t="n">
        <x:v>0</x:v>
      </x:c>
      <x:c r="U75" s="14" t="n">
        <x:v>0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46130</x:v>
      </x:c>
    </x:row>
    <x:row r="76">
      <x:c r="A76" s="14" t="n">
        <x:v>72</x:v>
      </x:c>
      <x:c r="B76" s="14" t="str">
        <x:v>273.pdf</x:v>
      </x:c>
      <x:c r="C76" s="15" t="n">
        <x:v>45181</x:v>
      </x:c>
      <x:c r="D76" s="15" t="n">
        <x:v>46146</x:v>
      </x:c>
      <x:c r="E76" s="15" t="n">
        <x:v>46130</x:v>
      </x:c>
      <x:c r="F76" s="15" t="n">
        <x:v>46130</x:v>
      </x:c>
      <x:c r="G76" s="16" t="str">
        <x:v>EBANK:WIB/1504 Dr EBANK:WIB/1504650433/Edfs</x:v>
      </x:c>
      <x:c r="H76" s="14" t="str"/>
      <x:c r="I76" s="14" t="str">
        <x:v>Receipt</x:v>
      </x:c>
      <x:c r="J76" s="17" t="n">
        <x:v>0</x:v>
      </x:c>
      <x:c r="K76" s="17" t="n">
        <x:v>480667.28</x:v>
      </x:c>
      <x:c r="L76" s="17" t="n">
        <x:v>480667.28</x:v>
      </x:c>
      <x:c r="M76" s="17" t="n">
        <x:v>-7589532.77</x:v>
      </x:c>
      <x:c r="N76" s="14" t="str">
        <x:v>High Transaction; Recurring Transaction</x:v>
      </x:c>
      <x:c r="O76" s="14" t="str">
        <x:v>Yes</x:v>
      </x:c>
      <x:c r="P76" s="14" t="str">
        <x:v>EBANKWIB</x:v>
      </x:c>
      <x:c r="Q76" s="14" t="n">
        <x:v>0</x:v>
      </x:c>
      <x:c r="R76" s="14" t="n">
        <x:v>1</x:v>
      </x:c>
      <x:c r="S76" s="14" t="n">
        <x:v>0</x:v>
      </x:c>
      <x:c r="T76" s="14" t="n">
        <x:v>0</x:v>
      </x:c>
      <x:c r="U76" s="14" t="n">
        <x:v>1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46130</x:v>
      </x:c>
    </x:row>
    <x:row r="77">
      <x:c r="A77" s="14" t="n">
        <x:v>73</x:v>
      </x:c>
      <x:c r="B77" s="14" t="str">
        <x:v>273.pdf</x:v>
      </x:c>
      <x:c r="C77" s="15" t="n">
        <x:v>45181</x:v>
      </x:c>
      <x:c r="D77" s="15" t="n">
        <x:v>46146</x:v>
      </x:c>
      <x:c r="E77" s="15" t="n">
        <x:v>46131</x:v>
      </x:c>
      <x:c r="F77" s="15" t="n">
        <x:v>46131</x:v>
      </x:c>
      <x:c r="G77" s="16" t="str">
        <x:v>EBANK:WIB/1504 Dr EBANK:WIB/1504657570/Edfs</x:v>
      </x:c>
      <x:c r="H77" s="14" t="str"/>
      <x:c r="I77" s="14" t="str">
        <x:v>Receipt</x:v>
      </x:c>
      <x:c r="J77" s="17" t="n">
        <x:v>0</x:v>
      </x:c>
      <x:c r="K77" s="17" t="n">
        <x:v>259433</x:v>
      </x:c>
      <x:c r="L77" s="17" t="n">
        <x:v>259433</x:v>
      </x:c>
      <x:c r="M77" s="17" t="n">
        <x:v>-7330099.77</x:v>
      </x:c>
      <x:c r="N77" s="14" t="str">
        <x:v>High Transaction; Recurring Transaction</x:v>
      </x:c>
      <x:c r="O77" s="14" t="str">
        <x:v>Yes</x:v>
      </x:c>
      <x:c r="P77" s="14" t="str">
        <x:v>EBANKWIB</x:v>
      </x:c>
      <x:c r="Q77" s="14" t="n">
        <x:v>0</x:v>
      </x:c>
      <x:c r="R77" s="14" t="n">
        <x:v>1</x:v>
      </x:c>
      <x:c r="S77" s="14" t="n">
        <x:v>0</x:v>
      </x:c>
      <x:c r="T77" s="14" t="n">
        <x:v>0</x:v>
      </x:c>
      <x:c r="U77" s="14" t="n">
        <x:v>1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46131</x:v>
      </x:c>
    </x:row>
    <x:row r="78">
      <x:c r="A78" s="14" t="n">
        <x:v>74</x:v>
      </x:c>
      <x:c r="B78" s="14" t="str">
        <x:v>273.pdf</x:v>
      </x:c>
      <x:c r="C78" s="15" t="n">
        <x:v>45181</x:v>
      </x:c>
      <x:c r="D78" s="15" t="n">
        <x:v>46146</x:v>
      </x:c>
      <x:c r="E78" s="15" t="n">
        <x:v>46131</x:v>
      </x:c>
      <x:c r="F78" s="15" t="n">
        <x:v>46131</x:v>
      </x:c>
      <x:c r="G78" s="16" t="str">
        <x:v>RTGS-BARBR5202 Dr RTGS-BARBR52026041900792985-HINDUSTAN PETROLEUM CO</x:v>
      </x:c>
      <x:c r="H78" s="14" t="str"/>
      <x:c r="I78" s="14" t="str">
        <x:v>Payment</x:v>
      </x:c>
      <x:c r="J78" s="17" t="n">
        <x:v>1933014</x:v>
      </x:c>
      <x:c r="K78" s="17" t="n">
        <x:v>0</x:v>
      </x:c>
      <x:c r="L78" s="17" t="n">
        <x:v>1933014</x:v>
      </x:c>
      <x:c r="M78" s="17" t="n">
        <x:v>-9263113.77</x:v>
      </x:c>
      <x:c r="N78" s="14" t="str">
        <x:v>High Transaction; Recurring Transaction</x:v>
      </x:c>
      <x:c r="O78" s="14" t="str">
        <x:v>Yes</x:v>
      </x:c>
      <x:c r="P78" s="14" t="str">
        <x:v>BARBR DR RTGS</x:v>
      </x:c>
      <x:c r="Q78" s="14" t="n">
        <x:v>0</x:v>
      </x:c>
      <x:c r="R78" s="14" t="n">
        <x:v>1</x:v>
      </x:c>
      <x:c r="S78" s="14" t="n">
        <x:v>0</x:v>
      </x:c>
      <x:c r="T78" s="14" t="n">
        <x:v>0</x:v>
      </x:c>
      <x:c r="U78" s="14" t="n">
        <x:v>1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46131</x:v>
      </x:c>
    </x:row>
    <x:row r="79">
      <x:c r="A79" s="14" t="n">
        <x:v>75</x:v>
      </x:c>
      <x:c r="B79" s="14" t="str">
        <x:v>273.pdf</x:v>
      </x:c>
      <x:c r="C79" s="15" t="n">
        <x:v>45181</x:v>
      </x:c>
      <x:c r="D79" s="15" t="n">
        <x:v>46146</x:v>
      </x:c>
      <x:c r="E79" s="15" t="n">
        <x:v>46131</x:v>
      </x:c>
      <x:c r="F79" s="15" t="n">
        <x:v>46131</x:v>
      </x:c>
      <x:c r="G79" s="16" t="str">
        <x:v>SASRAM-SASARAM Dr INT260404DEAL6301802</x:v>
      </x:c>
      <x:c r="H79" s="14" t="str"/>
      <x:c r="I79" s="14" t="str">
        <x:v>Payment</x:v>
      </x:c>
      <x:c r="J79" s="17" t="n">
        <x:v>325.99</x:v>
      </x:c>
      <x:c r="K79" s="17" t="n">
        <x:v>0</x:v>
      </x:c>
      <x:c r="L79" s="17" t="n">
        <x:v>325.99</x:v>
      </x:c>
      <x:c r="M79" s="17" t="n">
        <x:v>-9263439.76</x:v>
      </x:c>
      <x:c r="N79" s="14" t="str">
        <x:v>Other</x:v>
      </x:c>
      <x:c r="O79" s="14" t="str">
        <x:v>No</x:v>
      </x:c>
      <x:c r="P79" s="14" t="str">
        <x:v>SASARAM DR INTDEAL</x:v>
      </x:c>
      <x:c r="Q79" s="14" t="n">
        <x:v>0</x:v>
      </x:c>
      <x:c r="R79" s="14" t="n">
        <x:v>0</x:v>
      </x:c>
      <x:c r="S79" s="14" t="n">
        <x:v>0</x:v>
      </x:c>
      <x:c r="T79" s="14" t="n">
        <x:v>0</x:v>
      </x:c>
      <x:c r="U79" s="14" t="n">
        <x:v>0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46131</x:v>
      </x:c>
    </x:row>
    <x:row r="80">
      <x:c r="A80" s="14" t="n">
        <x:v>76</x:v>
      </x:c>
      <x:c r="B80" s="14" t="str">
        <x:v>273.pdf</x:v>
      </x:c>
      <x:c r="C80" s="15" t="n">
        <x:v>45181</x:v>
      </x:c>
      <x:c r="D80" s="15" t="n">
        <x:v>46146</x:v>
      </x:c>
      <x:c r="E80" s="15" t="n">
        <x:v>46131</x:v>
      </x:c>
      <x:c r="F80" s="15" t="n">
        <x:v>46131</x:v>
      </x:c>
      <x:c r="G80" s="16" t="str">
        <x:v>EBANK:WIB/1504 Dr EBANK:WIB/1504707135/Edfs</x:v>
      </x:c>
      <x:c r="H80" s="14" t="str"/>
      <x:c r="I80" s="14" t="str">
        <x:v>Receipt</x:v>
      </x:c>
      <x:c r="J80" s="17" t="n">
        <x:v>0</x:v>
      </x:c>
      <x:c r="K80" s="17" t="n">
        <x:v>211310.53</x:v>
      </x:c>
      <x:c r="L80" s="17" t="n">
        <x:v>211310.53</x:v>
      </x:c>
      <x:c r="M80" s="17" t="n">
        <x:v>-9052129.23</x:v>
      </x:c>
      <x:c r="N80" s="14" t="str">
        <x:v>High Transaction; Recurring Transaction</x:v>
      </x:c>
      <x:c r="O80" s="14" t="str">
        <x:v>Yes</x:v>
      </x:c>
      <x:c r="P80" s="14" t="str">
        <x:v>EBANKWIB</x:v>
      </x:c>
      <x:c r="Q80" s="14" t="n">
        <x:v>0</x:v>
      </x:c>
      <x:c r="R80" s="14" t="n">
        <x:v>1</x:v>
      </x:c>
      <x:c r="S80" s="14" t="n">
        <x:v>0</x:v>
      </x:c>
      <x:c r="T80" s="14" t="n">
        <x:v>0</x:v>
      </x:c>
      <x:c r="U80" s="14" t="n">
        <x:v>1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46131</x:v>
      </x:c>
    </x:row>
    <x:row r="81">
      <x:c r="A81" s="14" t="n">
        <x:v>77</x:v>
      </x:c>
      <x:c r="B81" s="14" t="str">
        <x:v>273.pdf</x:v>
      </x:c>
      <x:c r="C81" s="15" t="n">
        <x:v>45181</x:v>
      </x:c>
      <x:c r="D81" s="15" t="n">
        <x:v>46146</x:v>
      </x:c>
      <x:c r="E81" s="15" t="n">
        <x:v>46132</x:v>
      </x:c>
      <x:c r="F81" s="15" t="n">
        <x:v>46132</x:v>
      </x:c>
      <x:c r="G81" s="16" t="str">
        <x:v>EBANK:WIB/1504 Dr EBANK:WIB/1504717278/Edfs</x:v>
      </x:c>
      <x:c r="H81" s="14" t="str"/>
      <x:c r="I81" s="14" t="str">
        <x:v>Receipt</x:v>
      </x:c>
      <x:c r="J81" s="17" t="n">
        <x:v>0</x:v>
      </x:c>
      <x:c r="K81" s="17" t="n">
        <x:v>260572.52</x:v>
      </x:c>
      <x:c r="L81" s="17" t="n">
        <x:v>260572.52</x:v>
      </x:c>
      <x:c r="M81" s="17" t="n">
        <x:v>-8791556.71</x:v>
      </x:c>
      <x:c r="N81" s="14" t="str">
        <x:v>High Transaction; Recurring Transaction</x:v>
      </x:c>
      <x:c r="O81" s="14" t="str">
        <x:v>Yes</x:v>
      </x:c>
      <x:c r="P81" s="14" t="str">
        <x:v>EBANKWIB</x:v>
      </x:c>
      <x:c r="Q81" s="14" t="n">
        <x:v>0</x:v>
      </x:c>
      <x:c r="R81" s="14" t="n">
        <x:v>1</x:v>
      </x:c>
      <x:c r="S81" s="14" t="n">
        <x:v>0</x:v>
      </x:c>
      <x:c r="T81" s="14" t="n">
        <x:v>0</x:v>
      </x:c>
      <x:c r="U81" s="14" t="n">
        <x:v>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46132</x:v>
      </x:c>
    </x:row>
    <x:row r="82">
      <x:c r="A82" s="14" t="n">
        <x:v>78</x:v>
      </x:c>
      <x:c r="B82" s="14" t="str">
        <x:v>273.pdf</x:v>
      </x:c>
      <x:c r="C82" s="15" t="n">
        <x:v>45181</x:v>
      </x:c>
      <x:c r="D82" s="15" t="n">
        <x:v>46146</x:v>
      </x:c>
      <x:c r="E82" s="15" t="n">
        <x:v>46132</x:v>
      </x:c>
      <x:c r="F82" s="15" t="n">
        <x:v>46132</x:v>
      </x:c>
      <x:c r="G82" s="16" t="str">
        <x:v>RISHIK-RISHIKE Dr ---------------------------------------------------------------------------------------------------------------------------------- Page Total: 19,44,748.30 22,50,998.09 87,91,771.86Dr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</x:v>
      </x:c>
      <x:c r="H82" s="14" t="str"/>
      <x:c r="I82" s="14" t="str">
        <x:v>Payment</x:v>
      </x:c>
      <x:c r="J82" s="17" t="n">
        <x:v>215.15</x:v>
      </x:c>
      <x:c r="K82" s="17" t="n">
        <x:v>0</x:v>
      </x:c>
      <x:c r="L82" s="17" t="n">
        <x:v>215.15</x:v>
      </x:c>
      <x:c r="M82" s="17" t="n">
        <x:v>-8791771.86</x:v>
      </x:c>
      <x:c r="N82" s="14" t="str">
        <x:v>Other</x:v>
      </x:c>
      <x:c r="O82" s="14" t="str">
        <x:v>No</x:v>
      </x:c>
      <x:c r="P82" s="14" t="str">
        <x:v>RISHIKE DR</x:v>
      </x:c>
      <x:c r="Q82" s="14" t="n">
        <x:v>0</x:v>
      </x:c>
      <x:c r="R82" s="14" t="n">
        <x:v>0</x:v>
      </x:c>
      <x:c r="S82" s="14" t="n">
        <x:v>0</x:v>
      </x:c>
      <x:c r="T82" s="14" t="n">
        <x:v>0</x:v>
      </x:c>
      <x:c r="U82" s="14" t="n">
        <x:v>0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46132</x:v>
      </x:c>
    </x:row>
    <x:row r="83">
      <x:c r="A83" s="14" t="n">
        <x:v>79</x:v>
      </x:c>
      <x:c r="B83" s="14" t="str">
        <x:v>273.pdf</x:v>
      </x:c>
      <x:c r="C83" s="15" t="n">
        <x:v>45181</x:v>
      </x:c>
      <x:c r="D83" s="15" t="n">
        <x:v>46146</x:v>
      </x:c>
      <x:c r="E83" s="15" t="n">
        <x:v>46132</x:v>
      </x:c>
      <x:c r="F83" s="15" t="n">
        <x:v>46132</x:v>
      </x:c>
      <x:c r="G83" s="16" t="str">
        <x:v>BY CASH Dr BY CASH</x:v>
      </x:c>
      <x:c r="H83" s="14" t="str"/>
      <x:c r="I83" s="14" t="str">
        <x:v>Receipt</x:v>
      </x:c>
      <x:c r="J83" s="17" t="n">
        <x:v>0</x:v>
      </x:c>
      <x:c r="K83" s="17" t="n">
        <x:v>336500</x:v>
      </x:c>
      <x:c r="L83" s="17" t="n">
        <x:v>336500</x:v>
      </x:c>
      <x:c r="M83" s="17" t="n">
        <x:v>-8455271.86</x:v>
      </x:c>
      <x:c r="N83" s="14" t="str">
        <x:v>Cash; High Transaction; Recurring Transaction</x:v>
      </x:c>
      <x:c r="O83" s="14" t="str">
        <x:v>Yes</x:v>
      </x:c>
      <x:c r="P83" s="14" t="str">
        <x:v>BY CASH DR BY CASH</x:v>
      </x:c>
      <x:c r="Q83" s="14" t="n">
        <x:v>1</x:v>
      </x:c>
      <x:c r="R83" s="14" t="n">
        <x:v>1</x:v>
      </x:c>
      <x:c r="S83" s="14" t="n">
        <x:v>0</x:v>
      </x:c>
      <x:c r="T83" s="14" t="n">
        <x:v>0</x:v>
      </x:c>
      <x:c r="U83" s="14" t="n">
        <x:v>1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46132</x:v>
      </x:c>
    </x:row>
    <x:row r="84">
      <x:c r="A84" s="14" t="n">
        <x:v>80</x:v>
      </x:c>
      <x:c r="B84" s="14" t="str">
        <x:v>273.pdf</x:v>
      </x:c>
      <x:c r="C84" s="15" t="n">
        <x:v>45181</x:v>
      </x:c>
      <x:c r="D84" s="15" t="n">
        <x:v>46146</x:v>
      </x:c>
      <x:c r="E84" s="15" t="n">
        <x:v>46132</x:v>
      </x:c>
      <x:c r="F84" s="15" t="n">
        <x:v>46132</x:v>
      </x:c>
      <x:c r="G84" s="16" t="str">
        <x:v>EBANK:WIB/1504 Dr EBANK:WIB/1504868004/Edfs</x:v>
      </x:c>
      <x:c r="H84" s="14" t="str"/>
      <x:c r="I84" s="14" t="str">
        <x:v>Receipt</x:v>
      </x:c>
      <x:c r="J84" s="17" t="n">
        <x:v>0</x:v>
      </x:c>
      <x:c r="K84" s="17" t="n">
        <x:v>287084.78</x:v>
      </x:c>
      <x:c r="L84" s="17" t="n">
        <x:v>287084.78</x:v>
      </x:c>
      <x:c r="M84" s="17" t="n">
        <x:v>-8168187.08</x:v>
      </x:c>
      <x:c r="N84" s="14" t="str">
        <x:v>High Transaction; Recurring Transaction</x:v>
      </x:c>
      <x:c r="O84" s="14" t="str">
        <x:v>Yes</x:v>
      </x:c>
      <x:c r="P84" s="14" t="str">
        <x:v>EBANKWIB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1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46132</x:v>
      </x:c>
    </x:row>
    <x:row r="85">
      <x:c r="A85" s="14" t="n">
        <x:v>81</x:v>
      </x:c>
      <x:c r="B85" s="14" t="str">
        <x:v>273.pdf</x:v>
      </x:c>
      <x:c r="C85" s="15" t="n">
        <x:v>45181</x:v>
      </x:c>
      <x:c r="D85" s="15" t="n">
        <x:v>46146</x:v>
      </x:c>
      <x:c r="E85" s="15" t="n">
        <x:v>46133</x:v>
      </x:c>
      <x:c r="F85" s="15" t="n">
        <x:v>46133</x:v>
      </x:c>
      <x:c r="G85" s="16" t="str">
        <x:v>EBANK:WIB/1504 Dr EBANK:WIB/1504892301/Edfs</x:v>
      </x:c>
      <x:c r="H85" s="14" t="str"/>
      <x:c r="I85" s="14" t="str">
        <x:v>Receipt</x:v>
      </x:c>
      <x:c r="J85" s="17" t="n">
        <x:v>0</x:v>
      </x:c>
      <x:c r="K85" s="17" t="n">
        <x:v>333445.92</x:v>
      </x:c>
      <x:c r="L85" s="17" t="n">
        <x:v>333445.92</x:v>
      </x:c>
      <x:c r="M85" s="17" t="n">
        <x:v>-7834741.16</x:v>
      </x:c>
      <x:c r="N85" s="14" t="str">
        <x:v>High Transaction; Recurring Transaction</x:v>
      </x:c>
      <x:c r="O85" s="14" t="str">
        <x:v>Yes</x:v>
      </x:c>
      <x:c r="P85" s="14" t="str">
        <x:v>EBANKWIB</x:v>
      </x:c>
      <x:c r="Q85" s="14" t="n">
        <x:v>0</x:v>
      </x:c>
      <x:c r="R85" s="14" t="n">
        <x:v>1</x:v>
      </x:c>
      <x:c r="S85" s="14" t="n">
        <x:v>0</x:v>
      </x:c>
      <x:c r="T85" s="14" t="n">
        <x:v>0</x:v>
      </x:c>
      <x:c r="U85" s="14" t="n">
        <x:v>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46133</x:v>
      </x:c>
    </x:row>
    <x:row r="86">
      <x:c r="A86" s="14" t="n">
        <x:v>82</x:v>
      </x:c>
      <x:c r="B86" s="14" t="str">
        <x:v>273.pdf</x:v>
      </x:c>
      <x:c r="C86" s="15" t="n">
        <x:v>45181</x:v>
      </x:c>
      <x:c r="D86" s="15" t="n">
        <x:v>46146</x:v>
      </x:c>
      <x:c r="E86" s="15" t="n">
        <x:v>46133</x:v>
      </x:c>
      <x:c r="F86" s="15" t="n">
        <x:v>46133</x:v>
      </x:c>
      <x:c r="G86" s="16" t="str">
        <x:v>MANNAG-NAGPUR/ Dr INT260404DEAL6301802 https://cbdrpt101.bankofbaroda.co.in:22000/finbranch/arjspmorph/INFENG/tran_rpt.jsp?... 04-05-2026</x:v>
      </x:c>
      <x:c r="H86" s="14" t="str"/>
      <x:c r="I86" s="14" t="str">
        <x:v>Payment</x:v>
      </x:c>
      <x:c r="J86" s="17" t="n">
        <x:v>6.88</x:v>
      </x:c>
      <x:c r="K86" s="17" t="n">
        <x:v>0</x:v>
      </x:c>
      <x:c r="L86" s="17" t="n">
        <x:v>6.88</x:v>
      </x:c>
      <x:c r="M86" s="17" t="n">
        <x:v>-7834748.04</x:v>
      </x:c>
      <x:c r="N86" s="14" t="str">
        <x:v>Other</x:v>
      </x:c>
      <x:c r="O86" s="14" t="str">
        <x:v>No</x:v>
      </x:c>
      <x:c r="P86" s="14" t="str">
        <x:v>DR INTDEAL HTTPS</x:v>
      </x:c>
      <x:c r="Q86" s="14" t="n">
        <x:v>0</x:v>
      </x:c>
      <x:c r="R86" s="14" t="n">
        <x:v>0</x:v>
      </x:c>
      <x:c r="S86" s="14" t="n">
        <x:v>0</x:v>
      </x:c>
      <x:c r="T86" s="14" t="n">
        <x:v>0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46133</x:v>
      </x:c>
    </x:row>
    <x:row r="87">
      <x:c r="A87" s="14" t="n">
        <x:v>83</x:v>
      </x:c>
      <x:c r="B87" s="14" t="str">
        <x:v>273.pdf</x:v>
      </x:c>
      <x:c r="C87" s="15" t="n">
        <x:v>45181</x:v>
      </x:c>
      <x:c r="D87" s="15" t="n">
        <x:v>46146</x:v>
      </x:c>
      <x:c r="E87" s="15" t="n">
        <x:v>46133</x:v>
      </x:c>
      <x:c r="F87" s="15" t="n">
        <x:v>46133</x:v>
      </x:c>
      <x:c r="G87" s="16" t="str">
        <x:v>RTGS-BARBR5202 Dr RTGS-BARBR52026042100866436-HINDUSTAN PETROLEUM CO</x:v>
      </x:c>
      <x:c r="H87" s="14" t="str"/>
      <x:c r="I87" s="14" t="str">
        <x:v>Payment</x:v>
      </x:c>
      <x:c r="J87" s="17" t="n">
        <x:v>2042157.6</x:v>
      </x:c>
      <x:c r="K87" s="17" t="n">
        <x:v>0</x:v>
      </x:c>
      <x:c r="L87" s="17" t="n">
        <x:v>2042157.6</x:v>
      </x:c>
      <x:c r="M87" s="17" t="n">
        <x:v>-9876905.64</x:v>
      </x:c>
      <x:c r="N87" s="14" t="str">
        <x:v>High Transaction; Recurring Transaction</x:v>
      </x:c>
      <x:c r="O87" s="14" t="str">
        <x:v>Yes</x:v>
      </x:c>
      <x:c r="P87" s="14" t="str">
        <x:v>BARBR DR RTGS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46133</x:v>
      </x:c>
    </x:row>
    <x:row r="88">
      <x:c r="A88" s="14" t="n">
        <x:v>84</x:v>
      </x:c>
      <x:c r="B88" s="14" t="str">
        <x:v>273.pdf</x:v>
      </x:c>
      <x:c r="C88" s="15" t="n">
        <x:v>45181</x:v>
      </x:c>
      <x:c r="D88" s="15" t="n">
        <x:v>46146</x:v>
      </x:c>
      <x:c r="E88" s="15" t="n">
        <x:v>46133</x:v>
      </x:c>
      <x:c r="F88" s="15" t="n">
        <x:v>46133</x:v>
      </x:c>
      <x:c r="G88" s="16" t="str">
        <x:v>BY CASH Dr BY CASH</x:v>
      </x:c>
      <x:c r="H88" s="14" t="str"/>
      <x:c r="I88" s="14" t="str">
        <x:v>Receipt</x:v>
      </x:c>
      <x:c r="J88" s="17" t="n">
        <x:v>0</x:v>
      </x:c>
      <x:c r="K88" s="17" t="n">
        <x:v>150500</x:v>
      </x:c>
      <x:c r="L88" s="17" t="n">
        <x:v>150500</x:v>
      </x:c>
      <x:c r="M88" s="17" t="n">
        <x:v>-9726405.64</x:v>
      </x:c>
      <x:c r="N88" s="14" t="str">
        <x:v>Cash; High Transaction; Recurring Transaction</x:v>
      </x:c>
      <x:c r="O88" s="14" t="str">
        <x:v>Yes</x:v>
      </x:c>
      <x:c r="P88" s="14" t="str">
        <x:v>BY CASH DR BY CASH</x:v>
      </x:c>
      <x:c r="Q88" s="14" t="n">
        <x:v>1</x:v>
      </x:c>
      <x:c r="R88" s="14" t="n">
        <x:v>1</x:v>
      </x:c>
      <x:c r="S88" s="14" t="n">
        <x:v>0</x:v>
      </x:c>
      <x:c r="T88" s="14" t="n">
        <x:v>0</x:v>
      </x:c>
      <x:c r="U88" s="14" t="n">
        <x:v>1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46133</x:v>
      </x:c>
    </x:row>
    <x:row r="89">
      <x:c r="A89" s="14" t="n">
        <x:v>85</x:v>
      </x:c>
      <x:c r="B89" s="14" t="str">
        <x:v>273.pdf</x:v>
      </x:c>
      <x:c r="C89" s="15" t="n">
        <x:v>45181</x:v>
      </x:c>
      <x:c r="D89" s="15" t="n">
        <x:v>46146</x:v>
      </x:c>
      <x:c r="E89" s="15" t="n">
        <x:v>46133</x:v>
      </x:c>
      <x:c r="F89" s="15" t="n">
        <x:v>46133</x:v>
      </x:c>
      <x:c r="G89" s="16" t="str">
        <x:v>EBANK:WIB/1505 Dr EBANK:WIB/1505043394/Edfs</x:v>
      </x:c>
      <x:c r="H89" s="14" t="str"/>
      <x:c r="I89" s="14" t="str">
        <x:v>Receipt</x:v>
      </x:c>
      <x:c r="J89" s="17" t="n">
        <x:v>0</x:v>
      </x:c>
      <x:c r="K89" s="17" t="n">
        <x:v>108963.7</x:v>
      </x:c>
      <x:c r="L89" s="17" t="n">
        <x:v>108963.7</x:v>
      </x:c>
      <x:c r="M89" s="17" t="n">
        <x:v>-9617441.94</x:v>
      </x:c>
      <x:c r="N89" s="14" t="str">
        <x:v>High Transaction; Recurring Transaction</x:v>
      </x:c>
      <x:c r="O89" s="14" t="str">
        <x:v>Yes</x:v>
      </x:c>
      <x:c r="P89" s="14" t="str">
        <x:v>EBANKWIB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1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46133</x:v>
      </x:c>
    </x:row>
    <x:row r="90">
      <x:c r="A90" s="14" t="n">
        <x:v>86</x:v>
      </x:c>
      <x:c r="B90" s="14" t="str">
        <x:v>273.pdf</x:v>
      </x:c>
      <x:c r="C90" s="15" t="n">
        <x:v>45181</x:v>
      </x:c>
      <x:c r="D90" s="15" t="n">
        <x:v>46146</x:v>
      </x:c>
      <x:c r="E90" s="15" t="n">
        <x:v>46134</x:v>
      </x:c>
      <x:c r="F90" s="15" t="n">
        <x:v>46134</x:v>
      </x:c>
      <x:c r="G90" s="16" t="str">
        <x:v>0000-MUMBAI/IN Dr INT260407DEAL6316451</x:v>
      </x:c>
      <x:c r="H90" s="14" t="str"/>
      <x:c r="I90" s="14" t="str">
        <x:v>Payment</x:v>
      </x:c>
      <x:c r="J90" s="17" t="n">
        <x:v>6617.14</x:v>
      </x:c>
      <x:c r="K90" s="17" t="n">
        <x:v>0</x:v>
      </x:c>
      <x:c r="L90" s="17" t="n">
        <x:v>6617.14</x:v>
      </x:c>
      <x:c r="M90" s="17" t="n">
        <x:v>-9624059.08</x:v>
      </x:c>
      <x:c r="N90" s="14" t="str">
        <x:v>Recurring Transaction</x:v>
      </x:c>
      <x:c r="O90" s="14" t="str">
        <x:v>Yes</x:v>
      </x:c>
      <x:c r="P90" s="14" t="str">
        <x:v>IN DR INTDEAL</x:v>
      </x:c>
      <x:c r="Q90" s="14" t="n">
        <x:v>0</x:v>
      </x:c>
      <x:c r="R90" s="14" t="n">
        <x:v>1</x:v>
      </x:c>
      <x:c r="S90" s="14" t="n">
        <x:v>0</x:v>
      </x:c>
      <x:c r="T90" s="14" t="n">
        <x:v>0</x:v>
      </x:c>
      <x:c r="U90" s="14" t="n">
        <x:v>0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46134</x:v>
      </x:c>
    </x:row>
    <x:row r="91">
      <x:c r="A91" s="14" t="n">
        <x:v>87</x:v>
      </x:c>
      <x:c r="B91" s="14" t="str">
        <x:v>273.pdf</x:v>
      </x:c>
      <x:c r="C91" s="15" t="n">
        <x:v>45181</x:v>
      </x:c>
      <x:c r="D91" s="15" t="n">
        <x:v>46146</x:v>
      </x:c>
      <x:c r="E91" s="15" t="n">
        <x:v>46134</x:v>
      </x:c>
      <x:c r="F91" s="15" t="n">
        <x:v>46134</x:v>
      </x:c>
      <x:c r="G91" s="16" t="str">
        <x:v>EBANK:WIB/1505 Dr EBANK:WIB/1505048812/Edfs</x:v>
      </x:c>
      <x:c r="H91" s="14" t="str"/>
      <x:c r="I91" s="14" t="str">
        <x:v>Receipt</x:v>
      </x:c>
      <x:c r="J91" s="17" t="n">
        <x:v>0</x:v>
      </x:c>
      <x:c r="K91" s="17" t="n">
        <x:v>259307.24</x:v>
      </x:c>
      <x:c r="L91" s="17" t="n">
        <x:v>259307.24</x:v>
      </x:c>
      <x:c r="M91" s="17" t="n">
        <x:v>-9364751.84</x:v>
      </x:c>
      <x:c r="N91" s="14" t="str">
        <x:v>High Transaction; Recurring Transaction</x:v>
      </x:c>
      <x:c r="O91" s="14" t="str">
        <x:v>Yes</x:v>
      </x:c>
      <x:c r="P91" s="14" t="str">
        <x:v>EBANKWIB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1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46134</x:v>
      </x:c>
    </x:row>
    <x:row r="92">
      <x:c r="A92" s="14" t="n">
        <x:v>88</x:v>
      </x:c>
      <x:c r="B92" s="14" t="str">
        <x:v>273.pdf</x:v>
      </x:c>
      <x:c r="C92" s="15" t="n">
        <x:v>45181</x:v>
      </x:c>
      <x:c r="D92" s="15" t="n">
        <x:v>46146</x:v>
      </x:c>
      <x:c r="E92" s="15" t="n">
        <x:v>46134</x:v>
      </x:c>
      <x:c r="F92" s="15" t="n">
        <x:v>46134</x:v>
      </x:c>
      <x:c r="G92" s="16" t="str">
        <x:v>0000-MUMBAI/IN Dr INT260407DEAL6316451</x:v>
      </x:c>
      <x:c r="H92" s="14" t="str"/>
      <x:c r="I92" s="14" t="str">
        <x:v>Receipt</x:v>
      </x:c>
      <x:c r="J92" s="17" t="n">
        <x:v>0</x:v>
      </x:c>
      <x:c r="K92" s="17" t="n">
        <x:v>25.67</x:v>
      </x:c>
      <x:c r="L92" s="17" t="n">
        <x:v>25.67</x:v>
      </x:c>
      <x:c r="M92" s="17" t="n">
        <x:v>-9364726.17</x:v>
      </x:c>
      <x:c r="N92" s="14" t="str">
        <x:v>Recurring Transaction</x:v>
      </x:c>
      <x:c r="O92" s="14" t="str">
        <x:v>Yes</x:v>
      </x:c>
      <x:c r="P92" s="14" t="str">
        <x:v>IN DR INTDEAL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0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46134</x:v>
      </x:c>
    </x:row>
    <x:row r="93">
      <x:c r="A93" s="14" t="n">
        <x:v>89</x:v>
      </x:c>
      <x:c r="B93" s="14" t="str">
        <x:v>273.pdf</x:v>
      </x:c>
      <x:c r="C93" s="15" t="n">
        <x:v>45181</x:v>
      </x:c>
      <x:c r="D93" s="15" t="n">
        <x:v>46146</x:v>
      </x:c>
      <x:c r="E93" s="15" t="n">
        <x:v>46134</x:v>
      </x:c>
      <x:c r="F93" s="15" t="n">
        <x:v>46134</x:v>
      </x:c>
      <x:c r="G93" s="16" t="str">
        <x:v>BY CASH Dr BY CASH</x:v>
      </x:c>
      <x:c r="H93" s="14" t="str"/>
      <x:c r="I93" s="14" t="str">
        <x:v>Receipt</x:v>
      </x:c>
      <x:c r="J93" s="17" t="n">
        <x:v>0</x:v>
      </x:c>
      <x:c r="K93" s="17" t="n">
        <x:v>609000</x:v>
      </x:c>
      <x:c r="L93" s="17" t="n">
        <x:v>609000</x:v>
      </x:c>
      <x:c r="M93" s="17" t="n">
        <x:v>-8755726.17</x:v>
      </x:c>
      <x:c r="N93" s="14" t="str">
        <x:v>Cash; High Transaction; Recurring Transaction</x:v>
      </x:c>
      <x:c r="O93" s="14" t="str">
        <x:v>Yes</x:v>
      </x:c>
      <x:c r="P93" s="14" t="str">
        <x:v>BY CASH DR BY CASH</x:v>
      </x:c>
      <x:c r="Q93" s="14" t="n">
        <x:v>1</x:v>
      </x:c>
      <x:c r="R93" s="14" t="n">
        <x:v>1</x:v>
      </x:c>
      <x:c r="S93" s="14" t="n">
        <x:v>0</x:v>
      </x:c>
      <x:c r="T93" s="14" t="n">
        <x:v>0</x:v>
      </x:c>
      <x:c r="U93" s="14" t="n">
        <x:v>1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46134</x:v>
      </x:c>
    </x:row>
    <x:row r="94">
      <x:c r="A94" s="14" t="n">
        <x:v>90</x:v>
      </x:c>
      <x:c r="B94" s="14" t="str">
        <x:v>273.pdf</x:v>
      </x:c>
      <x:c r="C94" s="15" t="n">
        <x:v>45181</x:v>
      </x:c>
      <x:c r="D94" s="15" t="n">
        <x:v>46146</x:v>
      </x:c>
      <x:c r="E94" s="15" t="n">
        <x:v>46134</x:v>
      </x:c>
      <x:c r="F94" s="15" t="n">
        <x:v>46134</x:v>
      </x:c>
      <x:c r="G94" s="16" t="str">
        <x:v>EBANK:WIB/1505 Dr EBANK:WIB/1505171210/Edfs</x:v>
      </x:c>
      <x:c r="H94" s="14" t="str"/>
      <x:c r="I94" s="14" t="str">
        <x:v>Receipt</x:v>
      </x:c>
      <x:c r="J94" s="17" t="n">
        <x:v>0</x:v>
      </x:c>
      <x:c r="K94" s="17" t="n">
        <x:v>356256.8</x:v>
      </x:c>
      <x:c r="L94" s="17" t="n">
        <x:v>356256.8</x:v>
      </x:c>
      <x:c r="M94" s="17" t="n">
        <x:v>-8399469.37</x:v>
      </x:c>
      <x:c r="N94" s="14" t="str">
        <x:v>High Transaction; Recurring Transaction</x:v>
      </x:c>
      <x:c r="O94" s="14" t="str">
        <x:v>Yes</x:v>
      </x:c>
      <x:c r="P94" s="14" t="str">
        <x:v>EBANKWIB</x:v>
      </x:c>
      <x:c r="Q94" s="14" t="n">
        <x:v>0</x:v>
      </x:c>
      <x:c r="R94" s="14" t="n">
        <x:v>1</x:v>
      </x:c>
      <x:c r="S94" s="14" t="n">
        <x:v>0</x:v>
      </x:c>
      <x:c r="T94" s="14" t="n">
        <x:v>0</x:v>
      </x:c>
      <x:c r="U94" s="14" t="n">
        <x:v>1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46134</x:v>
      </x:c>
    </x:row>
    <x:row r="95">
      <x:c r="A95" s="14" t="n">
        <x:v>91</x:v>
      </x:c>
      <x:c r="B95" s="14" t="str">
        <x:v>273.pdf</x:v>
      </x:c>
      <x:c r="C95" s="15" t="n">
        <x:v>45181</x:v>
      </x:c>
      <x:c r="D95" s="15" t="n">
        <x:v>46146</x:v>
      </x:c>
      <x:c r="E95" s="15" t="n">
        <x:v>46134</x:v>
      </x:c>
      <x:c r="F95" s="15" t="n">
        <x:v>46134</x:v>
      </x:c>
      <x:c r="G95" s="16" t="str">
        <x:v>RTGS-BARBR5202 Dr RTGS-BARBR52026042200989175-HINDUSTAN PETROLEUM CO</x:v>
      </x:c>
      <x:c r="H95" s="14" t="str"/>
      <x:c r="I95" s="14" t="str">
        <x:v>Payment</x:v>
      </x:c>
      <x:c r="J95" s="17" t="n">
        <x:v>1600530</x:v>
      </x:c>
      <x:c r="K95" s="17" t="n">
        <x:v>0</x:v>
      </x:c>
      <x:c r="L95" s="17" t="n">
        <x:v>1600530</x:v>
      </x:c>
      <x:c r="M95" s="17" t="n">
        <x:v>-9999999.37</x:v>
      </x:c>
      <x:c r="N95" s="14" t="str">
        <x:v>High Transaction; Recurring Transaction</x:v>
      </x:c>
      <x:c r="O95" s="14" t="str">
        <x:v>Yes</x:v>
      </x:c>
      <x:c r="P95" s="14" t="str">
        <x:v>BARBR DR RTGS</x:v>
      </x:c>
      <x:c r="Q95" s="14" t="n">
        <x:v>0</x:v>
      </x:c>
      <x:c r="R95" s="14" t="n">
        <x:v>1</x:v>
      </x:c>
      <x:c r="S95" s="14" t="n">
        <x:v>0</x:v>
      </x:c>
      <x:c r="T95" s="14" t="n">
        <x:v>0</x:v>
      </x:c>
      <x:c r="U95" s="14" t="n">
        <x:v>1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46134</x:v>
      </x:c>
    </x:row>
    <x:row r="96">
      <x:c r="A96" s="14" t="n">
        <x:v>92</x:v>
      </x:c>
      <x:c r="B96" s="14" t="str">
        <x:v>273.pdf</x:v>
      </x:c>
      <x:c r="C96" s="15" t="n">
        <x:v>45181</x:v>
      </x:c>
      <x:c r="D96" s="15" t="n">
        <x:v>46146</x:v>
      </x:c>
      <x:c r="E96" s="15" t="n">
        <x:v>46134</x:v>
      </x:c>
      <x:c r="F96" s="15" t="n">
        <x:v>46134</x:v>
      </x:c>
      <x:c r="G96" s="16" t="str">
        <x:v>EBANK:WIB/1505 Dr EBANK:WIB/1505187993/Edfs</x:v>
      </x:c>
      <x:c r="H96" s="14" t="str"/>
      <x:c r="I96" s="14" t="str">
        <x:v>Receipt</x:v>
      </x:c>
      <x:c r="J96" s="17" t="n">
        <x:v>0</x:v>
      </x:c>
      <x:c r="K96" s="17" t="n">
        <x:v>50000</x:v>
      </x:c>
      <x:c r="L96" s="17" t="n">
        <x:v>50000</x:v>
      </x:c>
      <x:c r="M96" s="17" t="n">
        <x:v>-9949999.37</x:v>
      </x:c>
      <x:c r="N96" s="14" t="str">
        <x:v>Recurring Transaction</x:v>
      </x:c>
      <x:c r="O96" s="14" t="str">
        <x:v>Yes</x:v>
      </x:c>
      <x:c r="P96" s="14" t="str">
        <x:v>EBANKWIB</x:v>
      </x:c>
      <x:c r="Q96" s="14" t="n">
        <x:v>0</x:v>
      </x:c>
      <x:c r="R96" s="14" t="n">
        <x:v>1</x:v>
      </x:c>
      <x:c r="S96" s="14" t="n">
        <x:v>0</x:v>
      </x:c>
      <x:c r="T96" s="14" t="n">
        <x:v>0</x:v>
      </x:c>
      <x:c r="U96" s="14" t="n">
        <x:v>0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46134</x:v>
      </x:c>
    </x:row>
    <x:row r="97">
      <x:c r="A97" s="14" t="n">
        <x:v>93</x:v>
      </x:c>
      <x:c r="B97" s="14" t="str">
        <x:v>273.pdf</x:v>
      </x:c>
      <x:c r="C97" s="15" t="n">
        <x:v>45181</x:v>
      </x:c>
      <x:c r="D97" s="15" t="n">
        <x:v>46146</x:v>
      </x:c>
      <x:c r="E97" s="15" t="n">
        <x:v>46135</x:v>
      </x:c>
      <x:c r="F97" s="15" t="n">
        <x:v>46135</x:v>
      </x:c>
      <x:c r="G97" s="16" t="str">
        <x:v>EBANK:WIB/1505 Dr EBANK:WIB/1505193929/Edfs</x:v>
      </x:c>
      <x:c r="H97" s="14" t="str"/>
      <x:c r="I97" s="14" t="str">
        <x:v>Receipt</x:v>
      </x:c>
      <x:c r="J97" s="17" t="n">
        <x:v>0</x:v>
      </x:c>
      <x:c r="K97" s="17" t="n">
        <x:v>224683</x:v>
      </x:c>
      <x:c r="L97" s="17" t="n">
        <x:v>224683</x:v>
      </x:c>
      <x:c r="M97" s="17" t="n">
        <x:v>-9725316.37</x:v>
      </x:c>
      <x:c r="N97" s="14" t="str">
        <x:v>High Transaction; Recurring Transaction</x:v>
      </x:c>
      <x:c r="O97" s="14" t="str">
        <x:v>Yes</x:v>
      </x:c>
      <x:c r="P97" s="14" t="str">
        <x:v>EBANKWIB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1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46135</x:v>
      </x:c>
    </x:row>
    <x:row r="98">
      <x:c r="A98" s="14" t="n">
        <x:v>94</x:v>
      </x:c>
      <x:c r="B98" s="14" t="str">
        <x:v>273.pdf</x:v>
      </x:c>
      <x:c r="C98" s="15" t="n">
        <x:v>45181</x:v>
      </x:c>
      <x:c r="D98" s="15" t="n">
        <x:v>46146</x:v>
      </x:c>
      <x:c r="E98" s="15" t="n">
        <x:v>46135</x:v>
      </x:c>
      <x:c r="F98" s="15" t="n">
        <x:v>46135</x:v>
      </x:c>
      <x:c r="G98" s="16" t="str">
        <x:v>EBANK:WIB/1505 Dr EBANK:WIB/1505194002/Edfs</x:v>
      </x:c>
      <x:c r="H98" s="14" t="str"/>
      <x:c r="I98" s="14" t="str">
        <x:v>Receipt</x:v>
      </x:c>
      <x:c r="J98" s="17" t="n">
        <x:v>0</x:v>
      </x:c>
      <x:c r="K98" s="17" t="n">
        <x:v>82795.52</x:v>
      </x:c>
      <x:c r="L98" s="17" t="n">
        <x:v>82795.52</x:v>
      </x:c>
      <x:c r="M98" s="17" t="n">
        <x:v>-9642520.85</x:v>
      </x:c>
      <x:c r="N98" s="14" t="str">
        <x:v>Recurring Transaction</x:v>
      </x:c>
      <x:c r="O98" s="14" t="str">
        <x:v>Yes</x:v>
      </x:c>
      <x:c r="P98" s="14" t="str">
        <x:v>EBANKWIB</x:v>
      </x:c>
      <x:c r="Q98" s="14" t="n">
        <x:v>0</x:v>
      </x:c>
      <x:c r="R98" s="14" t="n">
        <x:v>1</x:v>
      </x:c>
      <x:c r="S98" s="14" t="n">
        <x:v>0</x:v>
      </x:c>
      <x:c r="T98" s="14" t="n">
        <x:v>0</x:v>
      </x:c>
      <x:c r="U98" s="14" t="n">
        <x:v>0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46135</x:v>
      </x:c>
    </x:row>
    <x:row r="99">
      <x:c r="A99" s="14" t="n">
        <x:v>95</x:v>
      </x:c>
      <x:c r="B99" s="14" t="str">
        <x:v>273.pdf</x:v>
      </x:c>
      <x:c r="C99" s="15" t="n">
        <x:v>45181</x:v>
      </x:c>
      <x:c r="D99" s="15" t="n">
        <x:v>46146</x:v>
      </x:c>
      <x:c r="E99" s="15" t="n">
        <x:v>46135</x:v>
      </x:c>
      <x:c r="F99" s="15" t="n">
        <x:v>46135</x:v>
      </x:c>
      <x:c r="G99" s="16" t="str">
        <x:v>MAYAJM-AJMER/I Dr ---------------------------------------------------------------------------------------------------------------------------------- Page Total: 36,49,328.33 27,98,562.63 96,42,537.56Dr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</x:v>
      </x:c>
      <x:c r="H99" s="14" t="str"/>
      <x:c r="I99" s="14" t="str">
        <x:v>Payment</x:v>
      </x:c>
      <x:c r="J99" s="17" t="n">
        <x:v>16.71</x:v>
      </x:c>
      <x:c r="K99" s="17" t="n">
        <x:v>0</x:v>
      </x:c>
      <x:c r="L99" s="17" t="n">
        <x:v>16.71</x:v>
      </x:c>
      <x:c r="M99" s="17" t="n">
        <x:v>-9642537.56</x:v>
      </x:c>
      <x:c r="N99" s="14" t="str">
        <x:v>Other</x:v>
      </x:c>
      <x:c r="O99" s="14" t="str">
        <x:v>No</x:v>
      </x:c>
      <x:c r="P99" s="14" t="str">
        <x:v>PAGE TOTAL   DR</x:v>
      </x:c>
      <x:c r="Q99" s="14" t="n">
        <x:v>0</x:v>
      </x:c>
      <x:c r="R99" s="14" t="n">
        <x:v>0</x:v>
      </x:c>
      <x:c r="S99" s="14" t="n">
        <x:v>0</x:v>
      </x:c>
      <x:c r="T99" s="14" t="n">
        <x:v>0</x:v>
      </x:c>
      <x:c r="U99" s="14" t="n">
        <x:v>0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46135</x:v>
      </x:c>
    </x:row>
    <x:row r="100">
      <x:c r="A100" s="14" t="n">
        <x:v>96</x:v>
      </x:c>
      <x:c r="B100" s="14" t="str">
        <x:v>273.pdf</x:v>
      </x:c>
      <x:c r="C100" s="15" t="n">
        <x:v>45181</x:v>
      </x:c>
      <x:c r="D100" s="15" t="n">
        <x:v>46146</x:v>
      </x:c>
      <x:c r="E100" s="15" t="n">
        <x:v>46135</x:v>
      </x:c>
      <x:c r="F100" s="15" t="n">
        <x:v>46135</x:v>
      </x:c>
      <x:c r="G100" s="16" t="str">
        <x:v>EBANK:WIB/1505 Dr EBANK:WIB/1505205959/Edfs</x:v>
      </x:c>
      <x:c r="H100" s="14" t="str"/>
      <x:c r="I100" s="14" t="str">
        <x:v>Receipt</x:v>
      </x:c>
      <x:c r="J100" s="17" t="n">
        <x:v>0</x:v>
      </x:c>
      <x:c r="K100" s="17" t="n">
        <x:v>269000</x:v>
      </x:c>
      <x:c r="L100" s="17" t="n">
        <x:v>269000</x:v>
      </x:c>
      <x:c r="M100" s="17" t="n">
        <x:v>-9373537.56</x:v>
      </x:c>
      <x:c r="N100" s="14" t="str">
        <x:v>High Transaction; Recurring Transaction</x:v>
      </x:c>
      <x:c r="O100" s="14" t="str">
        <x:v>Yes</x:v>
      </x:c>
      <x:c r="P100" s="14" t="str">
        <x:v>EBANKWIB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1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46135</x:v>
      </x:c>
    </x:row>
    <x:row r="101">
      <x:c r="A101" s="14" t="n">
        <x:v>97</x:v>
      </x:c>
      <x:c r="B101" s="14" t="str">
        <x:v>273.pdf</x:v>
      </x:c>
      <x:c r="C101" s="15" t="n">
        <x:v>45181</x:v>
      </x:c>
      <x:c r="D101" s="15" t="n">
        <x:v>46146</x:v>
      </x:c>
      <x:c r="E101" s="15" t="n">
        <x:v>46135</x:v>
      </x:c>
      <x:c r="F101" s="15" t="n">
        <x:v>46135</x:v>
      </x:c>
      <x:c r="G101" s="16" t="str">
        <x:v>RTGS-BARBR5202 Dr RTGS-BARBR52026042300993365-HINDUSTAN PETROLEUM CO</x:v>
      </x:c>
      <x:c r="H101" s="14" t="str"/>
      <x:c r="I101" s="14" t="str">
        <x:v>Payment</x:v>
      </x:c>
      <x:c r="J101" s="17" t="n">
        <x:v>428234.82</x:v>
      </x:c>
      <x:c r="K101" s="17" t="n">
        <x:v>0</x:v>
      </x:c>
      <x:c r="L101" s="17" t="n">
        <x:v>428234.82</x:v>
      </x:c>
      <x:c r="M101" s="17" t="n">
        <x:v>-9801772.38</x:v>
      </x:c>
      <x:c r="N101" s="14" t="str">
        <x:v>High Transaction; Recurring Transaction</x:v>
      </x:c>
      <x:c r="O101" s="14" t="str">
        <x:v>Yes</x:v>
      </x:c>
      <x:c r="P101" s="14" t="str">
        <x:v>BARBR DR RTGS</x:v>
      </x:c>
      <x:c r="Q101" s="14" t="n">
        <x:v>0</x:v>
      </x:c>
      <x:c r="R101" s="14" t="n">
        <x:v>1</x:v>
      </x:c>
      <x:c r="S101" s="14" t="n">
        <x:v>0</x:v>
      </x:c>
      <x:c r="T101" s="14" t="n">
        <x:v>0</x:v>
      </x:c>
      <x:c r="U101" s="14" t="n">
        <x:v>1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46135</x:v>
      </x:c>
    </x:row>
    <x:row r="102">
      <x:c r="A102" s="14" t="n">
        <x:v>98</x:v>
      </x:c>
      <x:c r="B102" s="14" t="str">
        <x:v>273.pdf</x:v>
      </x:c>
      <x:c r="C102" s="15" t="n">
        <x:v>45181</x:v>
      </x:c>
      <x:c r="D102" s="15" t="n">
        <x:v>46146</x:v>
      </x:c>
      <x:c r="E102" s="15" t="n">
        <x:v>46135</x:v>
      </x:c>
      <x:c r="F102" s="15" t="n">
        <x:v>46135</x:v>
      </x:c>
      <x:c r="G102" s="16" t="str">
        <x:v>BY CASH Dr BY CASH</x:v>
      </x:c>
      <x:c r="H102" s="14" t="str"/>
      <x:c r="I102" s="14" t="str">
        <x:v>Receipt</x:v>
      </x:c>
      <x:c r="J102" s="17" t="n">
        <x:v>0</x:v>
      </x:c>
      <x:c r="K102" s="17" t="n">
        <x:v>253500</x:v>
      </x:c>
      <x:c r="L102" s="17" t="n">
        <x:v>253500</x:v>
      </x:c>
      <x:c r="M102" s="17" t="n">
        <x:v>-9548272.38</x:v>
      </x:c>
      <x:c r="N102" s="14" t="str">
        <x:v>Cash; High Transaction; Recurring Transaction</x:v>
      </x:c>
      <x:c r="O102" s="14" t="str">
        <x:v>Yes</x:v>
      </x:c>
      <x:c r="P102" s="14" t="str">
        <x:v>BY CASH DR BY CASH</x:v>
      </x:c>
      <x:c r="Q102" s="14" t="n">
        <x:v>1</x:v>
      </x:c>
      <x:c r="R102" s="14" t="n">
        <x:v>1</x:v>
      </x:c>
      <x:c r="S102" s="14" t="n">
        <x:v>0</x:v>
      </x:c>
      <x:c r="T102" s="14" t="n">
        <x:v>0</x:v>
      </x:c>
      <x:c r="U102" s="14" t="n">
        <x:v>1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46135</x:v>
      </x:c>
    </x:row>
    <x:row r="103">
      <x:c r="A103" s="14" t="n">
        <x:v>99</x:v>
      </x:c>
      <x:c r="B103" s="14" t="str">
        <x:v>273.pdf</x:v>
      </x:c>
      <x:c r="C103" s="15" t="n">
        <x:v>45181</x:v>
      </x:c>
      <x:c r="D103" s="15" t="n">
        <x:v>46146</x:v>
      </x:c>
      <x:c r="E103" s="15" t="n">
        <x:v>46135</x:v>
      </x:c>
      <x:c r="F103" s="15" t="n">
        <x:v>46135</x:v>
      </x:c>
      <x:c r="G103" s="16" t="str">
        <x:v>RTGS-BARBR5202 Dr RTGS-BARBR52026042300772587-HINDUSTAN PETROLEUM CO</x:v>
      </x:c>
      <x:c r="H103" s="14" t="str"/>
      <x:c r="I103" s="14" t="str">
        <x:v>Payment</x:v>
      </x:c>
      <x:c r="J103" s="17" t="n">
        <x:v>451000</x:v>
      </x:c>
      <x:c r="K103" s="17" t="n">
        <x:v>0</x:v>
      </x:c>
      <x:c r="L103" s="17" t="n">
        <x:v>451000</x:v>
      </x:c>
      <x:c r="M103" s="17" t="n">
        <x:v>-9999272.38</x:v>
      </x:c>
      <x:c r="N103" s="14" t="str">
        <x:v>High Transaction; Recurring Transaction</x:v>
      </x:c>
      <x:c r="O103" s="14" t="str">
        <x:v>Yes</x:v>
      </x:c>
      <x:c r="P103" s="14" t="str">
        <x:v>BARBR DR RTGS</x:v>
      </x:c>
      <x:c r="Q103" s="14" t="n">
        <x:v>0</x:v>
      </x:c>
      <x:c r="R103" s="14" t="n">
        <x:v>1</x:v>
      </x:c>
      <x:c r="S103" s="14" t="n">
        <x:v>0</x:v>
      </x:c>
      <x:c r="T103" s="14" t="n">
        <x:v>0</x:v>
      </x:c>
      <x:c r="U103" s="14" t="n">
        <x:v>1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46135</x:v>
      </x:c>
    </x:row>
    <x:row r="104">
      <x:c r="A104" s="14" t="n">
        <x:v>100</x:v>
      </x:c>
      <x:c r="B104" s="14" t="str">
        <x:v>273.pdf</x:v>
      </x:c>
      <x:c r="C104" s="15" t="n">
        <x:v>45181</x:v>
      </x:c>
      <x:c r="D104" s="15" t="n">
        <x:v>46146</x:v>
      </x:c>
      <x:c r="E104" s="15" t="n">
        <x:v>46135</x:v>
      </x:c>
      <x:c r="F104" s="15" t="n">
        <x:v>46135</x:v>
      </x:c>
      <x:c r="G104" s="16" t="str">
        <x:v>EBANK:WIB/1505 Dr EBANK:WIB/1505315722/Edfs</x:v>
      </x:c>
      <x:c r="H104" s="14" t="str"/>
      <x:c r="I104" s="14" t="str">
        <x:v>Receipt</x:v>
      </x:c>
      <x:c r="J104" s="17" t="n">
        <x:v>0</x:v>
      </x:c>
      <x:c r="K104" s="17" t="n">
        <x:v>222635.35</x:v>
      </x:c>
      <x:c r="L104" s="17" t="n">
        <x:v>222635.35</x:v>
      </x:c>
      <x:c r="M104" s="17" t="n">
        <x:v>-9776637.03</x:v>
      </x:c>
      <x:c r="N104" s="14" t="str">
        <x:v>High Transaction; Recurring Transaction</x:v>
      </x:c>
      <x:c r="O104" s="14" t="str">
        <x:v>Yes</x:v>
      </x:c>
      <x:c r="P104" s="14" t="str">
        <x:v>EBANKWIB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1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46135</x:v>
      </x:c>
    </x:row>
    <x:row r="105">
      <x:c r="A105" s="14" t="n">
        <x:v>101</x:v>
      </x:c>
      <x:c r="B105" s="14" t="str">
        <x:v>273.pdf</x:v>
      </x:c>
      <x:c r="C105" s="15" t="n">
        <x:v>45181</x:v>
      </x:c>
      <x:c r="D105" s="15" t="n">
        <x:v>46146</x:v>
      </x:c>
      <x:c r="E105" s="15" t="n">
        <x:v>46136</x:v>
      </x:c>
      <x:c r="F105" s="15" t="n">
        <x:v>46136</x:v>
      </x:c>
      <x:c r="G105" s="16" t="str">
        <x:v>EBANK:WIB/1505 Dr EBANK:WIB/1505337172/Edfs</x:v>
      </x:c>
      <x:c r="H105" s="14" t="str"/>
      <x:c r="I105" s="14" t="str">
        <x:v>Receipt</x:v>
      </x:c>
      <x:c r="J105" s="17" t="n">
        <x:v>0</x:v>
      </x:c>
      <x:c r="K105" s="17" t="n">
        <x:v>400403</x:v>
      </x:c>
      <x:c r="L105" s="17" t="n">
        <x:v>400403</x:v>
      </x:c>
      <x:c r="M105" s="17" t="n">
        <x:v>-9376234.03</x:v>
      </x:c>
      <x:c r="N105" s="14" t="str">
        <x:v>High Transaction; Recurring Transaction</x:v>
      </x:c>
      <x:c r="O105" s="14" t="str">
        <x:v>Yes</x:v>
      </x:c>
      <x:c r="P105" s="14" t="str">
        <x:v>EBANKWIB</x:v>
      </x:c>
      <x:c r="Q105" s="14" t="n">
        <x:v>0</x:v>
      </x:c>
      <x:c r="R105" s="14" t="n">
        <x:v>1</x:v>
      </x:c>
      <x:c r="S105" s="14" t="n">
        <x:v>0</x:v>
      </x:c>
      <x:c r="T105" s="14" t="n">
        <x:v>0</x:v>
      </x:c>
      <x:c r="U105" s="14" t="n">
        <x:v>1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46136</x:v>
      </x:c>
    </x:row>
    <x:row r="106">
      <x:c r="A106" s="14" t="n">
        <x:v>102</x:v>
      </x:c>
      <x:c r="B106" s="14" t="str">
        <x:v>273.pdf</x:v>
      </x:c>
      <x:c r="C106" s="15" t="n">
        <x:v>45181</x:v>
      </x:c>
      <x:c r="D106" s="15" t="n">
        <x:v>46146</x:v>
      </x:c>
      <x:c r="E106" s="15" t="n">
        <x:v>46136</x:v>
      </x:c>
      <x:c r="F106" s="15" t="n">
        <x:v>46136</x:v>
      </x:c>
      <x:c r="G106" s="16" t="str">
        <x:v>BY CASH Dr BY CASH</x:v>
      </x:c>
      <x:c r="H106" s="14" t="str"/>
      <x:c r="I106" s="14" t="str">
        <x:v>Receipt</x:v>
      </x:c>
      <x:c r="J106" s="17" t="n">
        <x:v>0</x:v>
      </x:c>
      <x:c r="K106" s="17" t="n">
        <x:v>281000</x:v>
      </x:c>
      <x:c r="L106" s="17" t="n">
        <x:v>281000</x:v>
      </x:c>
      <x:c r="M106" s="17" t="n">
        <x:v>-9095234.03</x:v>
      </x:c>
      <x:c r="N106" s="14" t="str">
        <x:v>Cash; High Transaction; Recurring Transaction</x:v>
      </x:c>
      <x:c r="O106" s="14" t="str">
        <x:v>Yes</x:v>
      </x:c>
      <x:c r="P106" s="14" t="str">
        <x:v>BY CASH DR BY CASH</x:v>
      </x:c>
      <x:c r="Q106" s="14" t="n">
        <x:v>1</x:v>
      </x:c>
      <x:c r="R106" s="14" t="n">
        <x:v>1</x:v>
      </x:c>
      <x:c r="S106" s="14" t="n">
        <x:v>0</x:v>
      </x:c>
      <x:c r="T106" s="14" t="n">
        <x:v>0</x:v>
      </x:c>
      <x:c r="U106" s="14" t="n">
        <x:v>1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46136</x:v>
      </x:c>
    </x:row>
    <x:row r="107">
      <x:c r="A107" s="14" t="n">
        <x:v>103</x:v>
      </x:c>
      <x:c r="B107" s="14" t="str">
        <x:v>273.pdf</x:v>
      </x:c>
      <x:c r="C107" s="15" t="n">
        <x:v>45181</x:v>
      </x:c>
      <x:c r="D107" s="15" t="n">
        <x:v>46146</x:v>
      </x:c>
      <x:c r="E107" s="15" t="n">
        <x:v>46136</x:v>
      </x:c>
      <x:c r="F107" s="15" t="n">
        <x:v>46136</x:v>
      </x:c>
      <x:c r="G107" s="16" t="str">
        <x:v>VIRARW-THANE/B Dr BY CASH</x:v>
      </x:c>
      <x:c r="H107" s="14" t="str"/>
      <x:c r="I107" s="14" t="str">
        <x:v>Receipt</x:v>
      </x:c>
      <x:c r="J107" s="17" t="n">
        <x:v>0</x:v>
      </x:c>
      <x:c r="K107" s="17" t="n">
        <x:v>250000</x:v>
      </x:c>
      <x:c r="L107" s="17" t="n">
        <x:v>250000</x:v>
      </x:c>
      <x:c r="M107" s="17" t="n">
        <x:v>-8845234.03</x:v>
      </x:c>
      <x:c r="N107" s="14" t="str">
        <x:v>Cash; High Transaction; Recurring Transaction</x:v>
      </x:c>
      <x:c r="O107" s="14" t="str">
        <x:v>Yes</x:v>
      </x:c>
      <x:c r="P107" s="14" t="str">
        <x:v>B DR BY CASH</x:v>
      </x:c>
      <x:c r="Q107" s="14" t="n">
        <x:v>1</x:v>
      </x:c>
      <x:c r="R107" s="14" t="n">
        <x:v>1</x:v>
      </x:c>
      <x:c r="S107" s="14" t="n">
        <x:v>0</x:v>
      </x:c>
      <x:c r="T107" s="14" t="n">
        <x:v>0</x:v>
      </x:c>
      <x:c r="U107" s="14" t="n">
        <x:v>1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5" t="n">
        <x:v>46136</x:v>
      </x:c>
    </x:row>
    <x:row r="108">
      <x:c r="A108" s="14" t="n">
        <x:v>104</x:v>
      </x:c>
      <x:c r="B108" s="14" t="str">
        <x:v>273.pdf</x:v>
      </x:c>
      <x:c r="C108" s="15" t="n">
        <x:v>45181</x:v>
      </x:c>
      <x:c r="D108" s="15" t="n">
        <x:v>46146</x:v>
      </x:c>
      <x:c r="E108" s="15" t="n">
        <x:v>46136</x:v>
      </x:c>
      <x:c r="F108" s="15" t="n">
        <x:v>46136</x:v>
      </x:c>
      <x:c r="G108" s="16" t="str">
        <x:v>BAGBAH-BAGBAHR Dr INT260410DEAL6330158</x:v>
      </x:c>
      <x:c r="H108" s="14" t="str"/>
      <x:c r="I108" s="14" t="str">
        <x:v>Payment</x:v>
      </x:c>
      <x:c r="J108" s="17" t="n">
        <x:v>5712.82</x:v>
      </x:c>
      <x:c r="K108" s="17" t="n">
        <x:v>0</x:v>
      </x:c>
      <x:c r="L108" s="17" t="n">
        <x:v>5712.82</x:v>
      </x:c>
      <x:c r="M108" s="17" t="n">
        <x:v>-8850946.85</x:v>
      </x:c>
      <x:c r="N108" s="14" t="str">
        <x:v>Other</x:v>
      </x:c>
      <x:c r="O108" s="14" t="str">
        <x:v>No</x:v>
      </x:c>
      <x:c r="P108" s="14" t="str">
        <x:v>BAGBAHR DR INTDEAL</x:v>
      </x:c>
      <x:c r="Q108" s="14" t="n">
        <x:v>0</x:v>
      </x:c>
      <x:c r="R108" s="14" t="n">
        <x:v>0</x:v>
      </x:c>
      <x:c r="S108" s="14" t="n">
        <x:v>0</x:v>
      </x:c>
      <x:c r="T108" s="14" t="n">
        <x:v>0</x:v>
      </x:c>
      <x:c r="U108" s="14" t="n">
        <x:v>0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46136</x:v>
      </x:c>
    </x:row>
    <x:row r="109">
      <x:c r="A109" s="14" t="n">
        <x:v>105</x:v>
      </x:c>
      <x:c r="B109" s="14" t="str">
        <x:v>273.pdf</x:v>
      </x:c>
      <x:c r="C109" s="15" t="n">
        <x:v>45181</x:v>
      </x:c>
      <x:c r="D109" s="15" t="n">
        <x:v>46146</x:v>
      </x:c>
      <x:c r="E109" s="15" t="n">
        <x:v>46136</x:v>
      </x:c>
      <x:c r="F109" s="15" t="n">
        <x:v>46136</x:v>
      </x:c>
      <x:c r="G109" s="16" t="str">
        <x:v>VJARDI-ARDI,KA Dr INT260410DEAL6333836</x:v>
      </x:c>
      <x:c r="H109" s="14" t="str"/>
      <x:c r="I109" s="14" t="str">
        <x:v>Payment</x:v>
      </x:c>
      <x:c r="J109" s="17" t="n">
        <x:v>67.48</x:v>
      </x:c>
      <x:c r="K109" s="17" t="n">
        <x:v>0</x:v>
      </x:c>
      <x:c r="L109" s="17" t="n">
        <x:v>67.48</x:v>
      </x:c>
      <x:c r="M109" s="17" t="n">
        <x:v>-8851014.33</x:v>
      </x:c>
      <x:c r="N109" s="14" t="str">
        <x:v>Other</x:v>
      </x:c>
      <x:c r="O109" s="14" t="str">
        <x:v>No</x:v>
      </x:c>
      <x:c r="P109" s="14" t="str">
        <x:v>ARDIKA DR INTDEAL</x:v>
      </x:c>
      <x:c r="Q109" s="14" t="n">
        <x:v>0</x:v>
      </x:c>
      <x:c r="R109" s="14" t="n">
        <x:v>0</x:v>
      </x:c>
      <x:c r="S109" s="14" t="n">
        <x:v>0</x:v>
      </x:c>
      <x:c r="T109" s="14" t="n">
        <x:v>0</x:v>
      </x:c>
      <x:c r="U109" s="14" t="n">
        <x:v>0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46136</x:v>
      </x:c>
    </x:row>
    <x:row r="110">
      <x:c r="A110" s="14" t="n">
        <x:v>106</x:v>
      </x:c>
      <x:c r="B110" s="14" t="str">
        <x:v>273.pdf</x:v>
      </x:c>
      <x:c r="C110" s="15" t="n">
        <x:v>45181</x:v>
      </x:c>
      <x:c r="D110" s="15" t="n">
        <x:v>46146</x:v>
      </x:c>
      <x:c r="E110" s="15" t="n">
        <x:v>46136</x:v>
      </x:c>
      <x:c r="F110" s="15" t="n">
        <x:v>46136</x:v>
      </x:c>
      <x:c r="G110" s="16" t="str">
        <x:v>RTGS-BARBR5202 Dr RTGS-BARBR52026042400851908-HINDUSTAN PETROLEUM CO</x:v>
      </x:c>
      <x:c r="H110" s="14" t="str"/>
      <x:c r="I110" s="14" t="str">
        <x:v>Payment</x:v>
      </x:c>
      <x:c r="J110" s="17" t="n">
        <x:v>1148985</x:v>
      </x:c>
      <x:c r="K110" s="17" t="n">
        <x:v>0</x:v>
      </x:c>
      <x:c r="L110" s="17" t="n">
        <x:v>1148985</x:v>
      </x:c>
      <x:c r="M110" s="17" t="n">
        <x:v>-9999999.33</x:v>
      </x:c>
      <x:c r="N110" s="14" t="str">
        <x:v>High Transaction; Recurring Transaction</x:v>
      </x:c>
      <x:c r="O110" s="14" t="str">
        <x:v>Yes</x:v>
      </x:c>
      <x:c r="P110" s="14" t="str">
        <x:v>BARBR DR RTGS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1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46136</x:v>
      </x:c>
    </x:row>
    <x:row r="111">
      <x:c r="A111" s="14" t="n">
        <x:v>107</x:v>
      </x:c>
      <x:c r="B111" s="14" t="str">
        <x:v>273.pdf</x:v>
      </x:c>
      <x:c r="C111" s="15" t="n">
        <x:v>45181</x:v>
      </x:c>
      <x:c r="D111" s="15" t="n">
        <x:v>46146</x:v>
      </x:c>
      <x:c r="E111" s="15" t="n">
        <x:v>46136</x:v>
      </x:c>
      <x:c r="F111" s="15" t="n">
        <x:v>46136</x:v>
      </x:c>
      <x:c r="G111" s="16" t="str">
        <x:v>EBANK:WIB/1505 Dr EBANK:WIB/1505452714/Edfs https://cbdrpt101.bankofbaroda.co.in:22000/finbranch/arjspmorph/INFENG/tran_rpt.jsp?... 04-05-2026</x:v>
      </x:c>
      <x:c r="H111" s="14" t="str"/>
      <x:c r="I111" s="14" t="str">
        <x:v>Receipt</x:v>
      </x:c>
      <x:c r="J111" s="17" t="n">
        <x:v>0</x:v>
      </x:c>
      <x:c r="K111" s="17" t="n">
        <x:v>115069</x:v>
      </x:c>
      <x:c r="L111" s="17" t="n">
        <x:v>115069</x:v>
      </x:c>
      <x:c r="M111" s="17" t="n">
        <x:v>-9884930.33</x:v>
      </x:c>
      <x:c r="N111" s="14" t="str">
        <x:v>High Transaction; Recurring Transaction</x:v>
      </x:c>
      <x:c r="O111" s="14" t="str">
        <x:v>Yes</x:v>
      </x:c>
      <x:c r="P111" s="14" t="str">
        <x:v>EBANKWIB</x:v>
      </x:c>
      <x:c r="Q111" s="14" t="n">
        <x:v>0</x:v>
      </x:c>
      <x:c r="R111" s="14" t="n">
        <x:v>1</x:v>
      </x:c>
      <x:c r="S111" s="14" t="n">
        <x:v>0</x:v>
      </x:c>
      <x:c r="T111" s="14" t="n">
        <x:v>0</x:v>
      </x:c>
      <x:c r="U111" s="14" t="n">
        <x:v>1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46136</x:v>
      </x:c>
    </x:row>
    <x:row r="112">
      <x:c r="A112" s="14" t="n">
        <x:v>108</x:v>
      </x:c>
      <x:c r="B112" s="14" t="str">
        <x:v>273.pdf</x:v>
      </x:c>
      <x:c r="C112" s="15" t="n">
        <x:v>45181</x:v>
      </x:c>
      <x:c r="D112" s="15" t="n">
        <x:v>46146</x:v>
      </x:c>
      <x:c r="E112" s="15" t="n">
        <x:v>46136</x:v>
      </x:c>
      <x:c r="F112" s="15" t="n">
        <x:v>46136</x:v>
      </x:c>
      <x:c r="G112" s="16" t="str">
        <x:v>NEFT-BARBY2611 Dr NEFT-BARBY26114821805-HINDUSTAN PETROLEUM CORPORAT</x:v>
      </x:c>
      <x:c r="H112" s="14" t="str"/>
      <x:c r="I112" s="14" t="str">
        <x:v>Payment</x:v>
      </x:c>
      <x:c r="J112" s="17" t="n">
        <x:v>115069</x:v>
      </x:c>
      <x:c r="K112" s="17" t="n">
        <x:v>0</x:v>
      </x:c>
      <x:c r="L112" s="17" t="n">
        <x:v>115069</x:v>
      </x:c>
      <x:c r="M112" s="17" t="n">
        <x:v>-9999999.33</x:v>
      </x:c>
      <x:c r="N112" s="14" t="str">
        <x:v>High Transaction</x:v>
      </x:c>
      <x:c r="O112" s="14" t="str">
        <x:v>No</x:v>
      </x:c>
      <x:c r="P112" s="14" t="str">
        <x:v>BARBY DR NEFT</x:v>
      </x:c>
      <x:c r="Q112" s="14" t="n">
        <x:v>0</x:v>
      </x:c>
      <x:c r="R112" s="14" t="n">
        <x:v>0</x:v>
      </x:c>
      <x:c r="S112" s="14" t="n">
        <x:v>0</x:v>
      </x:c>
      <x:c r="T112" s="14" t="n">
        <x:v>0</x:v>
      </x:c>
      <x:c r="U112" s="14" t="n">
        <x:v>1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46136</x:v>
      </x:c>
    </x:row>
    <x:row r="113">
      <x:c r="A113" s="14" t="n">
        <x:v>109</x:v>
      </x:c>
      <x:c r="B113" s="14" t="str">
        <x:v>273.pdf</x:v>
      </x:c>
      <x:c r="C113" s="15" t="n">
        <x:v>45181</x:v>
      </x:c>
      <x:c r="D113" s="15" t="n">
        <x:v>46146</x:v>
      </x:c>
      <x:c r="E113" s="15" t="n">
        <x:v>46137</x:v>
      </x:c>
      <x:c r="F113" s="15" t="n">
        <x:v>46137</x:v>
      </x:c>
      <x:c r="G113" s="16" t="str">
        <x:v>EBANK:WIB/1505 Dr EBANK:WIB/1505471306/Edfs</x:v>
      </x:c>
      <x:c r="H113" s="14" t="str"/>
      <x:c r="I113" s="14" t="str">
        <x:v>Receipt</x:v>
      </x:c>
      <x:c r="J113" s="17" t="n">
        <x:v>0</x:v>
      </x:c>
      <x:c r="K113" s="17" t="n">
        <x:v>273418</x:v>
      </x:c>
      <x:c r="L113" s="17" t="n">
        <x:v>273418</x:v>
      </x:c>
      <x:c r="M113" s="17" t="n">
        <x:v>-9726581.33</x:v>
      </x:c>
      <x:c r="N113" s="14" t="str">
        <x:v>High Transaction; Recurring Transaction</x:v>
      </x:c>
      <x:c r="O113" s="14" t="str">
        <x:v>Yes</x:v>
      </x:c>
      <x:c r="P113" s="14" t="str">
        <x:v>EBANKWIB</x:v>
      </x:c>
      <x:c r="Q113" s="14" t="n">
        <x:v>0</x:v>
      </x:c>
      <x:c r="R113" s="14" t="n">
        <x:v>1</x:v>
      </x:c>
      <x:c r="S113" s="14" t="n">
        <x:v>0</x:v>
      </x:c>
      <x:c r="T113" s="14" t="n">
        <x:v>0</x:v>
      </x:c>
      <x:c r="U113" s="14" t="n">
        <x:v>1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46137</x:v>
      </x:c>
    </x:row>
    <x:row r="114">
      <x:c r="A114" s="14" t="n">
        <x:v>110</x:v>
      </x:c>
      <x:c r="B114" s="14" t="str">
        <x:v>273.pdf</x:v>
      </x:c>
      <x:c r="C114" s="15" t="n">
        <x:v>45181</x:v>
      </x:c>
      <x:c r="D114" s="15" t="n">
        <x:v>46146</x:v>
      </x:c>
      <x:c r="E114" s="15" t="n">
        <x:v>46137</x:v>
      </x:c>
      <x:c r="F114" s="15" t="n">
        <x:v>46137</x:v>
      </x:c>
      <x:c r="G114" s="16" t="str">
        <x:v>EBANK:WIB/1505 Dr EBANK:WIB/1505471386/Edfs</x:v>
      </x:c>
      <x:c r="H114" s="14" t="str"/>
      <x:c r="I114" s="14" t="str">
        <x:v>Receipt</x:v>
      </x:c>
      <x:c r="J114" s="17" t="n">
        <x:v>0</x:v>
      </x:c>
      <x:c r="K114" s="17" t="n">
        <x:v>72545.93</x:v>
      </x:c>
      <x:c r="L114" s="17" t="n">
        <x:v>72545.93</x:v>
      </x:c>
      <x:c r="M114" s="17" t="n">
        <x:v>-9654035.4</x:v>
      </x:c>
      <x:c r="N114" s="14" t="str">
        <x:v>Recurring Transaction</x:v>
      </x:c>
      <x:c r="O114" s="14" t="str">
        <x:v>Yes</x:v>
      </x:c>
      <x:c r="P114" s="14" t="str">
        <x:v>EBANKWIB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0</x:v>
      </x:c>
      <x:c r="V114" s="14" t="n">
        <x:v>0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46137</x:v>
      </x:c>
    </x:row>
    <x:row r="115">
      <x:c r="A115" s="14" t="n">
        <x:v>111</x:v>
      </x:c>
      <x:c r="B115" s="14" t="str">
        <x:v>273.pdf</x:v>
      </x:c>
      <x:c r="C115" s="15" t="n">
        <x:v>45181</x:v>
      </x:c>
      <x:c r="D115" s="15" t="n">
        <x:v>46146</x:v>
      </x:c>
      <x:c r="E115" s="15" t="n">
        <x:v>46137</x:v>
      </x:c>
      <x:c r="F115" s="15" t="n">
        <x:v>46137</x:v>
      </x:c>
      <x:c r="G115" s="16" t="str">
        <x:v>RTGS-BARBR5202 Dr ---------------------------------------------------------------------------------------------------------------------------------- Page Total: 24,78,719.12 21,37,571.28 99,83,685.40Dr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</x:v>
      </x:c>
      <x:c r="H115" s="14" t="str"/>
      <x:c r="I115" s="14" t="str">
        <x:v>Payment</x:v>
      </x:c>
      <x:c r="J115" s="17" t="n">
        <x:v>329650</x:v>
      </x:c>
      <x:c r="K115" s="17" t="n">
        <x:v>0</x:v>
      </x:c>
      <x:c r="L115" s="17" t="n">
        <x:v>329650</x:v>
      </x:c>
      <x:c r="M115" s="17" t="n">
        <x:v>-9983685.4</x:v>
      </x:c>
      <x:c r="N115" s="14" t="str">
        <x:v>High Transaction</x:v>
      </x:c>
      <x:c r="O115" s="14" t="str">
        <x:v>No</x:v>
      </x:c>
      <x:c r="P115" s="14" t="str">
        <x:v>BARBR DR</x:v>
      </x:c>
      <x:c r="Q115" s="14" t="n">
        <x:v>0</x:v>
      </x:c>
      <x:c r="R115" s="14" t="n">
        <x:v>0</x:v>
      </x:c>
      <x:c r="S115" s="14" t="n">
        <x:v>0</x:v>
      </x:c>
      <x:c r="T115" s="14" t="n">
        <x:v>0</x:v>
      </x:c>
      <x:c r="U115" s="14" t="n">
        <x:v>1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46137</x:v>
      </x:c>
    </x:row>
    <x:row r="116">
      <x:c r="A116" s="14" t="n">
        <x:v>112</x:v>
      </x:c>
      <x:c r="B116" s="14" t="str">
        <x:v>273.pdf</x:v>
      </x:c>
      <x:c r="C116" s="15" t="n">
        <x:v>45181</x:v>
      </x:c>
      <x:c r="D116" s="15" t="n">
        <x:v>46146</x:v>
      </x:c>
      <x:c r="E116" s="15" t="n">
        <x:v>46137</x:v>
      </x:c>
      <x:c r="F116" s="15" t="n">
        <x:v>46137</x:v>
      </x:c>
      <x:c r="G116" s="16" t="str">
        <x:v>EBANK:WIB/1505 Dr EBANK:WIB/1505585919/Edfs</x:v>
      </x:c>
      <x:c r="H116" s="14" t="str"/>
      <x:c r="I116" s="14" t="str">
        <x:v>Receipt</x:v>
      </x:c>
      <x:c r="J116" s="17" t="n">
        <x:v>0</x:v>
      </x:c>
      <x:c r="K116" s="17" t="n">
        <x:v>172247.15</x:v>
      </x:c>
      <x:c r="L116" s="17" t="n">
        <x:v>172247.15</x:v>
      </x:c>
      <x:c r="M116" s="17" t="n">
        <x:v>-9811438.25</x:v>
      </x:c>
      <x:c r="N116" s="14" t="str">
        <x:v>High Transaction; Recurring Transaction</x:v>
      </x:c>
      <x:c r="O116" s="14" t="str">
        <x:v>Yes</x:v>
      </x:c>
      <x:c r="P116" s="14" t="str">
        <x:v>EBANKWIB</x:v>
      </x:c>
      <x:c r="Q116" s="14" t="n">
        <x:v>0</x:v>
      </x:c>
      <x:c r="R116" s="14" t="n">
        <x:v>1</x:v>
      </x:c>
      <x:c r="S116" s="14" t="n">
        <x:v>0</x:v>
      </x:c>
      <x:c r="T116" s="14" t="n">
        <x:v>0</x:v>
      </x:c>
      <x:c r="U116" s="14" t="n">
        <x:v>1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46137</x:v>
      </x:c>
    </x:row>
    <x:row r="117">
      <x:c r="A117" s="14" t="n">
        <x:v>113</x:v>
      </x:c>
      <x:c r="B117" s="14" t="str">
        <x:v>273.pdf</x:v>
      </x:c>
      <x:c r="C117" s="15" t="n">
        <x:v>45181</x:v>
      </x:c>
      <x:c r="D117" s="15" t="n">
        <x:v>46146</x:v>
      </x:c>
      <x:c r="E117" s="15" t="n">
        <x:v>46138</x:v>
      </x:c>
      <x:c r="F117" s="15" t="n">
        <x:v>46138</x:v>
      </x:c>
      <x:c r="G117" s="16" t="str">
        <x:v>EBANK:WIB/1505 Dr EBANK:WIB/1505590344/Edfs</x:v>
      </x:c>
      <x:c r="H117" s="14" t="str"/>
      <x:c r="I117" s="14" t="str">
        <x:v>Receipt</x:v>
      </x:c>
      <x:c r="J117" s="17" t="n">
        <x:v>0</x:v>
      </x:c>
      <x:c r="K117" s="17" t="n">
        <x:v>300990.79</x:v>
      </x:c>
      <x:c r="L117" s="17" t="n">
        <x:v>300990.79</x:v>
      </x:c>
      <x:c r="M117" s="17" t="n">
        <x:v>-9510447.46</x:v>
      </x:c>
      <x:c r="N117" s="14" t="str">
        <x:v>High Transaction; Recurring Transaction</x:v>
      </x:c>
      <x:c r="O117" s="14" t="str">
        <x:v>Yes</x:v>
      </x:c>
      <x:c r="P117" s="14" t="str">
        <x:v>EBANKWIB</x:v>
      </x:c>
      <x:c r="Q117" s="14" t="n">
        <x:v>0</x:v>
      </x:c>
      <x:c r="R117" s="14" t="n">
        <x:v>1</x:v>
      </x:c>
      <x:c r="S117" s="14" t="n">
        <x:v>0</x:v>
      </x:c>
      <x:c r="T117" s="14" t="n">
        <x:v>0</x:v>
      </x:c>
      <x:c r="U117" s="14" t="n">
        <x:v>1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5" t="n">
        <x:v>46138</x:v>
      </x:c>
    </x:row>
    <x:row r="118">
      <x:c r="A118" s="14" t="n">
        <x:v>114</x:v>
      </x:c>
      <x:c r="B118" s="14" t="str">
        <x:v>273.pdf</x:v>
      </x:c>
      <x:c r="C118" s="15" t="n">
        <x:v>45181</x:v>
      </x:c>
      <x:c r="D118" s="15" t="n">
        <x:v>46146</x:v>
      </x:c>
      <x:c r="E118" s="15" t="n">
        <x:v>46138</x:v>
      </x:c>
      <x:c r="F118" s="15" t="n">
        <x:v>46138</x:v>
      </x:c>
      <x:c r="G118" s="16" t="str">
        <x:v>EBANK:WIB/1505 Dr EBANK:WIB/1505633295/Edfs</x:v>
      </x:c>
      <x:c r="H118" s="14" t="str"/>
      <x:c r="I118" s="14" t="str">
        <x:v>Receipt</x:v>
      </x:c>
      <x:c r="J118" s="17" t="n">
        <x:v>0</x:v>
      </x:c>
      <x:c r="K118" s="17" t="n">
        <x:v>114728</x:v>
      </x:c>
      <x:c r="L118" s="17" t="n">
        <x:v>114728</x:v>
      </x:c>
      <x:c r="M118" s="17" t="n">
        <x:v>-9395719.46</x:v>
      </x:c>
      <x:c r="N118" s="14" t="str">
        <x:v>High Transaction; Recurring Transaction</x:v>
      </x:c>
      <x:c r="O118" s="14" t="str">
        <x:v>Yes</x:v>
      </x:c>
      <x:c r="P118" s="14" t="str">
        <x:v>EBANKWIB</x:v>
      </x:c>
      <x:c r="Q118" s="14" t="n">
        <x:v>0</x:v>
      </x:c>
      <x:c r="R118" s="14" t="n">
        <x:v>1</x:v>
      </x:c>
      <x:c r="S118" s="14" t="n">
        <x:v>0</x:v>
      </x:c>
      <x:c r="T118" s="14" t="n">
        <x:v>0</x:v>
      </x:c>
      <x:c r="U118" s="14" t="n">
        <x:v>1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5" t="n">
        <x:v>46138</x:v>
      </x:c>
    </x:row>
    <x:row r="119">
      <x:c r="A119" s="14" t="n">
        <x:v>115</x:v>
      </x:c>
      <x:c r="B119" s="14" t="str">
        <x:v>273.pdf</x:v>
      </x:c>
      <x:c r="C119" s="15" t="n">
        <x:v>45181</x:v>
      </x:c>
      <x:c r="D119" s="15" t="n">
        <x:v>46146</x:v>
      </x:c>
      <x:c r="E119" s="15" t="n">
        <x:v>46139</x:v>
      </x:c>
      <x:c r="F119" s="15" t="n">
        <x:v>46139</x:v>
      </x:c>
      <x:c r="G119" s="16" t="str">
        <x:v>EBANK:WIB/1505 Dr EBANK:WIB/1505672686/Edfs</x:v>
      </x:c>
      <x:c r="H119" s="14" t="str"/>
      <x:c r="I119" s="14" t="str">
        <x:v>Receipt</x:v>
      </x:c>
      <x:c r="J119" s="17" t="n">
        <x:v>0</x:v>
      </x:c>
      <x:c r="K119" s="17" t="n">
        <x:v>460000.8</x:v>
      </x:c>
      <x:c r="L119" s="17" t="n">
        <x:v>460000.8</x:v>
      </x:c>
      <x:c r="M119" s="17" t="n">
        <x:v>-8935718.66</x:v>
      </x:c>
      <x:c r="N119" s="14" t="str">
        <x:v>High Transaction; Recurring Transaction</x:v>
      </x:c>
      <x:c r="O119" s="14" t="str">
        <x:v>Yes</x:v>
      </x:c>
      <x:c r="P119" s="14" t="str">
        <x:v>EBANKWIB</x:v>
      </x:c>
      <x:c r="Q119" s="14" t="n">
        <x:v>0</x:v>
      </x:c>
      <x:c r="R119" s="14" t="n">
        <x:v>1</x:v>
      </x:c>
      <x:c r="S119" s="14" t="n">
        <x:v>0</x:v>
      </x:c>
      <x:c r="T119" s="14" t="n">
        <x:v>0</x:v>
      </x:c>
      <x:c r="U119" s="14" t="n">
        <x:v>1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5" t="n">
        <x:v>46139</x:v>
      </x:c>
    </x:row>
    <x:row r="120">
      <x:c r="A120" s="14" t="n">
        <x:v>116</x:v>
      </x:c>
      <x:c r="B120" s="14" t="str">
        <x:v>273.pdf</x:v>
      </x:c>
      <x:c r="C120" s="15" t="n">
        <x:v>45181</x:v>
      </x:c>
      <x:c r="D120" s="15" t="n">
        <x:v>46146</x:v>
      </x:c>
      <x:c r="E120" s="15" t="n">
        <x:v>46139</x:v>
      </x:c>
      <x:c r="F120" s="15" t="n">
        <x:v>46139</x:v>
      </x:c>
      <x:c r="G120" s="16" t="str">
        <x:v>BY CASH Dr BY CASH</x:v>
      </x:c>
      <x:c r="H120" s="14" t="str"/>
      <x:c r="I120" s="14" t="str">
        <x:v>Receipt</x:v>
      </x:c>
      <x:c r="J120" s="17" t="n">
        <x:v>0</x:v>
      </x:c>
      <x:c r="K120" s="17" t="n">
        <x:v>774500</x:v>
      </x:c>
      <x:c r="L120" s="17" t="n">
        <x:v>774500</x:v>
      </x:c>
      <x:c r="M120" s="17" t="n">
        <x:v>-8161218.66</x:v>
      </x:c>
      <x:c r="N120" s="14" t="str">
        <x:v>Cash; High Transaction; Recurring Transaction</x:v>
      </x:c>
      <x:c r="O120" s="14" t="str">
        <x:v>Yes</x:v>
      </x:c>
      <x:c r="P120" s="14" t="str">
        <x:v>BY CASH DR BY CASH</x:v>
      </x:c>
      <x:c r="Q120" s="14" t="n">
        <x:v>1</x:v>
      </x:c>
      <x:c r="R120" s="14" t="n">
        <x:v>1</x:v>
      </x:c>
      <x:c r="S120" s="14" t="n">
        <x:v>0</x:v>
      </x:c>
      <x:c r="T120" s="14" t="n">
        <x:v>0</x:v>
      </x:c>
      <x:c r="U120" s="14" t="n">
        <x:v>1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5" t="n">
        <x:v>46139</x:v>
      </x:c>
    </x:row>
    <x:row r="121">
      <x:c r="A121" s="14" t="n">
        <x:v>117</x:v>
      </x:c>
      <x:c r="B121" s="14" t="str">
        <x:v>273.pdf</x:v>
      </x:c>
      <x:c r="C121" s="15" t="n">
        <x:v>45181</x:v>
      </x:c>
      <x:c r="D121" s="15" t="n">
        <x:v>46146</x:v>
      </x:c>
      <x:c r="E121" s="15" t="n">
        <x:v>46139</x:v>
      </x:c>
      <x:c r="F121" s="15" t="n">
        <x:v>46139</x:v>
      </x:c>
      <x:c r="G121" s="16" t="str">
        <x:v>DIGITA-MUMBAI/ Dr INT260413DEAL6345818</x:v>
      </x:c>
      <x:c r="H121" s="14" t="str"/>
      <x:c r="I121" s="14" t="str">
        <x:v>Payment</x:v>
      </x:c>
      <x:c r="J121" s="17" t="n">
        <x:v>5991.69</x:v>
      </x:c>
      <x:c r="K121" s="17" t="n">
        <x:v>0</x:v>
      </x:c>
      <x:c r="L121" s="17" t="n">
        <x:v>5991.69</x:v>
      </x:c>
      <x:c r="M121" s="17" t="n">
        <x:v>-8167210.35</x:v>
      </x:c>
      <x:c r="N121" s="14" t="str">
        <x:v>Recurring Transaction</x:v>
      </x:c>
      <x:c r="O121" s="14" t="str">
        <x:v>Yes</x:v>
      </x:c>
      <x:c r="P121" s="14" t="str">
        <x:v>DR INTDEAL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5" t="n">
        <x:v>46139</x:v>
      </x:c>
    </x:row>
    <x:row r="122">
      <x:c r="A122" s="14" t="n">
        <x:v>118</x:v>
      </x:c>
      <x:c r="B122" s="14" t="str">
        <x:v>273.pdf</x:v>
      </x:c>
      <x:c r="C122" s="15" t="n">
        <x:v>45181</x:v>
      </x:c>
      <x:c r="D122" s="15" t="n">
        <x:v>46146</x:v>
      </x:c>
      <x:c r="E122" s="15" t="n">
        <x:v>46139</x:v>
      </x:c>
      <x:c r="F122" s="15" t="n">
        <x:v>46139</x:v>
      </x:c>
      <x:c r="G122" s="16" t="str">
        <x:v>EBANK:WIB/1505 Dr EBANK:WIB/1505752441/Edfs</x:v>
      </x:c>
      <x:c r="H122" s="14" t="str"/>
      <x:c r="I122" s="14" t="str">
        <x:v>Receipt</x:v>
      </x:c>
      <x:c r="J122" s="17" t="n">
        <x:v>0</x:v>
      </x:c>
      <x:c r="K122" s="17" t="n">
        <x:v>365005</x:v>
      </x:c>
      <x:c r="L122" s="17" t="n">
        <x:v>365005</x:v>
      </x:c>
      <x:c r="M122" s="17" t="n">
        <x:v>-7802205.35</x:v>
      </x:c>
      <x:c r="N122" s="14" t="str">
        <x:v>High Transaction; Recurring Transaction</x:v>
      </x:c>
      <x:c r="O122" s="14" t="str">
        <x:v>Yes</x:v>
      </x:c>
      <x:c r="P122" s="14" t="str">
        <x:v>EBANKWIB</x:v>
      </x:c>
      <x:c r="Q122" s="14" t="n">
        <x:v>0</x:v>
      </x:c>
      <x:c r="R122" s="14" t="n">
        <x:v>1</x:v>
      </x:c>
      <x:c r="S122" s="14" t="n">
        <x:v>0</x:v>
      </x:c>
      <x:c r="T122" s="14" t="n">
        <x:v>0</x:v>
      </x:c>
      <x:c r="U122" s="14" t="n">
        <x:v>1</x:v>
      </x:c>
      <x:c r="V122" s="14" t="n">
        <x:v>0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5" t="n">
        <x:v>46139</x:v>
      </x:c>
    </x:row>
    <x:row r="123">
      <x:c r="A123" s="14" t="n">
        <x:v>119</x:v>
      </x:c>
      <x:c r="B123" s="14" t="str">
        <x:v>273.pdf</x:v>
      </x:c>
      <x:c r="C123" s="15" t="n">
        <x:v>45181</x:v>
      </x:c>
      <x:c r="D123" s="15" t="n">
        <x:v>46146</x:v>
      </x:c>
      <x:c r="E123" s="15" t="n">
        <x:v>46139</x:v>
      </x:c>
      <x:c r="F123" s="15" t="n">
        <x:v>46139</x:v>
      </x:c>
      <x:c r="G123" s="16" t="str">
        <x:v>RTGS-BARBR5202 Dr RTGS-BARBR52026042700952483-HINDUSTAN PETROLEUM CO</x:v>
      </x:c>
      <x:c r="H123" s="14" t="str"/>
      <x:c r="I123" s="14" t="str">
        <x:v>Payment</x:v>
      </x:c>
      <x:c r="J123" s="17" t="n">
        <x:v>1064000</x:v>
      </x:c>
      <x:c r="K123" s="17" t="n">
        <x:v>0</x:v>
      </x:c>
      <x:c r="L123" s="17" t="n">
        <x:v>1064000</x:v>
      </x:c>
      <x:c r="M123" s="17" t="n">
        <x:v>-8866205.35</x:v>
      </x:c>
      <x:c r="N123" s="14" t="str">
        <x:v>High Transaction; Recurring Transaction</x:v>
      </x:c>
      <x:c r="O123" s="14" t="str">
        <x:v>Yes</x:v>
      </x:c>
      <x:c r="P123" s="14" t="str">
        <x:v>BARBR DR RTGS</x:v>
      </x:c>
      <x:c r="Q123" s="14" t="n">
        <x:v>0</x:v>
      </x:c>
      <x:c r="R123" s="14" t="n">
        <x:v>1</x:v>
      </x:c>
      <x:c r="S123" s="14" t="n">
        <x:v>0</x:v>
      </x:c>
      <x:c r="T123" s="14" t="n">
        <x:v>0</x:v>
      </x:c>
      <x:c r="U123" s="14" t="n">
        <x:v>1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5" t="n">
        <x:v>46139</x:v>
      </x:c>
    </x:row>
    <x:row r="124">
      <x:c r="A124" s="14" t="n">
        <x:v>120</x:v>
      </x:c>
      <x:c r="B124" s="14" t="str">
        <x:v>273.pdf</x:v>
      </x:c>
      <x:c r="C124" s="15" t="n">
        <x:v>45181</x:v>
      </x:c>
      <x:c r="D124" s="15" t="n">
        <x:v>46146</x:v>
      </x:c>
      <x:c r="E124" s="15" t="n">
        <x:v>46139</x:v>
      </x:c>
      <x:c r="F124" s="15" t="n">
        <x:v>46139</x:v>
      </x:c>
      <x:c r="G124" s="16" t="str">
        <x:v>RTGS-BARBR5202 Dr RTGS-BARBR52026042700958299-HINDUSTAN PETROLEUM CO</x:v>
      </x:c>
      <x:c r="H124" s="14" t="str"/>
      <x:c r="I124" s="14" t="str">
        <x:v>Payment</x:v>
      </x:c>
      <x:c r="J124" s="17" t="n">
        <x:v>768789</x:v>
      </x:c>
      <x:c r="K124" s="17" t="n">
        <x:v>0</x:v>
      </x:c>
      <x:c r="L124" s="17" t="n">
        <x:v>768789</x:v>
      </x:c>
      <x:c r="M124" s="17" t="n">
        <x:v>-9634994.35</x:v>
      </x:c>
      <x:c r="N124" s="14" t="str">
        <x:v>High Transaction; Recurring Transaction</x:v>
      </x:c>
      <x:c r="O124" s="14" t="str">
        <x:v>Yes</x:v>
      </x:c>
      <x:c r="P124" s="14" t="str">
        <x:v>BARBR DR RTGS</x:v>
      </x:c>
      <x:c r="Q124" s="14" t="n">
        <x:v>0</x:v>
      </x:c>
      <x:c r="R124" s="14" t="n">
        <x:v>1</x:v>
      </x:c>
      <x:c r="S124" s="14" t="n">
        <x:v>0</x:v>
      </x:c>
      <x:c r="T124" s="14" t="n">
        <x:v>0</x:v>
      </x:c>
      <x:c r="U124" s="14" t="n">
        <x:v>1</x:v>
      </x:c>
      <x:c r="V124" s="14" t="n">
        <x:v>0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5" t="n">
        <x:v>46139</x:v>
      </x:c>
    </x:row>
    <x:row r="125">
      <x:c r="A125" s="14" t="n">
        <x:v>121</x:v>
      </x:c>
      <x:c r="B125" s="14" t="str">
        <x:v>273.pdf</x:v>
      </x:c>
      <x:c r="C125" s="15" t="n">
        <x:v>45181</x:v>
      </x:c>
      <x:c r="D125" s="15" t="n">
        <x:v>46146</x:v>
      </x:c>
      <x:c r="E125" s="15" t="n">
        <x:v>46140</x:v>
      </x:c>
      <x:c r="F125" s="15" t="n">
        <x:v>46140</x:v>
      </x:c>
      <x:c r="G125" s="16" t="str">
        <x:v>BY CASH Dr BY CASH</x:v>
      </x:c>
      <x:c r="H125" s="14" t="str"/>
      <x:c r="I125" s="14" t="str">
        <x:v>Receipt</x:v>
      </x:c>
      <x:c r="J125" s="17" t="n">
        <x:v>0</x:v>
      </x:c>
      <x:c r="K125" s="17" t="n">
        <x:v>246500</x:v>
      </x:c>
      <x:c r="L125" s="17" t="n">
        <x:v>246500</x:v>
      </x:c>
      <x:c r="M125" s="17" t="n">
        <x:v>-9388494.35</x:v>
      </x:c>
      <x:c r="N125" s="14" t="str">
        <x:v>Cash; High Transaction; Recurring Transaction</x:v>
      </x:c>
      <x:c r="O125" s="14" t="str">
        <x:v>Yes</x:v>
      </x:c>
      <x:c r="P125" s="14" t="str">
        <x:v>BY CASH DR BY CASH</x:v>
      </x:c>
      <x:c r="Q125" s="14" t="n">
        <x:v>1</x:v>
      </x:c>
      <x:c r="R125" s="14" t="n">
        <x:v>1</x:v>
      </x:c>
      <x:c r="S125" s="14" t="n">
        <x:v>0</x:v>
      </x:c>
      <x:c r="T125" s="14" t="n">
        <x:v>0</x:v>
      </x:c>
      <x:c r="U125" s="14" t="n">
        <x:v>1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5" t="n">
        <x:v>46140</x:v>
      </x:c>
    </x:row>
    <x:row r="126">
      <x:c r="A126" s="14" t="n">
        <x:v>122</x:v>
      </x:c>
      <x:c r="B126" s="14" t="str">
        <x:v>273.pdf</x:v>
      </x:c>
      <x:c r="C126" s="15" t="n">
        <x:v>45181</x:v>
      </x:c>
      <x:c r="D126" s="15" t="n">
        <x:v>46146</x:v>
      </x:c>
      <x:c r="E126" s="15" t="n">
        <x:v>46140</x:v>
      </x:c>
      <x:c r="F126" s="15" t="n">
        <x:v>46140</x:v>
      </x:c>
      <x:c r="G126" s="16" t="str">
        <x:v>EBANK:WIB/1505 Dr EBANK:WIB/1505883831/Edfs</x:v>
      </x:c>
      <x:c r="H126" s="14" t="str"/>
      <x:c r="I126" s="14" t="str">
        <x:v>Receipt</x:v>
      </x:c>
      <x:c r="J126" s="17" t="n">
        <x:v>0</x:v>
      </x:c>
      <x:c r="K126" s="17" t="n">
        <x:v>402798.6</x:v>
      </x:c>
      <x:c r="L126" s="17" t="n">
        <x:v>402798.6</x:v>
      </x:c>
      <x:c r="M126" s="17" t="n">
        <x:v>-8985695.75</x:v>
      </x:c>
      <x:c r="N126" s="14" t="str">
        <x:v>High Transaction; Recurring Transaction</x:v>
      </x:c>
      <x:c r="O126" s="14" t="str">
        <x:v>Yes</x:v>
      </x:c>
      <x:c r="P126" s="14" t="str">
        <x:v>EBANKWIB</x:v>
      </x:c>
      <x:c r="Q126" s="14" t="n">
        <x:v>0</x:v>
      </x:c>
      <x:c r="R126" s="14" t="n">
        <x:v>1</x:v>
      </x:c>
      <x:c r="S126" s="14" t="n">
        <x:v>0</x:v>
      </x:c>
      <x:c r="T126" s="14" t="n">
        <x:v>0</x:v>
      </x:c>
      <x:c r="U126" s="14" t="n">
        <x:v>1</x:v>
      </x:c>
      <x:c r="V126" s="14" t="n">
        <x:v>0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5" t="n">
        <x:v>46140</x:v>
      </x:c>
    </x:row>
    <x:row r="127">
      <x:c r="A127" s="14" t="n">
        <x:v>123</x:v>
      </x:c>
      <x:c r="B127" s="14" t="str">
        <x:v>273.pdf</x:v>
      </x:c>
      <x:c r="C127" s="15" t="n">
        <x:v>45181</x:v>
      </x:c>
      <x:c r="D127" s="15" t="n">
        <x:v>46146</x:v>
      </x:c>
      <x:c r="E127" s="15" t="n">
        <x:v>46140</x:v>
      </x:c>
      <x:c r="F127" s="15" t="n">
        <x:v>46140</x:v>
      </x:c>
      <x:c r="G127" s="16" t="str">
        <x:v>EBANK:WIB/1505 Dr EBANK:WIB/1505948506/Edfs</x:v>
      </x:c>
      <x:c r="H127" s="14" t="str"/>
      <x:c r="I127" s="14" t="str">
        <x:v>Receipt</x:v>
      </x:c>
      <x:c r="J127" s="17" t="n">
        <x:v>0</x:v>
      </x:c>
      <x:c r="K127" s="17" t="n">
        <x:v>192251.79</x:v>
      </x:c>
      <x:c r="L127" s="17" t="n">
        <x:v>192251.79</x:v>
      </x:c>
      <x:c r="M127" s="17" t="n">
        <x:v>-8793443.96</x:v>
      </x:c>
      <x:c r="N127" s="14" t="str">
        <x:v>High Transaction; Recurring Transaction</x:v>
      </x:c>
      <x:c r="O127" s="14" t="str">
        <x:v>Yes</x:v>
      </x:c>
      <x:c r="P127" s="14" t="str">
        <x:v>EBANKWIB</x:v>
      </x:c>
      <x:c r="Q127" s="14" t="n">
        <x:v>0</x:v>
      </x:c>
      <x:c r="R127" s="14" t="n">
        <x:v>1</x:v>
      </x:c>
      <x:c r="S127" s="14" t="n">
        <x:v>0</x:v>
      </x:c>
      <x:c r="T127" s="14" t="n">
        <x:v>0</x:v>
      </x:c>
      <x:c r="U127" s="14" t="n">
        <x:v>1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5" t="n">
        <x:v>46140</x:v>
      </x:c>
    </x:row>
    <x:row r="128">
      <x:c r="A128" s="14" t="n">
        <x:v>124</x:v>
      </x:c>
      <x:c r="B128" s="14" t="str">
        <x:v>273.pdf</x:v>
      </x:c>
      <x:c r="C128" s="15" t="n">
        <x:v>45181</x:v>
      </x:c>
      <x:c r="D128" s="15" t="n">
        <x:v>46146</x:v>
      </x:c>
      <x:c r="E128" s="15" t="n">
        <x:v>46141</x:v>
      </x:c>
      <x:c r="F128" s="15" t="n">
        <x:v>46141</x:v>
      </x:c>
      <x:c r="G128" s="16" t="str">
        <x:v>EBANK:WIB/1505 Dr EBANK:WIB/1505959390/Edfs</x:v>
      </x:c>
      <x:c r="H128" s="14" t="str"/>
      <x:c r="I128" s="14" t="str">
        <x:v>Receipt</x:v>
      </x:c>
      <x:c r="J128" s="17" t="n">
        <x:v>0</x:v>
      </x:c>
      <x:c r="K128" s="17" t="n">
        <x:v>383365.33</x:v>
      </x:c>
      <x:c r="L128" s="17" t="n">
        <x:v>383365.33</x:v>
      </x:c>
      <x:c r="M128" s="17" t="n">
        <x:v>-8410078.63</x:v>
      </x:c>
      <x:c r="N128" s="14" t="str">
        <x:v>High Transaction; Recurring Transaction</x:v>
      </x:c>
      <x:c r="O128" s="14" t="str">
        <x:v>Yes</x:v>
      </x:c>
      <x:c r="P128" s="14" t="str">
        <x:v>EBANKWIB</x:v>
      </x:c>
      <x:c r="Q128" s="14" t="n">
        <x:v>0</x:v>
      </x:c>
      <x:c r="R128" s="14" t="n">
        <x:v>1</x:v>
      </x:c>
      <x:c r="S128" s="14" t="n">
        <x:v>0</x:v>
      </x:c>
      <x:c r="T128" s="14" t="n">
        <x:v>0</x:v>
      </x:c>
      <x:c r="U128" s="14" t="n">
        <x:v>1</x:v>
      </x:c>
      <x:c r="V128" s="14" t="n">
        <x:v>0</x:v>
      </x:c>
      <x:c r="W128" s="14" t="n">
        <x:v>0</x:v>
      </x:c>
      <x:c r="X128" s="14" t="n">
        <x:v>0</x:v>
      </x:c>
      <x:c r="Y128" s="14" t="n">
        <x:v>0</x:v>
      </x:c>
      <x:c r="Z128" s="14" t="n">
        <x:v>0</x:v>
      </x:c>
      <x:c r="AA128" s="15" t="n">
        <x:v>46141</x:v>
      </x:c>
    </x:row>
    <x:row r="129">
      <x:c r="A129" s="14" t="n">
        <x:v>125</x:v>
      </x:c>
      <x:c r="B129" s="14" t="str">
        <x:v>273.pdf</x:v>
      </x:c>
      <x:c r="C129" s="15" t="n">
        <x:v>45181</x:v>
      </x:c>
      <x:c r="D129" s="15" t="n">
        <x:v>46146</x:v>
      </x:c>
      <x:c r="E129" s="15" t="n">
        <x:v>46141</x:v>
      </x:c>
      <x:c r="F129" s="15" t="n">
        <x:v>46141</x:v>
      </x:c>
      <x:c r="G129" s="16" t="str">
        <x:v>PEENYA-BANGALO Dr INT260415DEAL6357250</x:v>
      </x:c>
      <x:c r="H129" s="14" t="str"/>
      <x:c r="I129" s="14" t="str">
        <x:v>Payment</x:v>
      </x:c>
      <x:c r="J129" s="17" t="n">
        <x:v>5675.17</x:v>
      </x:c>
      <x:c r="K129" s="17" t="n">
        <x:v>0</x:v>
      </x:c>
      <x:c r="L129" s="17" t="n">
        <x:v>5675.17</x:v>
      </x:c>
      <x:c r="M129" s="17" t="n">
        <x:v>-8415753.8</x:v>
      </x:c>
      <x:c r="N129" s="14" t="str">
        <x:v>Other</x:v>
      </x:c>
      <x:c r="O129" s="14" t="str">
        <x:v>No</x:v>
      </x:c>
      <x:c r="P129" s="14" t="str">
        <x:v>BANGALO DR INTDEAL</x:v>
      </x:c>
      <x:c r="Q129" s="14" t="n">
        <x:v>0</x:v>
      </x:c>
      <x:c r="R129" s="14" t="n">
        <x:v>0</x:v>
      </x:c>
      <x:c r="S129" s="14" t="n">
        <x:v>0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  <x:c r="AA129" s="15" t="n">
        <x:v>46141</x:v>
      </x:c>
    </x:row>
    <x:row r="130">
      <x:c r="A130" s="14" t="n">
        <x:v>126</x:v>
      </x:c>
      <x:c r="B130" s="14" t="str">
        <x:v>273.pdf</x:v>
      </x:c>
      <x:c r="C130" s="15" t="n">
        <x:v>45181</x:v>
      </x:c>
      <x:c r="D130" s="15" t="n">
        <x:v>46146</x:v>
      </x:c>
      <x:c r="E130" s="15" t="n">
        <x:v>46141</x:v>
      </x:c>
      <x:c r="F130" s="15" t="n">
        <x:v>46141</x:v>
      </x:c>
      <x:c r="G130" s="16" t="str">
        <x:v>VJJAVA-JAVAGAL Dr INT260415DEAL6357445</x:v>
      </x:c>
      <x:c r="H130" s="14" t="str"/>
      <x:c r="I130" s="14" t="str">
        <x:v>Payment</x:v>
      </x:c>
      <x:c r="J130" s="17" t="n">
        <x:v>224.28</x:v>
      </x:c>
      <x:c r="K130" s="17" t="n">
        <x:v>0</x:v>
      </x:c>
      <x:c r="L130" s="17" t="n">
        <x:v>224.28</x:v>
      </x:c>
      <x:c r="M130" s="17" t="n">
        <x:v>-8415978.08</x:v>
      </x:c>
      <x:c r="N130" s="14" t="str">
        <x:v>Other</x:v>
      </x:c>
      <x:c r="O130" s="14" t="str">
        <x:v>No</x:v>
      </x:c>
      <x:c r="P130" s="14" t="str">
        <x:v>JAVAGAL DR INTDEAL</x:v>
      </x:c>
      <x:c r="Q130" s="14" t="n">
        <x:v>0</x:v>
      </x:c>
      <x:c r="R130" s="14" t="n">
        <x:v>0</x:v>
      </x:c>
      <x:c r="S130" s="14" t="n">
        <x:v>0</x:v>
      </x:c>
      <x:c r="T130" s="14" t="n">
        <x:v>0</x:v>
      </x:c>
      <x:c r="U130" s="14" t="n">
        <x:v>0</x:v>
      </x:c>
      <x:c r="V130" s="14" t="n">
        <x:v>0</x:v>
      </x:c>
      <x:c r="W130" s="14" t="n">
        <x:v>0</x:v>
      </x:c>
      <x:c r="X130" s="14" t="n">
        <x:v>0</x:v>
      </x:c>
      <x:c r="Y130" s="14" t="n">
        <x:v>0</x:v>
      </x:c>
      <x:c r="Z130" s="14" t="n">
        <x:v>0</x:v>
      </x:c>
      <x:c r="AA130" s="15" t="n">
        <x:v>46141</x:v>
      </x:c>
    </x:row>
    <x:row r="131">
      <x:c r="A131" s="14" t="n">
        <x:v>127</x:v>
      </x:c>
      <x:c r="B131" s="14" t="str">
        <x:v>273.pdf</x:v>
      </x:c>
      <x:c r="C131" s="15" t="n">
        <x:v>45181</x:v>
      </x:c>
      <x:c r="D131" s="15" t="n">
        <x:v>46146</x:v>
      </x:c>
      <x:c r="E131" s="15" t="n">
        <x:v>46141</x:v>
      </x:c>
      <x:c r="F131" s="15" t="n">
        <x:v>46141</x:v>
      </x:c>
      <x:c r="G131" s="16" t="str">
        <x:v>EBANK:WIB/1505 Dr EBANK:WIB/1505997293/Edfs ---------------------------------------------------------------------------------------------------------------------------------- Page Total: 18,44,680.14 35,74,340.46 82,54,025.08Dr ---------------------------------------------------------------------------------------------------------------------------------- Note: Cheques received in inward clearing will be considered for debiting/ returning on the basis opening balance in account Unless the const</x:v>
      </x:c>
      <x:c r="H131" s="14" t="str"/>
      <x:c r="I131" s="14" t="str">
        <x:v>Receipt</x:v>
      </x:c>
      <x:c r="J131" s="17" t="n">
        <x:v>0</x:v>
      </x:c>
      <x:c r="K131" s="17" t="n">
        <x:v>161953</x:v>
      </x:c>
      <x:c r="L131" s="17" t="n">
        <x:v>161953</x:v>
      </x:c>
      <x:c r="M131" s="17" t="n">
        <x:v>-8254025.08</x:v>
      </x:c>
      <x:c r="N131" s="14" t="str">
        <x:v>High Transaction; Recurring Transaction</x:v>
      </x:c>
      <x:c r="O131" s="14" t="str">
        <x:v>Yes</x:v>
      </x:c>
      <x:c r="P131" s="14" t="str">
        <x:v>EBANKWIB</x:v>
      </x:c>
      <x:c r="Q131" s="14" t="n">
        <x:v>0</x:v>
      </x:c>
      <x:c r="R131" s="14" t="n">
        <x:v>1</x:v>
      </x:c>
      <x:c r="S131" s="14" t="n">
        <x:v>0</x:v>
      </x:c>
      <x:c r="T131" s="14" t="n">
        <x:v>0</x:v>
      </x:c>
      <x:c r="U131" s="14" t="n">
        <x:v>1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5" t="n">
        <x:v>46141</x:v>
      </x:c>
    </x:row>
    <x:row r="132">
      <x:c r="A132" s="14" t="n">
        <x:v>128</x:v>
      </x:c>
      <x:c r="B132" s="14" t="str">
        <x:v>273.pdf</x:v>
      </x:c>
      <x:c r="C132" s="15" t="n">
        <x:v>45181</x:v>
      </x:c>
      <x:c r="D132" s="15" t="n">
        <x:v>46146</x:v>
      </x:c>
      <x:c r="E132" s="15" t="n">
        <x:v>46141</x:v>
      </x:c>
      <x:c r="F132" s="15" t="n">
        <x:v>46141</x:v>
      </x:c>
      <x:c r="G132" s="16" t="str">
        <x:v>BAREIL-BAREILL Dr INT260416DEAL6357960</x:v>
      </x:c>
      <x:c r="H132" s="14" t="str"/>
      <x:c r="I132" s="14" t="str">
        <x:v>Payment</x:v>
      </x:c>
      <x:c r="J132" s="17" t="n">
        <x:v>124.67</x:v>
      </x:c>
      <x:c r="K132" s="17" t="n">
        <x:v>0</x:v>
      </x:c>
      <x:c r="L132" s="17" t="n">
        <x:v>124.67</x:v>
      </x:c>
      <x:c r="M132" s="17" t="n">
        <x:v>-8254149.75</x:v>
      </x:c>
      <x:c r="N132" s="14" t="str">
        <x:v>Other</x:v>
      </x:c>
      <x:c r="O132" s="14" t="str">
        <x:v>No</x:v>
      </x:c>
      <x:c r="P132" s="14" t="str">
        <x:v>BAREILL DR INTDEAL</x:v>
      </x:c>
      <x:c r="Q132" s="14" t="n">
        <x:v>0</x:v>
      </x:c>
      <x:c r="R132" s="14" t="n">
        <x:v>0</x:v>
      </x:c>
      <x:c r="S132" s="14" t="n">
        <x:v>0</x:v>
      </x:c>
      <x:c r="T132" s="14" t="n">
        <x:v>0</x:v>
      </x:c>
      <x:c r="U132" s="14" t="n">
        <x:v>0</x:v>
      </x:c>
      <x:c r="V132" s="14" t="n">
        <x:v>0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5" t="n">
        <x:v>46141</x:v>
      </x:c>
    </x:row>
    <x:row r="133">
      <x:c r="A133" s="14" t="n">
        <x:v>129</x:v>
      </x:c>
      <x:c r="B133" s="14" t="str">
        <x:v>273.pdf</x:v>
      </x:c>
      <x:c r="C133" s="15" t="n">
        <x:v>45181</x:v>
      </x:c>
      <x:c r="D133" s="15" t="n">
        <x:v>46146</x:v>
      </x:c>
      <x:c r="E133" s="15" t="n">
        <x:v>46141</x:v>
      </x:c>
      <x:c r="F133" s="15" t="n">
        <x:v>46141</x:v>
      </x:c>
      <x:c r="G133" s="16" t="str">
        <x:v>BY CASH Dr BY CASH</x:v>
      </x:c>
      <x:c r="H133" s="14" t="str"/>
      <x:c r="I133" s="14" t="str">
        <x:v>Receipt</x:v>
      </x:c>
      <x:c r="J133" s="17" t="n">
        <x:v>0</x:v>
      </x:c>
      <x:c r="K133" s="17" t="n">
        <x:v>116500</x:v>
      </x:c>
      <x:c r="L133" s="17" t="n">
        <x:v>116500</x:v>
      </x:c>
      <x:c r="M133" s="17" t="n">
        <x:v>-8137649.75</x:v>
      </x:c>
      <x:c r="N133" s="14" t="str">
        <x:v>Cash; High Transaction; Recurring Transaction</x:v>
      </x:c>
      <x:c r="O133" s="14" t="str">
        <x:v>Yes</x:v>
      </x:c>
      <x:c r="P133" s="14" t="str">
        <x:v>BY CASH DR BY CASH</x:v>
      </x:c>
      <x:c r="Q133" s="14" t="n">
        <x:v>1</x:v>
      </x:c>
      <x:c r="R133" s="14" t="n">
        <x:v>1</x:v>
      </x:c>
      <x:c r="S133" s="14" t="n">
        <x:v>0</x:v>
      </x:c>
      <x:c r="T133" s="14" t="n">
        <x:v>0</x:v>
      </x:c>
      <x:c r="U133" s="14" t="n">
        <x:v>1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0</x:v>
      </x:c>
      <x:c r="AA133" s="15" t="n">
        <x:v>46141</x:v>
      </x:c>
    </x:row>
    <x:row r="134">
      <x:c r="A134" s="14" t="n">
        <x:v>130</x:v>
      </x:c>
      <x:c r="B134" s="14" t="str">
        <x:v>273.pdf</x:v>
      </x:c>
      <x:c r="C134" s="15" t="n">
        <x:v>45181</x:v>
      </x:c>
      <x:c r="D134" s="15" t="n">
        <x:v>46146</x:v>
      </x:c>
      <x:c r="E134" s="15" t="n">
        <x:v>46141</x:v>
      </x:c>
      <x:c r="F134" s="15" t="n">
        <x:v>46141</x:v>
      </x:c>
      <x:c r="G134" s="16" t="str">
        <x:v>RTGS-BARBR5202 Dr RTGS-BARBR52026042900818962-HINDUSTAN PETROLEUM CO</x:v>
      </x:c>
      <x:c r="H134" s="14" t="str"/>
      <x:c r="I134" s="14" t="str">
        <x:v>Payment</x:v>
      </x:c>
      <x:c r="J134" s="17" t="n">
        <x:v>1745850</x:v>
      </x:c>
      <x:c r="K134" s="17" t="n">
        <x:v>0</x:v>
      </x:c>
      <x:c r="L134" s="17" t="n">
        <x:v>1745850</x:v>
      </x:c>
      <x:c r="M134" s="17" t="n">
        <x:v>-9883499.75</x:v>
      </x:c>
      <x:c r="N134" s="14" t="str">
        <x:v>High Transaction; Recurring Transaction</x:v>
      </x:c>
      <x:c r="O134" s="14" t="str">
        <x:v>Yes</x:v>
      </x:c>
      <x:c r="P134" s="14" t="str">
        <x:v>BARBR DR RTGS</x:v>
      </x:c>
      <x:c r="Q134" s="14" t="n">
        <x:v>0</x:v>
      </x:c>
      <x:c r="R134" s="14" t="n">
        <x:v>1</x:v>
      </x:c>
      <x:c r="S134" s="14" t="n">
        <x:v>0</x:v>
      </x:c>
      <x:c r="T134" s="14" t="n">
        <x:v>0</x:v>
      </x:c>
      <x:c r="U134" s="14" t="n">
        <x:v>1</x:v>
      </x:c>
      <x:c r="V134" s="14" t="n">
        <x:v>0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5" t="n">
        <x:v>46141</x:v>
      </x:c>
    </x:row>
    <x:row r="135">
      <x:c r="A135" s="14" t="n">
        <x:v>131</x:v>
      </x:c>
      <x:c r="B135" s="14" t="str">
        <x:v>273.pdf</x:v>
      </x:c>
      <x:c r="C135" s="15" t="n">
        <x:v>45181</x:v>
      </x:c>
      <x:c r="D135" s="15" t="n">
        <x:v>46146</x:v>
      </x:c>
      <x:c r="E135" s="15" t="n">
        <x:v>46141</x:v>
      </x:c>
      <x:c r="F135" s="15" t="n">
        <x:v>46141</x:v>
      </x:c>
      <x:c r="G135" s="16" t="str">
        <x:v>EBANK:WIB/1506 Dr EBANK:WIB/1506085309/Edfs</x:v>
      </x:c>
      <x:c r="H135" s="14" t="str"/>
      <x:c r="I135" s="14" t="str">
        <x:v>Receipt</x:v>
      </x:c>
      <x:c r="J135" s="17" t="n">
        <x:v>0</x:v>
      </x:c>
      <x:c r="K135" s="17" t="n">
        <x:v>93264</x:v>
      </x:c>
      <x:c r="L135" s="17" t="n">
        <x:v>93264</x:v>
      </x:c>
      <x:c r="M135" s="17" t="n">
        <x:v>-9790235.75</x:v>
      </x:c>
      <x:c r="N135" s="14" t="str">
        <x:v>Recurring Transaction</x:v>
      </x:c>
      <x:c r="O135" s="14" t="str">
        <x:v>Yes</x:v>
      </x:c>
      <x:c r="P135" s="14" t="str">
        <x:v>EBANKWIB</x:v>
      </x:c>
      <x:c r="Q135" s="14" t="n">
        <x:v>0</x:v>
      </x:c>
      <x:c r="R135" s="14" t="n">
        <x:v>1</x:v>
      </x:c>
      <x:c r="S135" s="14" t="n">
        <x:v>0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0</x:v>
      </x:c>
      <x:c r="AA135" s="15" t="n">
        <x:v>46141</x:v>
      </x:c>
    </x:row>
    <x:row r="136">
      <x:c r="A136" s="14" t="n">
        <x:v>132</x:v>
      </x:c>
      <x:c r="B136" s="14" t="str">
        <x:v>273.pdf</x:v>
      </x:c>
      <x:c r="C136" s="15" t="n">
        <x:v>45181</x:v>
      </x:c>
      <x:c r="D136" s="15" t="n">
        <x:v>46146</x:v>
      </x:c>
      <x:c r="E136" s="15" t="n">
        <x:v>46141</x:v>
      </x:c>
      <x:c r="F136" s="15" t="n">
        <x:v>46141</x:v>
      </x:c>
      <x:c r="G136" s="16" t="str">
        <x:v>NEFT-BARBV2611 Dr NEFT-BARBV26119745454-HINDUSTAN PETROLEUM CORPORAT</x:v>
      </x:c>
      <x:c r="H136" s="14" t="str"/>
      <x:c r="I136" s="14" t="str">
        <x:v>Payment</x:v>
      </x:c>
      <x:c r="J136" s="17" t="n">
        <x:v>116500</x:v>
      </x:c>
      <x:c r="K136" s="17" t="n">
        <x:v>0</x:v>
      </x:c>
      <x:c r="L136" s="17" t="n">
        <x:v>116500</x:v>
      </x:c>
      <x:c r="M136" s="17" t="n">
        <x:v>-9906735.75</x:v>
      </x:c>
      <x:c r="N136" s="14" t="str">
        <x:v>High Transaction</x:v>
      </x:c>
      <x:c r="O136" s="14" t="str">
        <x:v>No</x:v>
      </x:c>
      <x:c r="P136" s="14" t="str">
        <x:v>BARBV DR NEFT</x:v>
      </x:c>
      <x:c r="Q136" s="14" t="n">
        <x:v>0</x:v>
      </x:c>
      <x:c r="R136" s="14" t="n">
        <x:v>0</x:v>
      </x:c>
      <x:c r="S136" s="14" t="n">
        <x:v>0</x:v>
      </x:c>
      <x:c r="T136" s="14" t="n">
        <x:v>0</x:v>
      </x:c>
      <x:c r="U136" s="14" t="n">
        <x:v>1</x:v>
      </x:c>
      <x:c r="V136" s="14" t="n">
        <x:v>0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5" t="n">
        <x:v>46141</x:v>
      </x:c>
    </x:row>
    <x:row r="137">
      <x:c r="A137" s="14" t="n">
        <x:v>133</x:v>
      </x:c>
      <x:c r="B137" s="14" t="str">
        <x:v>273.pdf</x:v>
      </x:c>
      <x:c r="C137" s="15" t="n">
        <x:v>45181</x:v>
      </x:c>
      <x:c r="D137" s="15" t="n">
        <x:v>46146</x:v>
      </x:c>
      <x:c r="E137" s="15" t="n">
        <x:v>46141</x:v>
      </x:c>
      <x:c r="F137" s="15" t="n">
        <x:v>46141</x:v>
      </x:c>
      <x:c r="G137" s="16" t="str">
        <x:v>EBANK:WIB/1506 Dr EBANK:WIB/1506102762/Edfs</x:v>
      </x:c>
      <x:c r="H137" s="14" t="str"/>
      <x:c r="I137" s="14" t="str">
        <x:v>Receipt</x:v>
      </x:c>
      <x:c r="J137" s="17" t="n">
        <x:v>0</x:v>
      </x:c>
      <x:c r="K137" s="17" t="n">
        <x:v>92240</x:v>
      </x:c>
      <x:c r="L137" s="17" t="n">
        <x:v>92240</x:v>
      </x:c>
      <x:c r="M137" s="17" t="n">
        <x:v>-9814495.75</x:v>
      </x:c>
      <x:c r="N137" s="14" t="str">
        <x:v>Recurring Transaction</x:v>
      </x:c>
      <x:c r="O137" s="14" t="str">
        <x:v>Yes</x:v>
      </x:c>
      <x:c r="P137" s="14" t="str">
        <x:v>EBANKWIB</x:v>
      </x:c>
      <x:c r="Q137" s="14" t="n">
        <x:v>0</x:v>
      </x:c>
      <x:c r="R137" s="14" t="n">
        <x:v>1</x:v>
      </x:c>
      <x:c r="S137" s="14" t="n">
        <x:v>0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5" t="n">
        <x:v>46141</x:v>
      </x:c>
    </x:row>
    <x:row r="138">
      <x:c r="A138" s="14" t="n">
        <x:v>134</x:v>
      </x:c>
      <x:c r="B138" s="14" t="str">
        <x:v>273.pdf</x:v>
      </x:c>
      <x:c r="C138" s="15" t="n">
        <x:v>45181</x:v>
      </x:c>
      <x:c r="D138" s="15" t="n">
        <x:v>46146</x:v>
      </x:c>
      <x:c r="E138" s="15" t="n">
        <x:v>46142</x:v>
      </x:c>
      <x:c r="F138" s="15" t="n">
        <x:v>46142</x:v>
      </x:c>
      <x:c r="G138" s="16" t="str">
        <x:v>EBANK:WIB/1506 Dr EBANK:WIB/1506112730/Edfs</x:v>
      </x:c>
      <x:c r="H138" s="14" t="str"/>
      <x:c r="I138" s="14" t="str">
        <x:v>Receipt</x:v>
      </x:c>
      <x:c r="J138" s="17" t="n">
        <x:v>0</x:v>
      </x:c>
      <x:c r="K138" s="17" t="n">
        <x:v>44070</x:v>
      </x:c>
      <x:c r="L138" s="17" t="n">
        <x:v>44070</x:v>
      </x:c>
      <x:c r="M138" s="17" t="n">
        <x:v>-9770425.75</x:v>
      </x:c>
      <x:c r="N138" s="14" t="str">
        <x:v>Recurring Transaction</x:v>
      </x:c>
      <x:c r="O138" s="14" t="str">
        <x:v>Yes</x:v>
      </x:c>
      <x:c r="P138" s="14" t="str">
        <x:v>EBANKWIB</x:v>
      </x:c>
      <x:c r="Q138" s="14" t="n">
        <x:v>0</x:v>
      </x:c>
      <x:c r="R138" s="14" t="n">
        <x:v>1</x:v>
      </x:c>
      <x:c r="S138" s="14" t="n">
        <x:v>0</x:v>
      </x:c>
      <x:c r="T138" s="14" t="n">
        <x:v>0</x:v>
      </x:c>
      <x:c r="U138" s="14" t="n">
        <x:v>0</x:v>
      </x:c>
      <x:c r="V138" s="14" t="n">
        <x:v>0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  <x:c r="AA138" s="15" t="n">
        <x:v>46142</x:v>
      </x:c>
    </x:row>
    <x:row r="139">
      <x:c r="A139" s="14" t="n">
        <x:v>135</x:v>
      </x:c>
      <x:c r="B139" s="14" t="str">
        <x:v>273.pdf</x:v>
      </x:c>
      <x:c r="C139" s="15" t="n">
        <x:v>45181</x:v>
      </x:c>
      <x:c r="D139" s="15" t="n">
        <x:v>46146</x:v>
      </x:c>
      <x:c r="E139" s="15" t="n">
        <x:v>46142</x:v>
      </x:c>
      <x:c r="F139" s="15" t="n">
        <x:v>46142</x:v>
      </x:c>
      <x:c r="G139" s="16" t="str">
        <x:v>EBANK:WIB/1506 Dr EBANK:WIB/1506112904/Edfs</x:v>
      </x:c>
      <x:c r="H139" s="14" t="str"/>
      <x:c r="I139" s="14" t="str">
        <x:v>Receipt</x:v>
      </x:c>
      <x:c r="J139" s="17" t="n">
        <x:v>0</x:v>
      </x:c>
      <x:c r="K139" s="17" t="n">
        <x:v>429587.11</x:v>
      </x:c>
      <x:c r="L139" s="17" t="n">
        <x:v>429587.11</x:v>
      </x:c>
      <x:c r="M139" s="17" t="n">
        <x:v>-9340838.64</x:v>
      </x:c>
      <x:c r="N139" s="14" t="str">
        <x:v>High Transaction; Recurring Transaction</x:v>
      </x:c>
      <x:c r="O139" s="14" t="str">
        <x:v>Yes</x:v>
      </x:c>
      <x:c r="P139" s="14" t="str">
        <x:v>EBANKWIB</x:v>
      </x:c>
      <x:c r="Q139" s="14" t="n">
        <x:v>0</x:v>
      </x:c>
      <x:c r="R139" s="14" t="n">
        <x:v>1</x:v>
      </x:c>
      <x:c r="S139" s="14" t="n">
        <x:v>0</x:v>
      </x:c>
      <x:c r="T139" s="14" t="n">
        <x:v>0</x:v>
      </x:c>
      <x:c r="U139" s="14" t="n">
        <x:v>1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  <x:c r="AA139" s="15" t="n">
        <x:v>46142</x:v>
      </x:c>
    </x:row>
    <x:row r="140">
      <x:c r="A140" s="14" t="n">
        <x:v>136</x:v>
      </x:c>
      <x:c r="B140" s="14" t="str">
        <x:v>273.pdf</x:v>
      </x:c>
      <x:c r="C140" s="15" t="n">
        <x:v>45181</x:v>
      </x:c>
      <x:c r="D140" s="15" t="n">
        <x:v>46146</x:v>
      </x:c>
      <x:c r="E140" s="15" t="n">
        <x:v>46142</x:v>
      </x:c>
      <x:c r="F140" s="15" t="n">
        <x:v>46142</x:v>
      </x:c>
      <x:c r="G140" s="16" t="str">
        <x:v>NEFT-BARBX2612 Dr NEFT-BARBX26120048957-HINDUSTAN PETROLEUM CORPORAT</x:v>
      </x:c>
      <x:c r="H140" s="14" t="str"/>
      <x:c r="I140" s="14" t="str">
        <x:v>Payment</x:v>
      </x:c>
      <x:c r="J140" s="17" t="n">
        <x:v>93264</x:v>
      </x:c>
      <x:c r="K140" s="17" t="n">
        <x:v>0</x:v>
      </x:c>
      <x:c r="L140" s="17" t="n">
        <x:v>93264</x:v>
      </x:c>
      <x:c r="M140" s="17" t="n">
        <x:v>-9434102.64</x:v>
      </x:c>
      <x:c r="N140" s="14" t="str">
        <x:v>Other</x:v>
      </x:c>
      <x:c r="O140" s="14" t="str">
        <x:v>No</x:v>
      </x:c>
      <x:c r="P140" s="14" t="str">
        <x:v>BARBX DR NEFT</x:v>
      </x:c>
      <x:c r="Q140" s="14" t="n">
        <x:v>0</x:v>
      </x:c>
      <x:c r="R140" s="14" t="n">
        <x:v>0</x:v>
      </x:c>
      <x:c r="S140" s="14" t="n">
        <x:v>0</x:v>
      </x:c>
      <x:c r="T140" s="14" t="n">
        <x:v>0</x:v>
      </x:c>
      <x:c r="U140" s="14" t="n">
        <x:v>0</x:v>
      </x:c>
      <x:c r="V140" s="14" t="n">
        <x:v>0</x:v>
      </x:c>
      <x:c r="W140" s="14" t="n">
        <x:v>0</x:v>
      </x:c>
      <x:c r="X140" s="14" t="n">
        <x:v>0</x:v>
      </x:c>
      <x:c r="Y140" s="14" t="n">
        <x:v>0</x:v>
      </x:c>
      <x:c r="Z140" s="14" t="n">
        <x:v>0</x:v>
      </x:c>
      <x:c r="AA140" s="15" t="n">
        <x:v>46142</x:v>
      </x:c>
    </x:row>
    <x:row r="141">
      <x:c r="A141" s="14" t="n">
        <x:v>137</x:v>
      </x:c>
      <x:c r="B141" s="14" t="str">
        <x:v>273.pdf</x:v>
      </x:c>
      <x:c r="C141" s="15" t="n">
        <x:v>45181</x:v>
      </x:c>
      <x:c r="D141" s="15" t="n">
        <x:v>46146</x:v>
      </x:c>
      <x:c r="E141" s="15" t="n">
        <x:v>46142</x:v>
      </x:c>
      <x:c r="F141" s="15" t="n">
        <x:v>46142</x:v>
      </x:c>
      <x:c r="G141" s="16" t="str">
        <x:v>RTGS-BARBR5202 Dr RTGS-BARBR52026043000849921-HINDUSTAN PETROLEUM CO</x:v>
      </x:c>
      <x:c r="H141" s="14" t="str"/>
      <x:c r="I141" s="14" t="str">
        <x:v>Payment</x:v>
      </x:c>
      <x:c r="J141" s="17" t="n">
        <x:v>229000</x:v>
      </x:c>
      <x:c r="K141" s="17" t="n">
        <x:v>0</x:v>
      </x:c>
      <x:c r="L141" s="17" t="n">
        <x:v>229000</x:v>
      </x:c>
      <x:c r="M141" s="17" t="n">
        <x:v>-9663102.64</x:v>
      </x:c>
      <x:c r="N141" s="14" t="str">
        <x:v>High Transaction; Recurring Transaction</x:v>
      </x:c>
      <x:c r="O141" s="14" t="str">
        <x:v>Yes</x:v>
      </x:c>
      <x:c r="P141" s="14" t="str">
        <x:v>BARBR DR RTGS</x:v>
      </x:c>
      <x:c r="Q141" s="14" t="n">
        <x:v>0</x:v>
      </x:c>
      <x:c r="R141" s="14" t="n">
        <x:v>1</x:v>
      </x:c>
      <x:c r="S141" s="14" t="n">
        <x:v>0</x:v>
      </x:c>
      <x:c r="T141" s="14" t="n">
        <x:v>0</x:v>
      </x:c>
      <x:c r="U141" s="14" t="n">
        <x:v>1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  <x:c r="AA141" s="15" t="n">
        <x:v>46142</x:v>
      </x:c>
    </x:row>
    <x:row r="142">
      <x:c r="A142" s="14" t="n">
        <x:v>138</x:v>
      </x:c>
      <x:c r="B142" s="14" t="str">
        <x:v>273.pdf</x:v>
      </x:c>
      <x:c r="C142" s="15" t="n">
        <x:v>45181</x:v>
      </x:c>
      <x:c r="D142" s="15" t="n">
        <x:v>46146</x:v>
      </x:c>
      <x:c r="E142" s="15" t="n">
        <x:v>46142</x:v>
      </x:c>
      <x:c r="F142" s="15" t="n">
        <x:v>46142</x:v>
      </x:c>
      <x:c r="G142" s="16" t="str">
        <x:v>BY CASH Dr BY CASH</x:v>
      </x:c>
      <x:c r="H142" s="14" t="str"/>
      <x:c r="I142" s="14" t="str">
        <x:v>Receipt</x:v>
      </x:c>
      <x:c r="J142" s="17" t="n">
        <x:v>0</x:v>
      </x:c>
      <x:c r="K142" s="17" t="n">
        <x:v>273000</x:v>
      </x:c>
      <x:c r="L142" s="17" t="n">
        <x:v>273000</x:v>
      </x:c>
      <x:c r="M142" s="17" t="n">
        <x:v>-9390102.64</x:v>
      </x:c>
      <x:c r="N142" s="14" t="str">
        <x:v>Cash; High Transaction; Recurring Transaction</x:v>
      </x:c>
      <x:c r="O142" s="14" t="str">
        <x:v>Yes</x:v>
      </x:c>
      <x:c r="P142" s="14" t="str">
        <x:v>BY CASH DR BY CASH</x:v>
      </x:c>
      <x:c r="Q142" s="14" t="n">
        <x:v>1</x:v>
      </x:c>
      <x:c r="R142" s="14" t="n">
        <x:v>1</x:v>
      </x:c>
      <x:c r="S142" s="14" t="n">
        <x:v>0</x:v>
      </x:c>
      <x:c r="T142" s="14" t="n">
        <x:v>0</x:v>
      </x:c>
      <x:c r="U142" s="14" t="n">
        <x:v>1</x:v>
      </x:c>
      <x:c r="V142" s="14" t="n">
        <x:v>0</x:v>
      </x:c>
      <x:c r="W142" s="14" t="n">
        <x:v>0</x:v>
      </x:c>
      <x:c r="X142" s="14" t="n">
        <x:v>0</x:v>
      </x:c>
      <x:c r="Y142" s="14" t="n">
        <x:v>0</x:v>
      </x:c>
      <x:c r="Z142" s="14" t="n">
        <x:v>0</x:v>
      </x:c>
      <x:c r="AA142" s="15" t="n">
        <x:v>46142</x:v>
      </x:c>
    </x:row>
    <x:row r="143">
      <x:c r="A143" s="14" t="n">
        <x:v>139</x:v>
      </x:c>
      <x:c r="B143" s="14" t="str">
        <x:v>273.pdf</x:v>
      </x:c>
      <x:c r="C143" s="15" t="n">
        <x:v>45181</x:v>
      </x:c>
      <x:c r="D143" s="15" t="n">
        <x:v>46146</x:v>
      </x:c>
      <x:c r="E143" s="15" t="n">
        <x:v>46142</x:v>
      </x:c>
      <x:c r="F143" s="15" t="n">
        <x:v>46142</x:v>
      </x:c>
      <x:c r="G143" s="16" t="str">
        <x:v>EBANK:WIB/1506 Dr EBANK:WIB/1506237357/Edfs</x:v>
      </x:c>
      <x:c r="H143" s="14" t="str"/>
      <x:c r="I143" s="14" t="str">
        <x:v>Receipt</x:v>
      </x:c>
      <x:c r="J143" s="17" t="n">
        <x:v>0</x:v>
      </x:c>
      <x:c r="K143" s="17" t="n">
        <x:v>307440.05</x:v>
      </x:c>
      <x:c r="L143" s="17" t="n">
        <x:v>307440.05</x:v>
      </x:c>
      <x:c r="M143" s="17" t="n">
        <x:v>-9082662.59</x:v>
      </x:c>
      <x:c r="N143" s="14" t="str">
        <x:v>High Transaction; Recurring Transaction</x:v>
      </x:c>
      <x:c r="O143" s="14" t="str">
        <x:v>Yes</x:v>
      </x:c>
      <x:c r="P143" s="14" t="str">
        <x:v>EBANKWIB</x:v>
      </x:c>
      <x:c r="Q143" s="14" t="n">
        <x:v>0</x:v>
      </x:c>
      <x:c r="R143" s="14" t="n">
        <x:v>1</x:v>
      </x:c>
      <x:c r="S143" s="14" t="n">
        <x:v>0</x:v>
      </x:c>
      <x:c r="T143" s="14" t="n">
        <x:v>0</x:v>
      </x:c>
      <x:c r="U143" s="14" t="n">
        <x:v>1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0</x:v>
      </x:c>
      <x:c r="AA143" s="15" t="n">
        <x:v>46142</x:v>
      </x:c>
    </x:row>
    <x:row r="144">
      <x:c r="A144" s="14" t="n">
        <x:v>140</x:v>
      </x:c>
      <x:c r="B144" s="14" t="str">
        <x:v>273.pdf</x:v>
      </x:c>
      <x:c r="C144" s="15" t="n">
        <x:v>45181</x:v>
      </x:c>
      <x:c r="D144" s="15" t="n">
        <x:v>46146</x:v>
      </x:c>
      <x:c r="E144" s="15" t="n">
        <x:v>46142</x:v>
      </x:c>
      <x:c r="F144" s="15" t="n">
        <x:v>46142</x:v>
      </x:c>
      <x:c r="G144" s="16" t="str">
        <x:v>EBANK:WIB/1506 Dr EBANK:WIB/1506303993/Edfs ---------------------------------------------------------------------------------------------------------------------------------- Page Total: 21,84,738.67 14,84,724.36 89,54,039.39Dr ---------------------------------------------------------------------------------------------------------------------------------- Grand Total: 2,30,94,114.44 2,41,39,693.85 89,54,039.39Dr -----------------------------------------------------------------------------------</x:v>
      </x:c>
      <x:c r="H144" s="14" t="str"/>
      <x:c r="I144" s="14" t="str">
        <x:v>Receipt</x:v>
      </x:c>
      <x:c r="J144" s="17" t="n">
        <x:v>0</x:v>
      </x:c>
      <x:c r="K144" s="17" t="n">
        <x:v>128623.2</x:v>
      </x:c>
      <x:c r="L144" s="17" t="n">
        <x:v>128623.2</x:v>
      </x:c>
      <x:c r="M144" s="17" t="n">
        <x:v>-8954039.39</x:v>
      </x:c>
      <x:c r="N144" s="14" t="str">
        <x:v>High Transaction; Recurring Transaction</x:v>
      </x:c>
      <x:c r="O144" s="14" t="str">
        <x:v>Yes</x:v>
      </x:c>
      <x:c r="P144" s="14" t="str">
        <x:v>EBANKWIB</x:v>
      </x:c>
      <x:c r="Q144" s="14" t="n">
        <x:v>0</x:v>
      </x:c>
      <x:c r="R144" s="14" t="n">
        <x:v>1</x:v>
      </x:c>
      <x:c r="S144" s="14" t="n">
        <x:v>0</x:v>
      </x:c>
      <x:c r="T144" s="14" t="n">
        <x:v>0</x:v>
      </x:c>
      <x:c r="U144" s="14" t="n">
        <x:v>1</x:v>
      </x:c>
      <x:c r="V144" s="14" t="n">
        <x:v>0</x:v>
      </x:c>
      <x:c r="W144" s="14" t="n">
        <x:v>0</x:v>
      </x:c>
      <x:c r="X144" s="14" t="n">
        <x:v>0</x:v>
      </x:c>
      <x:c r="Y144" s="14" t="n">
        <x:v>0</x:v>
      </x:c>
      <x:c r="Z144" s="14" t="n">
        <x:v>0</x:v>
      </x:c>
      <x:c r="AA144" s="15" t="n">
        <x:v>46142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392a5f49633d490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UPI Transactions</x:v>
      </x:c>
      <x:c r="B1" s="25" t="str">
        <x:v>UPI Transactions</x:v>
      </x:c>
      <x:c r="C1" s="25" t="str">
        <x:v>UPI Transactions</x:v>
      </x:c>
      <x:c r="D1" s="25" t="str">
        <x:v>UPI Transactions</x:v>
      </x:c>
      <x:c r="E1" s="25" t="str">
        <x:v>UPI Transactions</x:v>
      </x:c>
      <x:c r="F1" s="25" t="str">
        <x:v>UPI Transactions</x:v>
      </x:c>
      <x:c r="G1" s="25" t="str">
        <x:v>UPI Transactions</x:v>
      </x:c>
      <x:c r="H1" s="25" t="str">
        <x:v>UPI Transactions</x:v>
      </x:c>
      <x:c r="I1" s="25" t="str">
        <x:v>UPI Transactions</x:v>
      </x:c>
      <x:c r="J1" s="25" t="str">
        <x:v>UPI Transactions</x:v>
      </x:c>
      <x:c r="K1" s="25" t="str">
        <x:v>UPI Transactions</x:v>
      </x:c>
      <x:c r="L1" s="25" t="str">
        <x:v>UPI Transactions</x:v>
      </x:c>
      <x:c r="M1" s="25" t="str">
        <x:v>UPI Transactions</x:v>
      </x:c>
      <x:c r="N1" s="25" t="str">
        <x:v>UPI Transactions</x:v>
      </x:c>
      <x:c r="O1" s="25" t="str">
        <x:v>UPI Transactions</x:v>
      </x:c>
      <x:c r="P1" s="25" t="str">
        <x:v>UPI Transactions</x:v>
      </x:c>
      <x:c r="Q1" s="25" t="str">
        <x:v>UPI Transactions</x:v>
      </x:c>
      <x:c r="R1" s="25" t="str">
        <x:v>UPI Transactions</x:v>
      </x:c>
      <x:c r="S1" s="25" t="str">
        <x:v>UPI Transactions</x:v>
      </x:c>
      <x:c r="T1" s="25" t="str">
        <x:v>UPI Transactions</x:v>
      </x:c>
      <x:c r="U1" s="25" t="str">
        <x:v>UPI Transactions</x:v>
      </x:c>
      <x:c r="V1" s="25" t="str">
        <x:v>UPI Transactions</x:v>
      </x:c>
      <x:c r="W1" s="25" t="str">
        <x:v>UPI Transactions</x:v>
      </x:c>
      <x:c r="X1" s="25" t="str">
        <x:v>UPI Transactions</x:v>
      </x:c>
      <x:c r="Y1" s="25" t="str">
        <x:v>UPI Transactions</x:v>
      </x:c>
      <x:c r="Z1" s="25" t="str">
        <x:v>UPI Transactions</x:v>
      </x:c>
      <x:c r="AA1" s="25" t="str">
        <x:v>UPI Transactions</x:v>
      </x:c>
    </x:row>
    <x:row r="2">
      <x:c r="A2" s="26" t="str">
        <x:v>Rows</x:v>
      </x:c>
      <x:c r="B2" s="26" t="n">
        <x:v>0</x:v>
      </x:c>
      <x:c r="C2" s="26" t="str">
        <x:v>Match</x:v>
      </x:c>
      <x:c r="D2" s="26" t="str">
        <x:v>UPI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27" t="str">
        <x:v>No matching transactions.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</x:row>
  </x:sheetData>
  <x:mergeCells>
    <x:mergeCell ref="A1:AA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LIC Transactions</x:v>
      </x:c>
      <x:c r="B1" s="25" t="str">
        <x:v>LIC Transactions</x:v>
      </x:c>
      <x:c r="C1" s="25" t="str">
        <x:v>LIC Transactions</x:v>
      </x:c>
      <x:c r="D1" s="25" t="str">
        <x:v>LIC Transactions</x:v>
      </x:c>
      <x:c r="E1" s="25" t="str">
        <x:v>LIC Transactions</x:v>
      </x:c>
      <x:c r="F1" s="25" t="str">
        <x:v>LIC Transactions</x:v>
      </x:c>
      <x:c r="G1" s="25" t="str">
        <x:v>LIC Transactions</x:v>
      </x:c>
      <x:c r="H1" s="25" t="str">
        <x:v>LIC Transactions</x:v>
      </x:c>
      <x:c r="I1" s="25" t="str">
        <x:v>LIC Transactions</x:v>
      </x:c>
      <x:c r="J1" s="25" t="str">
        <x:v>LIC Transactions</x:v>
      </x:c>
      <x:c r="K1" s="25" t="str">
        <x:v>LIC Transactions</x:v>
      </x:c>
      <x:c r="L1" s="25" t="str">
        <x:v>LIC Transactions</x:v>
      </x:c>
      <x:c r="M1" s="25" t="str">
        <x:v>LIC Transactions</x:v>
      </x:c>
      <x:c r="N1" s="25" t="str">
        <x:v>LIC Transactions</x:v>
      </x:c>
      <x:c r="O1" s="25" t="str">
        <x:v>LIC Transactions</x:v>
      </x:c>
      <x:c r="P1" s="25" t="str">
        <x:v>LIC Transactions</x:v>
      </x:c>
      <x:c r="Q1" s="25" t="str">
        <x:v>LIC Transactions</x:v>
      </x:c>
      <x:c r="R1" s="25" t="str">
        <x:v>LIC Transactions</x:v>
      </x:c>
      <x:c r="S1" s="25" t="str">
        <x:v>LIC Transactions</x:v>
      </x:c>
      <x:c r="T1" s="25" t="str">
        <x:v>LIC Transactions</x:v>
      </x:c>
      <x:c r="U1" s="25" t="str">
        <x:v>LIC Transactions</x:v>
      </x:c>
      <x:c r="V1" s="25" t="str">
        <x:v>LIC Transactions</x:v>
      </x:c>
      <x:c r="W1" s="25" t="str">
        <x:v>LIC Transactions</x:v>
      </x:c>
      <x:c r="X1" s="25" t="str">
        <x:v>LIC Transactions</x:v>
      </x:c>
      <x:c r="Y1" s="25" t="str">
        <x:v>LIC Transactions</x:v>
      </x:c>
      <x:c r="Z1" s="25" t="str">
        <x:v>LIC Transactions</x:v>
      </x:c>
      <x:c r="AA1" s="25" t="str">
        <x:v>LIC Transactions</x:v>
      </x:c>
    </x:row>
    <x:row r="2">
      <x:c r="A2" s="26" t="str">
        <x:v>Rows</x:v>
      </x:c>
      <x:c r="B2" s="26" t="n">
        <x:v>0</x:v>
      </x:c>
      <x:c r="C2" s="26" t="str">
        <x:v>Match</x:v>
      </x:c>
      <x:c r="D2" s="26" t="str">
        <x:v>LIC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27" t="str">
        <x:v>No matching transactions.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</x:row>
  </x:sheetData>
  <x:mergeCells>
    <x:mergeCell ref="A1:AA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FD interest Transactions</x:v>
      </x:c>
      <x:c r="B1" s="25" t="str">
        <x:v>FD interest Transactions</x:v>
      </x:c>
      <x:c r="C1" s="25" t="str">
        <x:v>FD interest Transactions</x:v>
      </x:c>
      <x:c r="D1" s="25" t="str">
        <x:v>FD interest Transactions</x:v>
      </x:c>
      <x:c r="E1" s="25" t="str">
        <x:v>FD interest Transactions</x:v>
      </x:c>
      <x:c r="F1" s="25" t="str">
        <x:v>FD interest Transactions</x:v>
      </x:c>
      <x:c r="G1" s="25" t="str">
        <x:v>FD interest Transactions</x:v>
      </x:c>
      <x:c r="H1" s="25" t="str">
        <x:v>FD interest Transactions</x:v>
      </x:c>
      <x:c r="I1" s="25" t="str">
        <x:v>FD interest Transactions</x:v>
      </x:c>
      <x:c r="J1" s="25" t="str">
        <x:v>FD interest Transactions</x:v>
      </x:c>
      <x:c r="K1" s="25" t="str">
        <x:v>FD interest Transactions</x:v>
      </x:c>
      <x:c r="L1" s="25" t="str">
        <x:v>FD interest Transactions</x:v>
      </x:c>
      <x:c r="M1" s="25" t="str">
        <x:v>FD interest Transactions</x:v>
      </x:c>
      <x:c r="N1" s="25" t="str">
        <x:v>FD interest Transactions</x:v>
      </x:c>
      <x:c r="O1" s="25" t="str">
        <x:v>FD interest Transactions</x:v>
      </x:c>
      <x:c r="P1" s="25" t="str">
        <x:v>FD interest Transactions</x:v>
      </x:c>
      <x:c r="Q1" s="25" t="str">
        <x:v>FD interest Transactions</x:v>
      </x:c>
      <x:c r="R1" s="25" t="str">
        <x:v>FD interest Transactions</x:v>
      </x:c>
      <x:c r="S1" s="25" t="str">
        <x:v>FD interest Transactions</x:v>
      </x:c>
      <x:c r="T1" s="25" t="str">
        <x:v>FD interest Transactions</x:v>
      </x:c>
      <x:c r="U1" s="25" t="str">
        <x:v>FD interest Transactions</x:v>
      </x:c>
      <x:c r="V1" s="25" t="str">
        <x:v>FD interest Transactions</x:v>
      </x:c>
      <x:c r="W1" s="25" t="str">
        <x:v>FD interest Transactions</x:v>
      </x:c>
      <x:c r="X1" s="25" t="str">
        <x:v>FD interest Transactions</x:v>
      </x:c>
      <x:c r="Y1" s="25" t="str">
        <x:v>FD interest Transactions</x:v>
      </x:c>
      <x:c r="Z1" s="25" t="str">
        <x:v>FD interest Transactions</x:v>
      </x:c>
      <x:c r="AA1" s="25" t="str">
        <x:v>FD interest Transactions</x:v>
      </x:c>
    </x:row>
    <x:row r="2">
      <x:c r="A2" s="26" t="str">
        <x:v>Rows</x:v>
      </x:c>
      <x:c r="B2" s="26" t="n">
        <x:v>0</x:v>
      </x:c>
      <x:c r="C2" s="26" t="str">
        <x:v>Match</x:v>
      </x:c>
      <x:c r="D2" s="26" t="str">
        <x:v>FD interest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27" t="str">
        <x:v>No matching transactions.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</x:row>
  </x:sheetData>
  <x:mergeCells>
    <x:mergeCell ref="A1:AA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FD Deposit and withdrawals Transactions</x:v>
      </x:c>
      <x:c r="B1" s="25" t="str">
        <x:v>FD Deposit and withdrawals Transactions</x:v>
      </x:c>
      <x:c r="C1" s="25" t="str">
        <x:v>FD Deposit and withdrawals Transactions</x:v>
      </x:c>
      <x:c r="D1" s="25" t="str">
        <x:v>FD Deposit and withdrawals Transactions</x:v>
      </x:c>
      <x:c r="E1" s="25" t="str">
        <x:v>FD Deposit and withdrawals Transactions</x:v>
      </x:c>
      <x:c r="F1" s="25" t="str">
        <x:v>FD Deposit and withdrawals Transactions</x:v>
      </x:c>
      <x:c r="G1" s="25" t="str">
        <x:v>FD Deposit and withdrawals Transactions</x:v>
      </x:c>
      <x:c r="H1" s="25" t="str">
        <x:v>FD Deposit and withdrawals Transactions</x:v>
      </x:c>
      <x:c r="I1" s="25" t="str">
        <x:v>FD Deposit and withdrawals Transactions</x:v>
      </x:c>
      <x:c r="J1" s="25" t="str">
        <x:v>FD Deposit and withdrawals Transactions</x:v>
      </x:c>
      <x:c r="K1" s="25" t="str">
        <x:v>FD Deposit and withdrawals Transactions</x:v>
      </x:c>
      <x:c r="L1" s="25" t="str">
        <x:v>FD Deposit and withdrawals Transactions</x:v>
      </x:c>
      <x:c r="M1" s="25" t="str">
        <x:v>FD Deposit and withdrawals Transactions</x:v>
      </x:c>
      <x:c r="N1" s="25" t="str">
        <x:v>FD Deposit and withdrawals Transactions</x:v>
      </x:c>
      <x:c r="O1" s="25" t="str">
        <x:v>FD Deposit and withdrawals Transactions</x:v>
      </x:c>
      <x:c r="P1" s="25" t="str">
        <x:v>FD Deposit and withdrawals Transactions</x:v>
      </x:c>
      <x:c r="Q1" s="25" t="str">
        <x:v>FD Deposit and withdrawals Transactions</x:v>
      </x:c>
      <x:c r="R1" s="25" t="str">
        <x:v>FD Deposit and withdrawals Transactions</x:v>
      </x:c>
      <x:c r="S1" s="25" t="str">
        <x:v>FD Deposit and withdrawals Transactions</x:v>
      </x:c>
      <x:c r="T1" s="25" t="str">
        <x:v>FD Deposit and withdrawals Transactions</x:v>
      </x:c>
      <x:c r="U1" s="25" t="str">
        <x:v>FD Deposit and withdrawals Transactions</x:v>
      </x:c>
      <x:c r="V1" s="25" t="str">
        <x:v>FD Deposit and withdrawals Transactions</x:v>
      </x:c>
      <x:c r="W1" s="25" t="str">
        <x:v>FD Deposit and withdrawals Transactions</x:v>
      </x:c>
      <x:c r="X1" s="25" t="str">
        <x:v>FD Deposit and withdrawals Transactions</x:v>
      </x:c>
      <x:c r="Y1" s="25" t="str">
        <x:v>FD Deposit and withdrawals Transactions</x:v>
      </x:c>
      <x:c r="Z1" s="25" t="str">
        <x:v>FD Deposit and withdrawals Transactions</x:v>
      </x:c>
      <x:c r="AA1" s="25" t="str">
        <x:v>FD Deposit and withdrawals Transactions</x:v>
      </x:c>
    </x:row>
    <x:row r="2">
      <x:c r="A2" s="26" t="str">
        <x:v>Rows</x:v>
      </x:c>
      <x:c r="B2" s="26" t="n">
        <x:v>0</x:v>
      </x:c>
      <x:c r="C2" s="26" t="str">
        <x:v>Match</x:v>
      </x:c>
      <x:c r="D2" s="26" t="str">
        <x:v>FD Deposit/Withdrawal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27" t="str">
        <x:v>No matching transactions.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</x:row>
  </x:sheetData>
  <x:mergeCells>
    <x:mergeCell ref="A1:AA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PPF/PF interest and contribution Transactions</x:v>
      </x:c>
      <x:c r="B1" s="25" t="str">
        <x:v>PPF/PF interest and contribution Transactions</x:v>
      </x:c>
      <x:c r="C1" s="25" t="str">
        <x:v>PPF/PF interest and contribution Transactions</x:v>
      </x:c>
      <x:c r="D1" s="25" t="str">
        <x:v>PPF/PF interest and contribution Transactions</x:v>
      </x:c>
      <x:c r="E1" s="25" t="str">
        <x:v>PPF/PF interest and contribution Transactions</x:v>
      </x:c>
      <x:c r="F1" s="25" t="str">
        <x:v>PPF/PF interest and contribution Transactions</x:v>
      </x:c>
      <x:c r="G1" s="25" t="str">
        <x:v>PPF/PF interest and contribution Transactions</x:v>
      </x:c>
      <x:c r="H1" s="25" t="str">
        <x:v>PPF/PF interest and contribution Transactions</x:v>
      </x:c>
      <x:c r="I1" s="25" t="str">
        <x:v>PPF/PF interest and contribution Transactions</x:v>
      </x:c>
      <x:c r="J1" s="25" t="str">
        <x:v>PPF/PF interest and contribution Transactions</x:v>
      </x:c>
      <x:c r="K1" s="25" t="str">
        <x:v>PPF/PF interest and contribution Transactions</x:v>
      </x:c>
      <x:c r="L1" s="25" t="str">
        <x:v>PPF/PF interest and contribution Transactions</x:v>
      </x:c>
      <x:c r="M1" s="25" t="str">
        <x:v>PPF/PF interest and contribution Transactions</x:v>
      </x:c>
      <x:c r="N1" s="25" t="str">
        <x:v>PPF/PF interest and contribution Transactions</x:v>
      </x:c>
      <x:c r="O1" s="25" t="str">
        <x:v>PPF/PF interest and contribution Transactions</x:v>
      </x:c>
      <x:c r="P1" s="25" t="str">
        <x:v>PPF/PF interest and contribution Transactions</x:v>
      </x:c>
      <x:c r="Q1" s="25" t="str">
        <x:v>PPF/PF interest and contribution Transactions</x:v>
      </x:c>
      <x:c r="R1" s="25" t="str">
        <x:v>PPF/PF interest and contribution Transactions</x:v>
      </x:c>
      <x:c r="S1" s="25" t="str">
        <x:v>PPF/PF interest and contribution Transactions</x:v>
      </x:c>
      <x:c r="T1" s="25" t="str">
        <x:v>PPF/PF interest and contribution Transactions</x:v>
      </x:c>
      <x:c r="U1" s="25" t="str">
        <x:v>PPF/PF interest and contribution Transactions</x:v>
      </x:c>
      <x:c r="V1" s="25" t="str">
        <x:v>PPF/PF interest and contribution Transactions</x:v>
      </x:c>
      <x:c r="W1" s="25" t="str">
        <x:v>PPF/PF interest and contribution Transactions</x:v>
      </x:c>
      <x:c r="X1" s="25" t="str">
        <x:v>PPF/PF interest and contribution Transactions</x:v>
      </x:c>
      <x:c r="Y1" s="25" t="str">
        <x:v>PPF/PF interest and contribution Transactions</x:v>
      </x:c>
      <x:c r="Z1" s="25" t="str">
        <x:v>PPF/PF interest and contribution Transactions</x:v>
      </x:c>
      <x:c r="AA1" s="25" t="str">
        <x:v>PPF/PF interest and contribution Transactions</x:v>
      </x:c>
    </x:row>
    <x:row r="2">
      <x:c r="A2" s="26" t="str">
        <x:v>Rows</x:v>
      </x:c>
      <x:c r="B2" s="26" t="n">
        <x:v>0</x:v>
      </x:c>
      <x:c r="C2" s="26" t="str">
        <x:v>Match</x:v>
      </x:c>
      <x:c r="D2" s="26" t="str">
        <x:v>PPF/PF interest/contribution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27" t="str">
        <x:v>No matching transactions.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</x:row>
  </x:sheetData>
  <x:mergeCells>
    <x:mergeCell ref="A1:AA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</x:cols>
  <x:sheetData>
    <x:row r="1">
      <x:c r="A1" s="13" t="str">
        <x:v>Check</x:v>
      </x:c>
      <x:c r="B1" s="13" t="str">
        <x:v>Actual</x:v>
      </x:c>
      <x:c r="C1" s="13" t="str">
        <x:v>Expected</x:v>
      </x:c>
      <x:c r="D1" s="13" t="str">
        <x:v>Difference</x:v>
      </x:c>
      <x:c r="E1" s="13" t="str">
        <x:v>Tolerance</x:v>
      </x:c>
      <x:c r="F1" s="13" t="str">
        <x:v>Status</x:v>
      </x:c>
    </x:row>
    <x:row r="2">
      <x:c r="A2" s="14" t="str">
        <x:v>Total payments tie to HDFC summaries</x:v>
      </x:c>
      <x:c r="B2" s="17" t="n">
        <x:f>SUM(Transactions!$J$2:$J$141)</x:f>
        <x:v>23775996.040000007</x:v>
      </x:c>
      <x:c r="C2" s="17" t="n">
        <x:f>SUM('Monthly Summary'!$I$2:$I$2)</x:f>
        <x:v>23775996.040000007</x:v>
      </x:c>
      <x:c r="D2" s="17" t="n">
        <x:f>B2-C2</x:f>
        <x:v>0</x:v>
      </x:c>
      <x:c r="E2" s="17" t="n">
        <x:f>0.01</x:f>
        <x:v>0.01</x:v>
      </x:c>
      <x:c r="F2" s="14" t="str">
        <x:f>IF(ABS(D2)&lt;=E2,"OK","Check")</x:f>
        <x:v>OK</x:v>
      </x:c>
    </x:row>
    <x:row r="3">
      <x:c r="A3" s="14" t="str">
        <x:v>Total receipts tie to HDFC summaries</x:v>
      </x:c>
      <x:c r="B3" s="17" t="n">
        <x:f>SUM(Transactions!$K$2:$K$141)</x:f>
        <x:v>23457812.249999996</x:v>
      </x:c>
      <x:c r="C3" s="17" t="n">
        <x:f>SUM('Monthly Summary'!$J$2:$J$2)</x:f>
        <x:v>23457812.249999996</x:v>
      </x:c>
      <x:c r="D3" s="17" t="n">
        <x:f>B3-C3</x:f>
        <x:v>0</x:v>
      </x:c>
      <x:c r="E3" s="17" t="n">
        <x:f>0.01</x:f>
        <x:v>0.01</x:v>
      </x:c>
      <x:c r="F3" s="14" t="str">
        <x:f>IF(ABS(D3)&lt;=E3,"OK","Check")</x:f>
        <x:v>OK</x:v>
      </x:c>
    </x:row>
    <x:row r="4">
      <x:c r="A4" s="14" t="str">
        <x:v>All monthly payment checks OK</x:v>
      </x:c>
      <x:c r="B4" s="29" t="n">
        <x:f>COUNTIF('Monthly Summary'!$N$2:$N$2,"OK")</x:f>
        <x:v>1</x:v>
      </x:c>
      <x:c r="C4" s="29" t="n">
        <x:f>1</x:f>
        <x:v>1</x:v>
      </x:c>
      <x:c r="D4" s="29" t="n">
        <x:f>B4-C4</x:f>
        <x:v>0</x:v>
      </x:c>
      <x:c r="E4" s="29" t="n">
        <x:f>0</x:f>
        <x:v>0</x:v>
      </x:c>
      <x:c r="F4" s="14" t="str">
        <x:f>IF(D4=0,"OK","Check")</x:f>
        <x:v>OK</x:v>
      </x:c>
    </x:row>
    <x:row r="5">
      <x:c r="A5" s="14" t="str">
        <x:v>All monthly receipt checks OK</x:v>
      </x:c>
      <x:c r="B5" s="29" t="n">
        <x:f>COUNTIF('Monthly Summary'!$O$2:$O$2,"OK")</x:f>
        <x:v>1</x:v>
      </x:c>
      <x:c r="C5" s="29" t="n">
        <x:f>1</x:f>
        <x:v>1</x:v>
      </x:c>
      <x:c r="D5" s="29" t="n">
        <x:f>B5-C5</x:f>
        <x:v>0</x:v>
      </x:c>
      <x:c r="E5" s="29" t="n">
        <x:f>0</x:f>
        <x:v>0</x:v>
      </x:c>
      <x:c r="F5" s="14" t="str">
        <x:f>IF(D5=0,"OK","Check")</x:f>
        <x:v>OK</x:v>
      </x:c>
    </x:row>
    <x:row r="6">
      <x:c r="A6" s="14" t="str">
        <x:v>Transaction rows parsed</x:v>
      </x:c>
      <x:c r="B6" s="29" t="n">
        <x:f>COUNTA(Transactions!$A$2:$A$141)</x:f>
        <x:v>140</x:v>
      </x:c>
      <x:c r="C6" s="29" t="n">
        <x:f>140</x:f>
        <x:v>140</x:v>
      </x:c>
      <x:c r="D6" s="29" t="n">
        <x:f>B6-C6</x:f>
        <x:v>0</x:v>
      </x:c>
      <x:c r="E6" s="29" t="n">
        <x:f>0</x:f>
        <x:v>0</x:v>
      </x:c>
      <x:c r="F6" s="14" t="str">
        <x:f>IF(D6=0,"OK","Check")</x:f>
        <x:v>OK</x:v>
      </x:c>
    </x:row>
    <x:row r="7">
      <x:c r="A7" s="14" t="str">
        <x:v>Statement PDFs processed</x:v>
      </x:c>
      <x:c r="B7" s="29" t="n">
        <x:f>COUNTA(Sources!$A$2:$A$2)</x:f>
        <x:v>1</x:v>
      </x:c>
      <x:c r="C7" s="29" t="n">
        <x:f>1</x:f>
        <x:v>1</x:v>
      </x:c>
      <x:c r="D7" s="29" t="n">
        <x:f>B7-C7</x:f>
        <x:v>0</x:v>
      </x:c>
      <x:c r="E7" s="29" t="n">
        <x:f>0</x:f>
        <x:v>0</x:v>
      </x:c>
      <x:c r="F7" s="14" t="str">
        <x:f>IF(D7=0,"OK","Check")</x:f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5c02c88a44ac466f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8" hidden="0" customWidth="1"/>
    <x:col min="5" max="5" width="60" hidden="0" customWidth="1"/>
  </x:cols>
  <x:sheetData>
    <x:row r="1">
      <x:c r="A1" s="13" t="str">
        <x:v>Source File</x:v>
      </x:c>
      <x:c r="B1" s="13" t="str">
        <x:v>Statement From</x:v>
      </x:c>
      <x:c r="C1" s="13" t="str">
        <x:v>Statement To</x:v>
      </x:c>
      <x:c r="D1" s="13" t="str">
        <x:v>Pages</x:v>
      </x:c>
      <x:c r="E1" s="13" t="str">
        <x:v>Layout Review</x:v>
      </x:c>
    </x:row>
    <x:row r="2">
      <x:c r="A2" s="14" t="str">
        <x:v>273.pdf</x:v>
      </x:c>
      <x:c r="B2" s="15" t="n">
        <x:v>45181</x:v>
      </x:c>
      <x:c r="C2" s="15" t="n">
        <x:v>46146</x:v>
      </x:c>
      <x:c r="D2" s="14" t="n">
        <x:v>8</x:v>
      </x:c>
      <x:c r="E2" s="16" t="str">
        <x:v>Text-based HDFC statement table. Transaction rows reconciled to statement summary.</x:v>
      </x:c>
    </x:row>
  </x:sheetData>
  <x:pageMargins left="0.7" right="0.7" top="0.75" bottom="0.75" header="0.3" footer="0.3"/>
  <x:tableParts count="1">
    <x:tablePart xmlns:r="http://schemas.openxmlformats.org/officeDocument/2006/relationships" r:id="R3aa4a75d8fe240ce"/>
  </x:tableParts>
</x:worksheet>
</file>