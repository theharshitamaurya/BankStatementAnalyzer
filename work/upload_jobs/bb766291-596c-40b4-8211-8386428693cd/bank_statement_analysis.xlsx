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ategory Details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Detail Total" sheetId="6" state="visible" r:id="rId6"/>
    <sheet xmlns:r="http://schemas.openxmlformats.org/officeDocument/2006/relationships" name="Detail Cash" sheetId="7" state="visible" r:id="rId7"/>
    <sheet xmlns:r="http://schemas.openxmlformats.org/officeDocument/2006/relationships" name="Detail Recurring Transaction" sheetId="8" state="visible" r:id="rId8"/>
    <sheet xmlns:r="http://schemas.openxmlformats.org/officeDocument/2006/relationships" name="Detail EMI" sheetId="9" state="visible" r:id="rId9"/>
    <sheet xmlns:r="http://schemas.openxmlformats.org/officeDocument/2006/relationships" name="Detail Salary" sheetId="10" state="visible" r:id="rId10"/>
    <sheet xmlns:r="http://schemas.openxmlformats.org/officeDocument/2006/relationships" name="Detail High Transaction" sheetId="11" state="visible" r:id="rId11"/>
    <sheet xmlns:r="http://schemas.openxmlformats.org/officeDocument/2006/relationships" name="Detail Total Receipts and Payme" sheetId="12" state="visible" r:id="rId12"/>
    <sheet xmlns:r="http://schemas.openxmlformats.org/officeDocument/2006/relationships" name="Detail UPI" sheetId="13" state="visible" r:id="rId13"/>
    <sheet xmlns:r="http://schemas.openxmlformats.org/officeDocument/2006/relationships" name="Detail LIC" sheetId="14" state="visible" r:id="rId14"/>
    <sheet xmlns:r="http://schemas.openxmlformats.org/officeDocument/2006/relationships" name="Detail FD interest" sheetId="15" state="visible" r:id="rId15"/>
    <sheet xmlns:r="http://schemas.openxmlformats.org/officeDocument/2006/relationships" name="Detail FD Deposit and withdrawa" sheetId="16" state="visible" r:id="rId16"/>
    <sheet xmlns:r="http://schemas.openxmlformats.org/officeDocument/2006/relationships" name="Detail PPF PF interest and cont" sheetId="17" state="visible" r:id="rId17"/>
    <sheet xmlns:r="http://schemas.openxmlformats.org/officeDocument/2006/relationships" name="Checks" sheetId="18" state="visible" r:id="rId18"/>
    <sheet xmlns:r="http://schemas.openxmlformats.org/officeDocument/2006/relationships" name="Sources" sheetId="19" state="visible" r:id="rId1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;[Red](₹#,##0.00);-"/>
  </numFmts>
  <fonts count="11">
    <font>
      <name val="Carlito"/>
      <sz val="11"/>
    </font>
    <font>
      <name val="Carlito"/>
      <b val="1"/>
      <color rgb="FFFFFFFF"/>
      <sz val="11"/>
    </font>
    <font>
      <name val="Aptos"/>
      <b val="1"/>
      <color rgb="FFFFFFFF"/>
      <sz val="10"/>
    </font>
    <font>
      <name val="Aptos"/>
      <sz val="10"/>
    </font>
    <font>
      <name val="Carlito"/>
      <b val="1"/>
      <color rgb="FF135E75"/>
      <sz val="11"/>
    </font>
    <font>
      <name val="Carlito"/>
      <b val="1"/>
      <color rgb="FFFFFFFF"/>
      <sz val="16"/>
    </font>
    <font>
      <name val="Carlito"/>
      <b val="1"/>
      <sz val="11"/>
    </font>
    <font>
      <name val="Aptos"/>
      <b val="1"/>
      <color rgb="FF135E75"/>
      <sz val="10"/>
    </font>
    <font>
      <name val="Aptos"/>
      <b val="1"/>
      <sz val="10"/>
    </font>
    <font>
      <name val="Aptos Display"/>
      <b val="1"/>
      <color rgb="FFFFFFFF"/>
      <sz val="16"/>
    </font>
    <font>
      <name val="Aptos"/>
      <b val="1"/>
      <color rgb="00135E75"/>
      <sz val="10"/>
      <u val="single"/>
    </font>
  </fonts>
  <fills count="6">
    <fill>
      <patternFill/>
    </fill>
    <fill>
      <patternFill patternType="gray125"/>
    </fill>
    <fill>
      <patternFill patternType="solid">
        <fgColor rgb="FF315A7D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EAF2F8"/>
      </patternFill>
    </fill>
  </fills>
  <borders count="3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164" fontId="0" fillId="3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0" fillId="3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3" fillId="3" borderId="2" applyAlignment="1" pivotButton="0" quotePrefix="0" xfId="0">
      <alignment vertical="top" wrapText="1"/>
    </xf>
    <xf numFmtId="165" fontId="3" fillId="3" borderId="2" applyAlignment="1" pivotButton="0" quotePrefix="0" xfId="0">
      <alignment vertical="top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4" fillId="3" borderId="0" pivotButton="0" quotePrefix="0" xfId="0"/>
    <xf numFmtId="0" fontId="4" fillId="3" borderId="2" pivotButton="0" quotePrefix="0" xfId="0"/>
    <xf numFmtId="0" fontId="4" fillId="3" borderId="2" applyAlignment="1" pivotButton="0" quotePrefix="0" xfId="0">
      <alignment vertical="top"/>
    </xf>
    <xf numFmtId="0" fontId="7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8" fillId="5" borderId="1" pivotButton="0" quotePrefix="0" xfId="0"/>
    <xf numFmtId="0" fontId="3" fillId="0" borderId="0" pivotButton="0" quotePrefix="0" xfId="0"/>
    <xf numFmtId="0" fontId="7" fillId="3" borderId="2" applyAlignment="1" pivotButton="0" quotePrefix="0" xfId="0">
      <alignment vertical="top"/>
    </xf>
    <xf numFmtId="3" fontId="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  <xf numFmtId="0" fontId="0" fillId="5" borderId="2" applyAlignment="1" pivotButton="0" quotePrefix="0" xfId="0">
      <alignment vertical="top"/>
    </xf>
    <xf numFmtId="0" fontId="6" fillId="5" borderId="2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9" fillId="4" borderId="0" applyAlignment="1" pivotButton="0" quotePrefix="0" xfId="0">
      <alignment horizontal="center" vertical="center"/>
    </xf>
    <xf numFmtId="165" fontId="3" fillId="3" borderId="2" applyAlignment="1" pivotButton="0" quotePrefix="0" xfId="0">
      <alignment vertical="top"/>
    </xf>
    <xf numFmtId="164" fontId="3" fillId="3" borderId="2" applyAlignment="1" pivotButton="0" quotePrefix="0" xfId="0">
      <alignment vertical="top"/>
    </xf>
    <xf numFmtId="0" fontId="10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vertical="top"/>
    </xf>
    <xf numFmtId="3" fontId="3" fillId="3" borderId="2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Receipts and Payments by Month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Receipts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'Dashboard'!$J$4</f>
              <numCache>
                <formatCode>₹#,##0.00;[Red](₹#,##0.00);-</formatCode>
                <ptCount val="0"/>
              </numCache>
            </numRef>
          </val>
        </ser>
        <ser>
          <idx val="1"/>
          <order val="1"/>
          <tx>
            <v>Payments</v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'Dashboard'!$I$4</f>
              <strCache>
                <ptCount val="0"/>
              </strCache>
            </strRef>
          </cat>
          <val>
            <numRef>
              <f>'Dashboard'!$K$4</f>
              <numCache>
                <formatCode>₹#,##0.00;[Red](₹#,##0.00);-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₹#,##0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ategorySummaryTable" displayName="CategorySummaryTable" ref="A1:H12" headerRowCount="1">
  <tableColumns count="8">
    <tableColumn id="1" name="Requested Category"/>
    <tableColumn id="2" name="Match Term"/>
    <tableColumn id="3" name="Receipt Count"/>
    <tableColumn id="4" name="Receipts"/>
    <tableColumn id="5" name="Payment Count"/>
    <tableColumn id="6" name="Payments"/>
    <tableColumn id="7" name="Net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CategoryDetailsTable" displayName="CategoryDetailsTable" ref="A3:H15" headerRowCount="1">
  <tableColumns count="8">
    <tableColumn id="1" name="Category"/>
    <tableColumn id="2" name="Detail Sheet"/>
    <tableColumn id="3" name="Rows"/>
    <tableColumn id="4" name="Receipt Count"/>
    <tableColumn id="5" name="Receipts"/>
    <tableColumn id="6" name="Payment Count"/>
    <tableColumn id="7" name="Payments"/>
    <tableColumn id="8" name="Net"/>
  </tableColumns>
  <tableStyleInfo name="TableStyleMedium2" showRowStripes="1"/>
</table>
</file>

<file path=xl/tables/table3.xml><?xml version="1.0" encoding="utf-8"?>
<table xmlns="http://schemas.openxmlformats.org/spreadsheetml/2006/main" id="3" name="MonthlySummaryTable" displayName="MonthlySummaryTable" ref="A1:O2" headerRowCount="1">
  <tableColumns count="15">
    <tableColumn id="1" name="Month Key"/>
    <tableColumn id="2" name="From"/>
    <tableColumn id="3" name="To"/>
    <tableColumn id="4" name="Period"/>
    <tableColumn id="5" name="Transactions"/>
    <tableColumn id="6" name="Opening Balance"/>
    <tableColumn id="7" name="Dr Count"/>
    <tableColumn id="8" name="Cr Count"/>
    <tableColumn id="9" name="Payments"/>
    <tableColumn id="10" name="Receipts"/>
    <tableColumn id="11" name="Closing Balance"/>
    <tableColumn id="12" name="Parsed Payments"/>
    <tableColumn id="13" name="Parsed Receipts"/>
    <tableColumn id="14" name="Payment Check"/>
    <tableColumn id="15" name="Receipt Check"/>
  </tableColumns>
  <tableStyleInfo name="TableStyleMedium2" showRowStripes="1"/>
</table>
</file>

<file path=xl/tables/table4.xml><?xml version="1.0" encoding="utf-8"?>
<table xmlns="http://schemas.openxmlformats.org/spreadsheetml/2006/main" id="4" name="TransactionsTable" displayName="TransactionsTable" ref="A1:AA141" headerRowCount="1">
  <tableColumns count="27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</tableColumns>
  <tableStyleInfo name="TableStyleMedium2" showRowStripes="1"/>
</table>
</file>

<file path=xl/tables/table5.xml><?xml version="1.0" encoding="utf-8"?>
<table xmlns="http://schemas.openxmlformats.org/spreadsheetml/2006/main" id="5" name="TotalDetailTable" displayName="TotalDetailTable" ref="A4:AB144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6.xml><?xml version="1.0" encoding="utf-8"?>
<table xmlns="http://schemas.openxmlformats.org/spreadsheetml/2006/main" id="6" name="CashDetailTable" displayName="CashDetailTable" ref="A4:AB2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7.xml><?xml version="1.0" encoding="utf-8"?>
<table xmlns="http://schemas.openxmlformats.org/spreadsheetml/2006/main" id="7" name="RecurringTransactionDetailTable" displayName="RecurringTransactionDetailTable" ref="A4:AB12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8.xml><?xml version="1.0" encoding="utf-8"?>
<table xmlns="http://schemas.openxmlformats.org/spreadsheetml/2006/main" id="8" name="HighTransactionDetailTable" displayName="HighTransactionDetailTable" ref="A4:AB96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9.xml><?xml version="1.0" encoding="utf-8"?>
<table xmlns="http://schemas.openxmlformats.org/spreadsheetml/2006/main" id="9" name="TotalReceiptsandPaymentsDetailTable" displayName="TotalReceiptsandPaymentsDetailTable" ref="A4:AB144" headerRowCount="1">
  <tableColumns count="28">
    <tableColumn id="1" name="Seq"/>
    <tableColumn id="2" name="Source File"/>
    <tableColumn id="3" name="Statement From"/>
    <tableColumn id="4" name="Statement To"/>
    <tableColumn id="5" name="Date"/>
    <tableColumn id="6" name="Value Date"/>
    <tableColumn id="7" name="Narration"/>
    <tableColumn id="8" name="Reference"/>
    <tableColumn id="9" name="Direction"/>
    <tableColumn id="10" name="Withdrawal"/>
    <tableColumn id="11" name="Deposit"/>
    <tableColumn id="12" name="Amount"/>
    <tableColumn id="13" name="Closing Balance"/>
    <tableColumn id="14" name="Categories"/>
    <tableColumn id="15" name="Recurring?"/>
    <tableColumn id="16" name="Recurring Key"/>
    <tableColumn id="17" name="Flag - Cash"/>
    <tableColumn id="18" name="Flag - Recurring Transaction"/>
    <tableColumn id="19" name="Flag - EMI"/>
    <tableColumn id="20" name="Flag - Salary"/>
    <tableColumn id="21" name="Flag - High Transaction"/>
    <tableColumn id="22" name="Flag - UPI"/>
    <tableColumn id="23" name="Flag - LIC"/>
    <tableColumn id="24" name="Flag - FD interest"/>
    <tableColumn id="25" name="Flag - FD Deposit and withdrawals"/>
    <tableColumn id="26" name="Flag - PPF/PF interest and contribution"/>
    <tableColumn id="27" name="Month Date"/>
    <tableColumn id="28" name="View Source Row"/>
  </tableColumns>
  <tableStyleInfo name="TableStyleMedium2" showRowStripes="1"/>
</table>
</file>

<file path=xl/tables/table10.xml><?xml version="1.0" encoding="utf-8"?>
<table xmlns="http://schemas.openxmlformats.org/spreadsheetml/2006/main" id="10" name="ChecksTable" displayName="ChecksTable" ref="A1:F7" headerRowCount="1">
  <tableColumns count="6">
    <tableColumn id="1" name="Check"/>
    <tableColumn id="2" name="Actual"/>
    <tableColumn id="3" name="Expected"/>
    <tableColumn id="4" name="Difference"/>
    <tableColumn id="5" name="Tolerance"/>
    <tableColumn id="6" name="Status"/>
  </tableColumns>
  <tableStyleInfo name="TableStyleMedium2" showRowStripes="1"/>
</table>
</file>

<file path=xl/tables/table11.xml><?xml version="1.0" encoding="utf-8"?>
<table xmlns="http://schemas.openxmlformats.org/spreadsheetml/2006/main" id="11" name="SourcesTable" displayName="SourcesTable" ref="A1:E2" headerRowCount="1">
  <tableColumns count="5">
    <tableColumn id="1" name="Source File"/>
    <tableColumn id="2" name="Statement From"/>
    <tableColumn id="3" name="Statement To"/>
    <tableColumn id="4" name="Pages"/>
    <tableColumn id="5" name="Layout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4" customWidth="1" min="4" max="4"/>
    <col width="15" customWidth="1" min="5" max="5"/>
    <col width="15" customWidth="1" min="6" max="6"/>
    <col width="20" customWidth="1" min="7" max="7"/>
    <col width="3" customWidth="1" min="8" max="8"/>
    <col width="14" customWidth="1" min="9" max="9"/>
    <col width="15" customWidth="1" min="10" max="10"/>
    <col width="15" customWidth="1" min="11" max="11"/>
    <col width="15" customWidth="1" min="12" max="12"/>
    <col width="16" customWidth="1" min="13" max="13"/>
    <col width="12" customWidth="1" min="14" max="14"/>
  </cols>
  <sheetData>
    <row r="1" ht="30" customHeight="1">
      <c r="A1" s="42" t="inlineStr">
        <is>
          <t>Bank of Baroda Statement Analysis</t>
        </is>
      </c>
    </row>
    <row r="2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</row>
    <row r="3">
      <c r="A3" s="14" t="inlineStr">
        <is>
          <t>Period Covered</t>
        </is>
      </c>
      <c r="B3" s="14" t="inlineStr">
        <is>
          <t>Apr 2026 to Apr 2026</t>
        </is>
      </c>
      <c r="C3" s="34" t="n"/>
      <c r="D3" s="34" t="n"/>
      <c r="E3" s="34" t="n"/>
      <c r="F3" s="34" t="n"/>
      <c r="G3" s="34" t="n"/>
      <c r="H3" s="34" t="n"/>
      <c r="I3" s="13" t="inlineStr">
        <is>
          <t>Period</t>
        </is>
      </c>
      <c r="J3" s="13" t="inlineStr">
        <is>
          <t>Receipts</t>
        </is>
      </c>
      <c r="K3" s="13" t="inlineStr">
        <is>
          <t>Payments</t>
        </is>
      </c>
      <c r="L3" s="13" t="inlineStr">
        <is>
          <t>Net</t>
        </is>
      </c>
      <c r="M3" s="13" t="inlineStr">
        <is>
          <t>Closing Balance</t>
        </is>
      </c>
      <c r="N3" s="13" t="inlineStr">
        <is>
          <t>Checks</t>
        </is>
      </c>
    </row>
    <row r="4">
      <c r="A4" s="14" t="inlineStr">
        <is>
          <t>Statements Reviewed</t>
        </is>
      </c>
      <c r="B4" s="14" t="n">
        <v>1</v>
      </c>
      <c r="C4" s="34" t="n"/>
      <c r="D4" s="34" t="n"/>
      <c r="E4" s="34" t="n"/>
      <c r="F4" s="34" t="n"/>
      <c r="G4" s="34" t="n"/>
      <c r="H4" s="34" t="n"/>
      <c r="I4" s="14">
        <f>'Monthly Summary'!D2</f>
        <v/>
      </c>
      <c r="J4" s="43">
        <f>'Monthly Summary'!J2</f>
        <v/>
      </c>
      <c r="K4" s="43">
        <f>'Monthly Summary'!I2</f>
        <v/>
      </c>
      <c r="L4" s="43">
        <f>ROUND(J4-K4,2)</f>
        <v/>
      </c>
      <c r="M4" s="43">
        <f>'Monthly Summary'!K2</f>
        <v/>
      </c>
      <c r="N4" s="14">
        <f>'Monthly Summary'!N2&amp;"/"&amp;'Monthly Summary'!O2</f>
        <v/>
      </c>
    </row>
    <row r="5">
      <c r="A5" s="14" t="inlineStr">
        <is>
          <t>Transactions Parsed</t>
        </is>
      </c>
      <c r="B5" s="14" t="n">
        <v>140</v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</row>
    <row r="6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</row>
    <row r="7">
      <c r="A7" s="41" t="inlineStr">
        <is>
          <t>Total Receipts</t>
        </is>
      </c>
      <c r="B7" s="43">
        <f>'Category Summary'!D2</f>
        <v/>
      </c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</row>
    <row r="8">
      <c r="A8" s="41" t="inlineStr">
        <is>
          <t>Total Payments</t>
        </is>
      </c>
      <c r="B8" s="43">
        <f>'Category Summary'!F2</f>
        <v/>
      </c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</row>
    <row r="9">
      <c r="A9" s="41" t="inlineStr">
        <is>
          <t>Net Movement</t>
        </is>
      </c>
      <c r="B9" s="43">
        <f>ROUND('Category Summary'!G2,2)</f>
        <v/>
      </c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</row>
    <row r="10">
      <c r="A10" s="41" t="inlineStr">
        <is>
          <t>Cash Receipts</t>
        </is>
      </c>
      <c r="B10" s="43">
        <f>'Category Summary'!D3</f>
        <v/>
      </c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</row>
    <row r="11">
      <c r="A11" s="41" t="inlineStr">
        <is>
          <t>High Transaction Value</t>
        </is>
      </c>
      <c r="B11" s="43">
        <f>ROUND('Category Summary'!D7-'Category Summary'!F7,2)</f>
        <v/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</row>
    <row r="12">
      <c r="A12" s="41" t="inlineStr">
        <is>
          <t>Recurring Transaction Value</t>
        </is>
      </c>
      <c r="B12" s="43">
        <f>ROUND('Category Summary'!D4-'Category Summary'!F4,2)</f>
        <v/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</row>
    <row r="13">
      <c r="A13" s="41" t="inlineStr">
        <is>
          <t>UPI / LIC / EMI / Salary</t>
        </is>
      </c>
      <c r="B13" s="43">
        <f>ROUND('Category Summary'!G8+'Category Summary'!G9+'Category Summary'!G5+'Category Summary'!G6,2)</f>
        <v/>
      </c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4" t="n"/>
    </row>
    <row r="14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</row>
    <row r="15">
      <c r="A15" s="13" t="inlineStr">
        <is>
          <t>Category</t>
        </is>
      </c>
      <c r="B15" s="13" t="inlineStr">
        <is>
          <t>Receipt Count</t>
        </is>
      </c>
      <c r="C15" s="13" t="inlineStr">
        <is>
          <t>Receipts</t>
        </is>
      </c>
      <c r="D15" s="13" t="inlineStr">
        <is>
          <t>Payment Count</t>
        </is>
      </c>
      <c r="E15" s="13" t="inlineStr">
        <is>
          <t>Payments</t>
        </is>
      </c>
      <c r="F15" s="13" t="inlineStr">
        <is>
          <t>Net</t>
        </is>
      </c>
      <c r="G15" s="13" t="inlineStr">
        <is>
          <t>Action / View Detail</t>
        </is>
      </c>
      <c r="H15" s="34" t="n"/>
      <c r="I15" s="34" t="n"/>
      <c r="J15" s="34" t="n"/>
      <c r="K15" s="34" t="n"/>
      <c r="L15" s="34" t="n"/>
      <c r="M15" s="34" t="n"/>
      <c r="N15" s="34" t="n"/>
    </row>
    <row r="16">
      <c r="A16" s="14">
        <f>'Category Summary'!A2</f>
        <v/>
      </c>
      <c r="B16" s="14">
        <f>'Category Summary'!C2</f>
        <v/>
      </c>
      <c r="C16" s="43">
        <f>'Category Summary'!D2</f>
        <v/>
      </c>
      <c r="D16" s="43">
        <f>'Category Summary'!E2</f>
        <v/>
      </c>
      <c r="E16" s="43">
        <f>'Category Summary'!F2</f>
        <v/>
      </c>
      <c r="F16" s="43">
        <f>'Category Summary'!G2</f>
        <v/>
      </c>
      <c r="G16" s="35">
        <f>""</f>
        <v/>
      </c>
      <c r="H16" s="34" t="n"/>
      <c r="I16" s="34" t="n"/>
      <c r="J16" s="34" t="n"/>
      <c r="K16" s="34" t="n"/>
      <c r="L16" s="34" t="n"/>
      <c r="M16" s="34" t="n"/>
      <c r="N16" s="34" t="n"/>
    </row>
    <row r="17">
      <c r="A17" s="14">
        <f>'Category Summary'!A3</f>
        <v/>
      </c>
      <c r="B17" s="14">
        <f>'Category Summary'!C3</f>
        <v/>
      </c>
      <c r="C17" s="43">
        <f>'Category Summary'!D3</f>
        <v/>
      </c>
      <c r="D17" s="43">
        <f>'Category Summary'!E3</f>
        <v/>
      </c>
      <c r="E17" s="43">
        <f>'Category Summary'!F3</f>
        <v/>
      </c>
      <c r="F17" s="43">
        <f>'Category Summary'!G3</f>
        <v/>
      </c>
      <c r="G17" s="35">
        <f>""</f>
        <v/>
      </c>
      <c r="H17" s="34" t="n"/>
      <c r="I17" s="34" t="n"/>
      <c r="J17" s="34" t="n"/>
      <c r="K17" s="34" t="n"/>
      <c r="L17" s="34" t="n"/>
      <c r="M17" s="34" t="n"/>
      <c r="N17" s="34" t="n"/>
    </row>
    <row r="18">
      <c r="A18" s="14">
        <f>'Category Summary'!A4</f>
        <v/>
      </c>
      <c r="B18" s="14">
        <f>'Category Summary'!C4</f>
        <v/>
      </c>
      <c r="C18" s="43">
        <f>'Category Summary'!D4</f>
        <v/>
      </c>
      <c r="D18" s="43">
        <f>'Category Summary'!E4</f>
        <v/>
      </c>
      <c r="E18" s="43">
        <f>'Category Summary'!F4</f>
        <v/>
      </c>
      <c r="F18" s="43">
        <f>'Category Summary'!G4</f>
        <v/>
      </c>
      <c r="G18" s="35">
        <f>HYPERLINK("#'Detail Recurring Transaction'!A1", "View Detail")</f>
        <v/>
      </c>
      <c r="H18" s="34" t="n"/>
      <c r="I18" s="34" t="n"/>
      <c r="J18" s="34" t="n"/>
      <c r="K18" s="34" t="n"/>
      <c r="L18" s="34" t="n"/>
      <c r="M18" s="34" t="n"/>
      <c r="N18" s="34" t="n"/>
    </row>
    <row r="19">
      <c r="A19" s="14">
        <f>'Category Summary'!A5</f>
        <v/>
      </c>
      <c r="B19" s="14">
        <f>'Category Summary'!C5</f>
        <v/>
      </c>
      <c r="C19" s="43">
        <f>'Category Summary'!D5</f>
        <v/>
      </c>
      <c r="D19" s="43">
        <f>'Category Summary'!E5</f>
        <v/>
      </c>
      <c r="E19" s="43">
        <f>'Category Summary'!F5</f>
        <v/>
      </c>
      <c r="F19" s="43">
        <f>'Category Summary'!G5</f>
        <v/>
      </c>
      <c r="G19" s="35">
        <f>""</f>
        <v/>
      </c>
      <c r="H19" s="34" t="n"/>
      <c r="I19" s="34" t="n"/>
      <c r="J19" s="34" t="n"/>
      <c r="K19" s="34" t="n"/>
      <c r="L19" s="34" t="n"/>
      <c r="M19" s="34" t="n"/>
      <c r="N19" s="34" t="n"/>
    </row>
    <row r="20">
      <c r="A20" s="14">
        <f>'Category Summary'!A6</f>
        <v/>
      </c>
      <c r="B20" s="14">
        <f>'Category Summary'!C6</f>
        <v/>
      </c>
      <c r="C20" s="43">
        <f>'Category Summary'!D6</f>
        <v/>
      </c>
      <c r="D20" s="43">
        <f>'Category Summary'!E6</f>
        <v/>
      </c>
      <c r="E20" s="43">
        <f>'Category Summary'!F6</f>
        <v/>
      </c>
      <c r="F20" s="43">
        <f>'Category Summary'!G6</f>
        <v/>
      </c>
      <c r="G20" s="35">
        <f>""</f>
        <v/>
      </c>
      <c r="H20" s="34" t="n"/>
      <c r="I20" s="34" t="n"/>
      <c r="J20" s="34" t="n"/>
      <c r="K20" s="34" t="n"/>
      <c r="L20" s="34" t="n"/>
      <c r="M20" s="34" t="n"/>
      <c r="N20" s="34" t="n"/>
    </row>
    <row r="21">
      <c r="A21" s="14">
        <f>'Category Summary'!A7</f>
        <v/>
      </c>
      <c r="B21" s="14">
        <f>'Category Summary'!C7</f>
        <v/>
      </c>
      <c r="C21" s="43">
        <f>'Category Summary'!D7</f>
        <v/>
      </c>
      <c r="D21" s="43">
        <f>'Category Summary'!E7</f>
        <v/>
      </c>
      <c r="E21" s="43">
        <f>'Category Summary'!F7</f>
        <v/>
      </c>
      <c r="F21" s="43">
        <f>'Category Summary'!G7</f>
        <v/>
      </c>
      <c r="G21" s="35">
        <f>HYPERLINK("#'Detail High Transaction'!A1", "View Detail")</f>
        <v/>
      </c>
      <c r="H21" s="34" t="n"/>
      <c r="I21" s="34" t="n"/>
      <c r="J21" s="34" t="n"/>
      <c r="K21" s="34" t="n"/>
      <c r="L21" s="34" t="n"/>
      <c r="M21" s="34" t="n"/>
      <c r="N21" s="34" t="n"/>
    </row>
    <row r="22">
      <c r="A22" s="14">
        <f>'Category Summary'!A8</f>
        <v/>
      </c>
      <c r="B22" s="14">
        <f>'Category Summary'!C8</f>
        <v/>
      </c>
      <c r="C22" s="43">
        <f>'Category Summary'!D8</f>
        <v/>
      </c>
      <c r="D22" s="43">
        <f>'Category Summary'!E8</f>
        <v/>
      </c>
      <c r="E22" s="43">
        <f>'Category Summary'!F8</f>
        <v/>
      </c>
      <c r="F22" s="43">
        <f>'Category Summary'!G8</f>
        <v/>
      </c>
      <c r="G22" s="35">
        <f>""</f>
        <v/>
      </c>
      <c r="H22" s="34" t="n"/>
      <c r="I22" s="34" t="n"/>
      <c r="J22" s="34" t="n"/>
      <c r="K22" s="34" t="n"/>
      <c r="L22" s="34" t="n"/>
      <c r="M22" s="34" t="n"/>
      <c r="N22" s="34" t="n"/>
    </row>
    <row r="23">
      <c r="A23" s="14">
        <f>'Category Summary'!A9</f>
        <v/>
      </c>
      <c r="B23" s="14">
        <f>'Category Summary'!C9</f>
        <v/>
      </c>
      <c r="C23" s="43">
        <f>'Category Summary'!D9</f>
        <v/>
      </c>
      <c r="D23" s="43">
        <f>'Category Summary'!E9</f>
        <v/>
      </c>
      <c r="E23" s="43">
        <f>'Category Summary'!F9</f>
        <v/>
      </c>
      <c r="F23" s="43">
        <f>'Category Summary'!G9</f>
        <v/>
      </c>
      <c r="G23" s="35">
        <f>""</f>
        <v/>
      </c>
      <c r="H23" s="34" t="n"/>
      <c r="I23" s="34" t="n"/>
      <c r="J23" s="34" t="n"/>
      <c r="K23" s="34" t="n"/>
      <c r="L23" s="34" t="n"/>
      <c r="M23" s="34" t="n"/>
      <c r="N23" s="34" t="n"/>
    </row>
    <row r="24">
      <c r="A24" s="14">
        <f>'Category Summary'!A10</f>
        <v/>
      </c>
      <c r="B24" s="14">
        <f>'Category Summary'!C10</f>
        <v/>
      </c>
      <c r="C24" s="43">
        <f>'Category Summary'!D10</f>
        <v/>
      </c>
      <c r="D24" s="43">
        <f>'Category Summary'!E10</f>
        <v/>
      </c>
      <c r="E24" s="43">
        <f>'Category Summary'!F10</f>
        <v/>
      </c>
      <c r="F24" s="43">
        <f>'Category Summary'!G10</f>
        <v/>
      </c>
      <c r="G24" s="35">
        <f>""</f>
        <v/>
      </c>
      <c r="H24" s="34" t="n"/>
      <c r="I24" s="34" t="n"/>
      <c r="J24" s="34" t="n"/>
      <c r="K24" s="34" t="n"/>
      <c r="L24" s="34" t="n"/>
      <c r="M24" s="34" t="n"/>
      <c r="N24" s="34" t="n"/>
    </row>
    <row r="25">
      <c r="A25" s="14">
        <f>'Category Summary'!A11</f>
        <v/>
      </c>
      <c r="B25" s="14">
        <f>'Category Summary'!C11</f>
        <v/>
      </c>
      <c r="C25" s="43">
        <f>'Category Summary'!D11</f>
        <v/>
      </c>
      <c r="D25" s="43">
        <f>'Category Summary'!E11</f>
        <v/>
      </c>
      <c r="E25" s="43">
        <f>'Category Summary'!F11</f>
        <v/>
      </c>
      <c r="F25" s="43">
        <f>'Category Summary'!G11</f>
        <v/>
      </c>
      <c r="G25" s="35">
        <f>""</f>
        <v/>
      </c>
      <c r="H25" s="34" t="n"/>
      <c r="I25" s="34" t="n"/>
      <c r="J25" s="34" t="n"/>
      <c r="K25" s="34" t="n"/>
      <c r="L25" s="34" t="n"/>
      <c r="M25" s="34" t="n"/>
      <c r="N25" s="34" t="n"/>
    </row>
    <row r="26">
      <c r="A26" s="14">
        <f>'Category Summary'!A12</f>
        <v/>
      </c>
      <c r="B26" s="14">
        <f>'Category Summary'!C12</f>
        <v/>
      </c>
      <c r="C26" s="43">
        <f>'Category Summary'!D12</f>
        <v/>
      </c>
      <c r="D26" s="43">
        <f>'Category Summary'!E12</f>
        <v/>
      </c>
      <c r="E26" s="43">
        <f>'Category Summary'!F12</f>
        <v/>
      </c>
      <c r="F26" s="43">
        <f>'Category Summary'!G12</f>
        <v/>
      </c>
      <c r="G26" s="35">
        <f>""</f>
        <v/>
      </c>
      <c r="H26" s="34" t="n"/>
      <c r="I26" s="34" t="n"/>
      <c r="J26" s="34" t="n"/>
      <c r="K26" s="34" t="n"/>
      <c r="L26" s="34" t="n"/>
      <c r="M26" s="34" t="n"/>
      <c r="N26" s="34" t="n"/>
    </row>
    <row r="27"/>
    <row r="28"/>
    <row r="29"/>
  </sheetData>
  <mergeCells count="1"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5" customWidth="1" min="4" max="4"/>
    <col width="14" customWidth="1" min="5" max="5"/>
    <col width="15" customWidth="1" min="6" max="6"/>
    <col width="15" customWidth="1" min="7" max="7"/>
    <col width="44" customWidth="1" min="8" max="8"/>
  </cols>
  <sheetData>
    <row r="1">
      <c r="A1" s="13" t="inlineStr">
        <is>
          <t>Requested Category</t>
        </is>
      </c>
      <c r="B1" s="13" t="inlineStr">
        <is>
          <t>Match Term</t>
        </is>
      </c>
      <c r="C1" s="13" t="inlineStr">
        <is>
          <t>Receipt Count</t>
        </is>
      </c>
      <c r="D1" s="13" t="inlineStr">
        <is>
          <t>Receipts</t>
        </is>
      </c>
      <c r="E1" s="13" t="inlineStr">
        <is>
          <t>Payment Count</t>
        </is>
      </c>
      <c r="F1" s="13" t="inlineStr">
        <is>
          <t>Payments</t>
        </is>
      </c>
      <c r="G1" s="13" t="inlineStr">
        <is>
          <t>Net</t>
        </is>
      </c>
      <c r="H1" s="13" t="inlineStr">
        <is>
          <t>Notes</t>
        </is>
      </c>
    </row>
    <row r="2">
      <c r="A2" s="14" t="inlineStr">
        <is>
          <t>Total</t>
        </is>
      </c>
      <c r="B2" s="14" t="str"/>
      <c r="C2" s="14">
        <f>COUNTIF(Transactions!$I$2:$I$141,"Receipt")</f>
        <v/>
      </c>
      <c r="D2" s="43">
        <f>SUM(Transactions!$K$2:$K$141)</f>
        <v/>
      </c>
      <c r="E2" s="43">
        <f>COUNTIF(Transactions!$I$2:$I$141,"Payment")</f>
        <v/>
      </c>
      <c r="F2" s="43">
        <f>SUM(Transactions!$J$2:$J$141)</f>
        <v/>
      </c>
      <c r="G2" s="43">
        <f>ROUND(D2-F2,2)</f>
        <v/>
      </c>
      <c r="H2" s="16" t="inlineStr">
        <is>
          <t>All parsed receipts and payments.</t>
        </is>
      </c>
    </row>
    <row r="3">
      <c r="A3" s="14" t="inlineStr">
        <is>
          <t>Cash</t>
        </is>
      </c>
      <c r="B3" s="14" t="inlineStr">
        <is>
          <t>Cash</t>
        </is>
      </c>
      <c r="C3" s="14">
        <f>COUNTIFS(Transactions!$Q$2:$Q$141,1,Transactions!$I$2:$I$141,"Receipt")</f>
        <v/>
      </c>
      <c r="D3" s="43">
        <f>SUMIFS(Transactions!$K$2:$K$141,Transactions!$Q$2:$Q$141,1)</f>
        <v/>
      </c>
      <c r="E3" s="43">
        <f>COUNTIFS(Transactions!$Q$2:$Q$141,1,Transactions!$I$2:$I$141,"Payment")</f>
        <v/>
      </c>
      <c r="F3" s="43">
        <f>SUMIFS(Transactions!$J$2:$J$141,Transactions!$Q$2:$Q$141,1)</f>
        <v/>
      </c>
      <c r="G3" s="43">
        <f>ROUND(D3-F3,2)</f>
        <v/>
      </c>
      <c r="H3" s="16" t="inlineStr">
        <is>
          <t>Cash detected from CASH DEPOSIT BY narration.</t>
        </is>
      </c>
    </row>
    <row r="4">
      <c r="A4" s="14" t="inlineStr">
        <is>
          <t>Recurring Transaction</t>
        </is>
      </c>
      <c r="B4" s="14" t="inlineStr">
        <is>
          <t>Recurring Transaction</t>
        </is>
      </c>
      <c r="C4" s="14">
        <f>COUNTIFS(Transactions!$R$2:$R$141,1,Transactions!$I$2:$I$141,"Receipt")</f>
        <v/>
      </c>
      <c r="D4" s="43">
        <f>SUMIFS(Transactions!$K$2:$K$141,Transactions!$R$2:$R$141,1)</f>
        <v/>
      </c>
      <c r="E4" s="43">
        <f>COUNTIFS(Transactions!$R$2:$R$141,1,Transactions!$I$2:$I$141,"Payment")</f>
        <v/>
      </c>
      <c r="F4" s="43">
        <f>SUMIFS(Transactions!$J$2:$J$141,Transactions!$R$2:$R$141,1)</f>
        <v/>
      </c>
      <c r="G4" s="43">
        <f>ROUND(D4-F4,2)</f>
        <v/>
      </c>
      <c r="H4" s="16" t="inlineStr">
        <is>
          <t>Repeated counterpart/pattern appearing at least twice.</t>
        </is>
      </c>
    </row>
    <row r="5">
      <c r="A5" s="14" t="inlineStr">
        <is>
          <t>EMI</t>
        </is>
      </c>
      <c r="B5" s="14" t="inlineStr">
        <is>
          <t>EMI</t>
        </is>
      </c>
      <c r="C5" s="14">
        <f>COUNTIFS(Transactions!$S$2:$S$141,1,Transactions!$I$2:$I$141,"Receipt")</f>
        <v/>
      </c>
      <c r="D5" s="43">
        <f>SUMIFS(Transactions!$K$2:$K$141,Transactions!$S$2:$S$141,1)</f>
        <v/>
      </c>
      <c r="E5" s="43">
        <f>COUNTIFS(Transactions!$S$2:$S$141,1,Transactions!$I$2:$I$141,"Payment")</f>
        <v/>
      </c>
      <c r="F5" s="43">
        <f>SUMIFS(Transactions!$J$2:$J$141,Transactions!$S$2:$S$141,1)</f>
        <v/>
      </c>
      <c r="G5" s="43">
        <f>ROUND(D5-F5,2)</f>
        <v/>
      </c>
      <c r="H5" s="16" t="inlineStr">
        <is>
          <t>Keyword based: EMI/ECS/ACH/loan/installment.</t>
        </is>
      </c>
    </row>
    <row r="6">
      <c r="A6" s="14" t="inlineStr">
        <is>
          <t>Salary</t>
        </is>
      </c>
      <c r="B6" s="14" t="inlineStr">
        <is>
          <t>Salary</t>
        </is>
      </c>
      <c r="C6" s="14">
        <f>COUNTIFS(Transactions!$T$2:$T$141,1,Transactions!$I$2:$I$141,"Receipt")</f>
        <v/>
      </c>
      <c r="D6" s="43">
        <f>SUMIFS(Transactions!$K$2:$K$141,Transactions!$T$2:$T$141,1)</f>
        <v/>
      </c>
      <c r="E6" s="43">
        <f>COUNTIFS(Transactions!$T$2:$T$141,1,Transactions!$I$2:$I$141,"Payment")</f>
        <v/>
      </c>
      <c r="F6" s="43">
        <f>SUMIFS(Transactions!$J$2:$J$141,Transactions!$T$2:$T$141,1)</f>
        <v/>
      </c>
      <c r="G6" s="43">
        <f>ROUND(D6-F6,2)</f>
        <v/>
      </c>
      <c r="H6" s="16" t="inlineStr">
        <is>
          <t>Keyword based: salary.</t>
        </is>
      </c>
    </row>
    <row r="7">
      <c r="A7" s="14" t="inlineStr">
        <is>
          <t>High Transaction</t>
        </is>
      </c>
      <c r="B7" s="14" t="inlineStr">
        <is>
          <t>High Transaction</t>
        </is>
      </c>
      <c r="C7" s="14">
        <f>COUNTIFS(Transactions!$U$2:$U$141,1,Transactions!$I$2:$I$141,"Receipt")</f>
        <v/>
      </c>
      <c r="D7" s="43">
        <f>SUMIFS(Transactions!$K$2:$K$141,Transactions!$U$2:$U$141,1)</f>
        <v/>
      </c>
      <c r="E7" s="43">
        <f>COUNTIFS(Transactions!$U$2:$U$141,1,Transactions!$I$2:$I$141,"Payment")</f>
        <v/>
      </c>
      <c r="F7" s="43">
        <f>SUMIFS(Transactions!$J$2:$J$141,Transactions!$U$2:$U$141,1)</f>
        <v/>
      </c>
      <c r="G7" s="43">
        <f>ROUND(D7-F7,2)</f>
        <v/>
      </c>
      <c r="H7" s="16" t="inlineStr">
        <is>
          <t>Transactions with absolute amount at or above Rs 100,000.</t>
        </is>
      </c>
    </row>
    <row r="8">
      <c r="A8" s="14" t="inlineStr">
        <is>
          <t>UPI</t>
        </is>
      </c>
      <c r="B8" s="14" t="inlineStr">
        <is>
          <t>UPI</t>
        </is>
      </c>
      <c r="C8" s="14">
        <f>COUNTIFS(Transactions!$V$2:$V$141,1,Transactions!$I$2:$I$141,"Receipt")</f>
        <v/>
      </c>
      <c r="D8" s="43">
        <f>SUMIFS(Transactions!$K$2:$K$141,Transactions!$V$2:$V$141,1)</f>
        <v/>
      </c>
      <c r="E8" s="43">
        <f>COUNTIFS(Transactions!$V$2:$V$141,1,Transactions!$I$2:$I$141,"Payment")</f>
        <v/>
      </c>
      <c r="F8" s="43">
        <f>SUMIFS(Transactions!$J$2:$J$141,Transactions!$V$2:$V$141,1)</f>
        <v/>
      </c>
      <c r="G8" s="43">
        <f>ROUND(D8-F8,2)</f>
        <v/>
      </c>
      <c r="H8" s="16" t="inlineStr">
        <is>
          <t>Keyword based: UPI.</t>
        </is>
      </c>
    </row>
    <row r="9">
      <c r="A9" s="14" t="inlineStr">
        <is>
          <t>LIC</t>
        </is>
      </c>
      <c r="B9" s="14" t="inlineStr">
        <is>
          <t>LIC</t>
        </is>
      </c>
      <c r="C9" s="14">
        <f>COUNTIFS(Transactions!$W$2:$W$141,1,Transactions!$I$2:$I$141,"Receipt")</f>
        <v/>
      </c>
      <c r="D9" s="43">
        <f>SUMIFS(Transactions!$K$2:$K$141,Transactions!$W$2:$W$141,1)</f>
        <v/>
      </c>
      <c r="E9" s="43">
        <f>COUNTIFS(Transactions!$W$2:$W$141,1,Transactions!$I$2:$I$141,"Payment")</f>
        <v/>
      </c>
      <c r="F9" s="43">
        <f>SUMIFS(Transactions!$J$2:$J$141,Transactions!$W$2:$W$141,1)</f>
        <v/>
      </c>
      <c r="G9" s="43">
        <f>ROUND(D9-F9,2)</f>
        <v/>
      </c>
      <c r="H9" s="16" t="inlineStr">
        <is>
          <t>Keyword based: LIC.</t>
        </is>
      </c>
    </row>
    <row r="10">
      <c r="A10" s="14" t="inlineStr">
        <is>
          <t>FD interest</t>
        </is>
      </c>
      <c r="B10" s="14" t="inlineStr">
        <is>
          <t>FD interest</t>
        </is>
      </c>
      <c r="C10" s="14">
        <f>COUNTIFS(Transactions!$X$2:$X$141,1,Transactions!$I$2:$I$141,"Receipt")</f>
        <v/>
      </c>
      <c r="D10" s="43">
        <f>SUMIFS(Transactions!$K$2:$K$141,Transactions!$X$2:$X$141,1)</f>
        <v/>
      </c>
      <c r="E10" s="43">
        <f>COUNTIFS(Transactions!$X$2:$X$141,1,Transactions!$I$2:$I$141,"Payment")</f>
        <v/>
      </c>
      <c r="F10" s="43">
        <f>SUMIFS(Transactions!$J$2:$J$141,Transactions!$X$2:$X$141,1)</f>
        <v/>
      </c>
      <c r="G10" s="43">
        <f>ROUND(D10-F10,2)</f>
        <v/>
      </c>
      <c r="H10" s="16" t="inlineStr">
        <is>
          <t>Keyword based: FD plus interest/int.</t>
        </is>
      </c>
    </row>
    <row r="11">
      <c r="A11" s="14" t="inlineStr">
        <is>
          <t>FD Deposit and withdrawals</t>
        </is>
      </c>
      <c r="B11" s="14" t="inlineStr">
        <is>
          <t>FD Deposit/Withdrawal</t>
        </is>
      </c>
      <c r="C11" s="14">
        <f>COUNTIFS(Transactions!$Y$2:$Y$141,1,Transactions!$I$2:$I$141,"Receipt")</f>
        <v/>
      </c>
      <c r="D11" s="43">
        <f>SUMIFS(Transactions!$K$2:$K$141,Transactions!$Y$2:$Y$141,1)</f>
        <v/>
      </c>
      <c r="E11" s="43">
        <f>COUNTIFS(Transactions!$Y$2:$Y$141,1,Transactions!$I$2:$I$141,"Payment")</f>
        <v/>
      </c>
      <c r="F11" s="43">
        <f>SUMIFS(Transactions!$J$2:$J$141,Transactions!$Y$2:$Y$141,1)</f>
        <v/>
      </c>
      <c r="G11" s="43">
        <f>ROUND(D11-F11,2)</f>
        <v/>
      </c>
      <c r="H11" s="16" t="inlineStr">
        <is>
          <t>Keyword based: FD/fixed deposit/TDR/term deposit.</t>
        </is>
      </c>
    </row>
    <row r="12">
      <c r="A12" s="14" t="inlineStr">
        <is>
          <t>PPF/PF interest and contribution</t>
        </is>
      </c>
      <c r="B12" s="14" t="inlineStr">
        <is>
          <t>PPF/PF interest/contribution</t>
        </is>
      </c>
      <c r="C12" s="14">
        <f>COUNTIFS(Transactions!$Z$2:$Z$141,1,Transactions!$I$2:$I$141,"Receipt")</f>
        <v/>
      </c>
      <c r="D12" s="43">
        <f>SUMIFS(Transactions!$K$2:$K$141,Transactions!$Z$2:$Z$141,1)</f>
        <v/>
      </c>
      <c r="E12" s="43">
        <f>COUNTIFS(Transactions!$Z$2:$Z$141,1,Transactions!$I$2:$I$141,"Payment")</f>
        <v/>
      </c>
      <c r="F12" s="43">
        <f>SUMIFS(Transactions!$J$2:$J$141,Transactions!$Z$2:$Z$141,1)</f>
        <v/>
      </c>
      <c r="G12" s="43">
        <f>ROUND(D12-F12,2)</f>
        <v/>
      </c>
      <c r="H12" s="16" t="inlineStr">
        <is>
          <t>Keyword based: PPF/PF/EPF/provident fund.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0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</cols>
  <sheetData>
    <row r="1" ht="30" customHeight="1">
      <c r="A1" s="32" t="inlineStr">
        <is>
          <t>Category Details</t>
        </is>
      </c>
    </row>
    <row r="2">
      <c r="A2" s="34" t="n"/>
      <c r="B2" s="34" t="n"/>
      <c r="C2" s="34" t="n"/>
      <c r="D2" s="34" t="n"/>
      <c r="E2" s="34" t="n"/>
      <c r="F2" s="34" t="n"/>
      <c r="G2" s="34" t="n"/>
      <c r="H2" s="34" t="n"/>
    </row>
    <row r="3">
      <c r="A3" s="13" t="inlineStr">
        <is>
          <t>Category</t>
        </is>
      </c>
      <c r="B3" s="13" t="inlineStr">
        <is>
          <t>Detail Sheet</t>
        </is>
      </c>
      <c r="C3" s="13" t="inlineStr">
        <is>
          <t>Rows</t>
        </is>
      </c>
      <c r="D3" s="13" t="inlineStr">
        <is>
          <t>Receipt Count</t>
        </is>
      </c>
      <c r="E3" s="13" t="inlineStr">
        <is>
          <t>Receipts</t>
        </is>
      </c>
      <c r="F3" s="13" t="inlineStr">
        <is>
          <t>Payment Count</t>
        </is>
      </c>
      <c r="G3" s="13" t="inlineStr">
        <is>
          <t>Payments</t>
        </is>
      </c>
      <c r="H3" s="13" t="inlineStr">
        <is>
          <t>Net</t>
        </is>
      </c>
    </row>
    <row r="4">
      <c r="A4" s="14" t="inlineStr">
        <is>
          <t>Total</t>
        </is>
      </c>
      <c r="B4" s="14" t="inlineStr">
        <is>
          <t>Detail Total</t>
        </is>
      </c>
      <c r="C4" s="14" t="n">
        <v>140</v>
      </c>
      <c r="D4" s="14" t="n">
        <v>87</v>
      </c>
      <c r="E4" s="43" t="n">
        <v>24139693.84999999</v>
      </c>
      <c r="F4" s="43" t="n">
        <v>53</v>
      </c>
      <c r="G4" s="43" t="n">
        <v>23094114.44000001</v>
      </c>
      <c r="H4" s="43" t="n">
        <v>1045579.409999989</v>
      </c>
    </row>
    <row r="5">
      <c r="A5" s="14" t="inlineStr">
        <is>
          <t>Cash</t>
        </is>
      </c>
      <c r="B5" s="14" t="inlineStr">
        <is>
          <t>Detail Cash</t>
        </is>
      </c>
      <c r="C5" s="14" t="n">
        <v>22</v>
      </c>
      <c r="D5" s="14" t="n">
        <v>22</v>
      </c>
      <c r="E5" s="43" t="n">
        <v>6396000</v>
      </c>
      <c r="F5" s="43" t="n">
        <v>0</v>
      </c>
      <c r="G5" s="43" t="n">
        <v>0</v>
      </c>
      <c r="H5" s="43" t="n">
        <v>6396000</v>
      </c>
    </row>
    <row r="6">
      <c r="A6" s="14" t="inlineStr">
        <is>
          <t>Recurring Transaction</t>
        </is>
      </c>
      <c r="B6" s="14" t="inlineStr">
        <is>
          <t>Detail Recurring Transaction</t>
        </is>
      </c>
      <c r="C6" s="14" t="n">
        <v>122</v>
      </c>
      <c r="D6" s="14" t="n">
        <v>86</v>
      </c>
      <c r="E6" s="43" t="n">
        <v>23700693.84999999</v>
      </c>
      <c r="F6" s="43" t="n">
        <v>36</v>
      </c>
      <c r="G6" s="43" t="n">
        <v>22704963.12</v>
      </c>
      <c r="H6" s="43" t="n">
        <v>995730.729999993</v>
      </c>
    </row>
    <row r="7">
      <c r="A7" s="14" t="inlineStr">
        <is>
          <t>EMI</t>
        </is>
      </c>
      <c r="B7" s="14" t="inlineStr">
        <is>
          <t>Detail EMI</t>
        </is>
      </c>
      <c r="C7" s="14" t="n">
        <v>0</v>
      </c>
      <c r="D7" s="14" t="n">
        <v>0</v>
      </c>
      <c r="E7" s="43" t="n">
        <v>0</v>
      </c>
      <c r="F7" s="43" t="n">
        <v>0</v>
      </c>
      <c r="G7" s="43" t="n">
        <v>0</v>
      </c>
      <c r="H7" s="43" t="n">
        <v>0</v>
      </c>
    </row>
    <row r="8">
      <c r="A8" s="14" t="inlineStr">
        <is>
          <t>Salary</t>
        </is>
      </c>
      <c r="B8" s="14" t="inlineStr">
        <is>
          <t>Detail Salary</t>
        </is>
      </c>
      <c r="C8" s="14" t="n">
        <v>0</v>
      </c>
      <c r="D8" s="14" t="n">
        <v>0</v>
      </c>
      <c r="E8" s="43" t="n">
        <v>0</v>
      </c>
      <c r="F8" s="43" t="n">
        <v>0</v>
      </c>
      <c r="G8" s="43" t="n">
        <v>0</v>
      </c>
      <c r="H8" s="43" t="n">
        <v>0</v>
      </c>
    </row>
    <row r="9">
      <c r="A9" s="14" t="inlineStr">
        <is>
          <t>High Transaction</t>
        </is>
      </c>
      <c r="B9" s="14" t="inlineStr">
        <is>
          <t>Detail High Transaction</t>
        </is>
      </c>
      <c r="C9" s="14" t="n">
        <v>92</v>
      </c>
      <c r="D9" s="14" t="n">
        <v>73</v>
      </c>
      <c r="E9" s="43" t="n">
        <v>23396556.33999999</v>
      </c>
      <c r="F9" s="43" t="n">
        <v>19</v>
      </c>
      <c r="G9" s="43" t="n">
        <v>22795274.83</v>
      </c>
      <c r="H9" s="43" t="n">
        <v>601281.5099999942</v>
      </c>
    </row>
    <row r="10">
      <c r="A10" s="14" t="inlineStr">
        <is>
          <t>Total Receipts and Payments</t>
        </is>
      </c>
      <c r="B10" s="14" t="inlineStr">
        <is>
          <t>Detail Total Receipts and Payme</t>
        </is>
      </c>
      <c r="C10" s="14" t="n">
        <v>140</v>
      </c>
      <c r="D10" s="14" t="n">
        <v>87</v>
      </c>
      <c r="E10" s="43" t="n">
        <v>24139693.84999999</v>
      </c>
      <c r="F10" s="43" t="n">
        <v>53</v>
      </c>
      <c r="G10" s="43" t="n">
        <v>23094114.44000001</v>
      </c>
      <c r="H10" s="43" t="n">
        <v>1045579.409999989</v>
      </c>
    </row>
    <row r="11">
      <c r="A11" s="14" t="inlineStr">
        <is>
          <t>UPI</t>
        </is>
      </c>
      <c r="B11" s="14" t="inlineStr">
        <is>
          <t>Detail UPI</t>
        </is>
      </c>
      <c r="C11" s="14" t="n">
        <v>0</v>
      </c>
      <c r="D11" s="14" t="n">
        <v>0</v>
      </c>
      <c r="E11" s="43" t="n">
        <v>0</v>
      </c>
      <c r="F11" s="43" t="n">
        <v>0</v>
      </c>
      <c r="G11" s="43" t="n">
        <v>0</v>
      </c>
      <c r="H11" s="43" t="n">
        <v>0</v>
      </c>
    </row>
    <row r="12">
      <c r="A12" s="14" t="inlineStr">
        <is>
          <t>LIC</t>
        </is>
      </c>
      <c r="B12" s="14" t="inlineStr">
        <is>
          <t>Detail LIC</t>
        </is>
      </c>
      <c r="C12" s="14" t="n">
        <v>0</v>
      </c>
      <c r="D12" s="14" t="n">
        <v>0</v>
      </c>
      <c r="E12" s="43" t="n">
        <v>0</v>
      </c>
      <c r="F12" s="43" t="n">
        <v>0</v>
      </c>
      <c r="G12" s="43" t="n">
        <v>0</v>
      </c>
      <c r="H12" s="43" t="n">
        <v>0</v>
      </c>
    </row>
    <row r="13">
      <c r="A13" s="14" t="inlineStr">
        <is>
          <t>FD interest</t>
        </is>
      </c>
      <c r="B13" s="14" t="inlineStr">
        <is>
          <t>Detail FD interest</t>
        </is>
      </c>
      <c r="C13" s="14" t="n">
        <v>0</v>
      </c>
      <c r="D13" s="14" t="n">
        <v>0</v>
      </c>
      <c r="E13" s="43" t="n">
        <v>0</v>
      </c>
      <c r="F13" s="43" t="n">
        <v>0</v>
      </c>
      <c r="G13" s="43" t="n">
        <v>0</v>
      </c>
      <c r="H13" s="43" t="n">
        <v>0</v>
      </c>
    </row>
    <row r="14">
      <c r="A14" s="14" t="inlineStr">
        <is>
          <t>FD Deposit and withdrawals</t>
        </is>
      </c>
      <c r="B14" s="14" t="inlineStr">
        <is>
          <t>Detail FD Deposit and withdrawa</t>
        </is>
      </c>
      <c r="C14" s="14" t="n">
        <v>0</v>
      </c>
      <c r="D14" s="14" t="n">
        <v>0</v>
      </c>
      <c r="E14" s="43" t="n">
        <v>0</v>
      </c>
      <c r="F14" s="43" t="n">
        <v>0</v>
      </c>
      <c r="G14" s="43" t="n">
        <v>0</v>
      </c>
      <c r="H14" s="43" t="n">
        <v>0</v>
      </c>
    </row>
    <row r="15">
      <c r="A15" s="14" t="inlineStr">
        <is>
          <t>PPF/PF interest and contribution</t>
        </is>
      </c>
      <c r="B15" s="14" t="inlineStr">
        <is>
          <t>Detail PPF PF interest and cont</t>
        </is>
      </c>
      <c r="C15" s="14" t="n">
        <v>0</v>
      </c>
      <c r="D15" s="14" t="n">
        <v>0</v>
      </c>
      <c r="E15" s="43" t="n">
        <v>0</v>
      </c>
      <c r="F15" s="43" t="n">
        <v>0</v>
      </c>
      <c r="G15" s="43" t="n">
        <v>0</v>
      </c>
      <c r="H15" s="43" t="n">
        <v>0</v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8" customWidth="1" min="5" max="5"/>
    <col width="16" customWidth="1" min="6" max="6"/>
    <col width="10" customWidth="1" min="7" max="7"/>
    <col width="10" customWidth="1" min="8" max="8"/>
    <col width="15" customWidth="1" min="9" max="9"/>
    <col width="15" customWidth="1" min="10" max="10"/>
    <col width="16" customWidth="1" min="11" max="11"/>
    <col width="15" customWidth="1" min="12" max="12"/>
    <col width="15" customWidth="1" min="13" max="13"/>
    <col width="14" customWidth="1" min="14" max="14"/>
    <col width="14" customWidth="1" min="15" max="15"/>
  </cols>
  <sheetData>
    <row r="1">
      <c r="A1" s="13" t="inlineStr">
        <is>
          <t>Month Key</t>
        </is>
      </c>
      <c r="B1" s="13" t="inlineStr">
        <is>
          <t>From</t>
        </is>
      </c>
      <c r="C1" s="13" t="inlineStr">
        <is>
          <t>To</t>
        </is>
      </c>
      <c r="D1" s="13" t="inlineStr">
        <is>
          <t>Period</t>
        </is>
      </c>
      <c r="E1" s="13" t="inlineStr">
        <is>
          <t>Transactions</t>
        </is>
      </c>
      <c r="F1" s="13" t="inlineStr">
        <is>
          <t>Opening Balance</t>
        </is>
      </c>
      <c r="G1" s="13" t="inlineStr">
        <is>
          <t>Dr Count</t>
        </is>
      </c>
      <c r="H1" s="13" t="inlineStr">
        <is>
          <t>Cr Count</t>
        </is>
      </c>
      <c r="I1" s="13" t="inlineStr">
        <is>
          <t>Payments</t>
        </is>
      </c>
      <c r="J1" s="13" t="inlineStr">
        <is>
          <t>Receipts</t>
        </is>
      </c>
      <c r="K1" s="13" t="inlineStr">
        <is>
          <t>Closing Balance</t>
        </is>
      </c>
      <c r="L1" s="13" t="inlineStr">
        <is>
          <t>Parsed Payments</t>
        </is>
      </c>
      <c r="M1" s="13" t="inlineStr">
        <is>
          <t>Parsed Receipts</t>
        </is>
      </c>
      <c r="N1" s="13" t="inlineStr">
        <is>
          <t>Payment Check</t>
        </is>
      </c>
      <c r="O1" s="13" t="inlineStr">
        <is>
          <t>Receipt Check</t>
        </is>
      </c>
    </row>
    <row r="2">
      <c r="A2" s="14" t="inlineStr">
        <is>
          <t>2026-04</t>
        </is>
      </c>
      <c r="B2" s="44" t="n">
        <v>46113</v>
      </c>
      <c r="C2" s="44" t="n">
        <v>46143</v>
      </c>
      <c r="D2" s="14" t="inlineStr">
        <is>
          <t>Apr 2026</t>
        </is>
      </c>
      <c r="E2" s="14" t="n">
        <v>140</v>
      </c>
      <c r="F2" s="43" t="n">
        <v>-9999618.799999999</v>
      </c>
      <c r="G2" s="14" t="n">
        <v>53</v>
      </c>
      <c r="H2" s="14" t="n">
        <v>87</v>
      </c>
      <c r="I2" s="43" t="n">
        <v>23094114.44000001</v>
      </c>
      <c r="J2" s="43" t="n">
        <v>24139693.84999999</v>
      </c>
      <c r="K2" s="43" t="n">
        <v>-8954039.390000001</v>
      </c>
      <c r="L2" s="43">
        <f>SUMIFS(Transactions!$J$2:$J$141,Transactions!$AA$2:$AA$141,"&gt;="&amp;B2,Transactions!$AA$2:$AA$141,"&lt;"&amp;C2)</f>
        <v/>
      </c>
      <c r="M2" s="43">
        <f>SUMIFS(Transactions!$K$2:$K$141,Transactions!$AA$2:$AA$141,"&gt;="&amp;B2,Transactions!$AA$2:$AA$141,"&lt;"&amp;C2)</f>
        <v/>
      </c>
      <c r="N2" s="14">
        <f>IF(ABS(I2-L2)&lt;0.01,"OK","Check")</f>
        <v/>
      </c>
      <c r="O2" s="14">
        <f>IF(ABS(J2-M2)&lt;0.01,"OK","Check")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</cols>
  <sheetData>
    <row r="1">
      <c r="A1" s="13" t="inlineStr">
        <is>
          <t>Seq</t>
        </is>
      </c>
      <c r="B1" s="13" t="inlineStr">
        <is>
          <t>Source File</t>
        </is>
      </c>
      <c r="C1" s="13" t="inlineStr">
        <is>
          <t>Statement From</t>
        </is>
      </c>
      <c r="D1" s="13" t="inlineStr">
        <is>
          <t>Statement To</t>
        </is>
      </c>
      <c r="E1" s="13" t="inlineStr">
        <is>
          <t>Date</t>
        </is>
      </c>
      <c r="F1" s="13" t="inlineStr">
        <is>
          <t>Value Date</t>
        </is>
      </c>
      <c r="G1" s="13" t="inlineStr">
        <is>
          <t>Narration</t>
        </is>
      </c>
      <c r="H1" s="13" t="inlineStr">
        <is>
          <t>Reference</t>
        </is>
      </c>
      <c r="I1" s="13" t="inlineStr">
        <is>
          <t>Direction</t>
        </is>
      </c>
      <c r="J1" s="13" t="inlineStr">
        <is>
          <t>Withdrawal</t>
        </is>
      </c>
      <c r="K1" s="13" t="inlineStr">
        <is>
          <t>Deposit</t>
        </is>
      </c>
      <c r="L1" s="13" t="inlineStr">
        <is>
          <t>Amount</t>
        </is>
      </c>
      <c r="M1" s="13" t="inlineStr">
        <is>
          <t>Closing Balance</t>
        </is>
      </c>
      <c r="N1" s="13" t="inlineStr">
        <is>
          <t>Categories</t>
        </is>
      </c>
      <c r="O1" s="13" t="inlineStr">
        <is>
          <t>Recurring?</t>
        </is>
      </c>
      <c r="P1" s="13" t="inlineStr">
        <is>
          <t>Recurring Key</t>
        </is>
      </c>
      <c r="Q1" s="13" t="inlineStr">
        <is>
          <t>Flag - Cash</t>
        </is>
      </c>
      <c r="R1" s="13" t="inlineStr">
        <is>
          <t>Flag - Recurring Transaction</t>
        </is>
      </c>
      <c r="S1" s="13" t="inlineStr">
        <is>
          <t>Flag - EMI</t>
        </is>
      </c>
      <c r="T1" s="13" t="inlineStr">
        <is>
          <t>Flag - Salary</t>
        </is>
      </c>
      <c r="U1" s="13" t="inlineStr">
        <is>
          <t>Flag - High Transaction</t>
        </is>
      </c>
      <c r="V1" s="13" t="inlineStr">
        <is>
          <t>Flag - UPI</t>
        </is>
      </c>
      <c r="W1" s="13" t="inlineStr">
        <is>
          <t>Flag - LIC</t>
        </is>
      </c>
      <c r="X1" s="13" t="inlineStr">
        <is>
          <t>Flag - FD interest</t>
        </is>
      </c>
      <c r="Y1" s="13" t="inlineStr">
        <is>
          <t>Flag - FD Deposit and withdrawals</t>
        </is>
      </c>
      <c r="Z1" s="13" t="inlineStr">
        <is>
          <t>Flag - PPF/PF interest and contribution</t>
        </is>
      </c>
      <c r="AA1" s="13" t="inlineStr">
        <is>
          <t>Month Date</t>
        </is>
      </c>
    </row>
    <row r="2">
      <c r="A2" s="14" t="n">
        <v>1</v>
      </c>
      <c r="B2" s="14" t="inlineStr">
        <is>
          <t>273.pdf</t>
        </is>
      </c>
      <c r="C2" s="44" t="n">
        <v>46113</v>
      </c>
      <c r="D2" s="44" t="n">
        <v>46142</v>
      </c>
      <c r="E2" s="44" t="n">
        <v>46114</v>
      </c>
      <c r="F2" s="44" t="n">
        <v>46114</v>
      </c>
      <c r="G2" s="16" t="inlineStr">
        <is>
          <t>EBANK:WIB/1502 EBANK:WIB/1502021829/Edfs</t>
        </is>
      </c>
      <c r="H2" s="14" t="str"/>
      <c r="I2" s="14" t="inlineStr">
        <is>
          <t>Receipt</t>
        </is>
      </c>
      <c r="J2" s="43" t="n">
        <v>0</v>
      </c>
      <c r="K2" s="43" t="n">
        <v>681881.6</v>
      </c>
      <c r="L2" s="43" t="n">
        <v>681881.6</v>
      </c>
      <c r="M2" s="43" t="n">
        <v>-9317737.199999999</v>
      </c>
      <c r="N2" s="14" t="inlineStr">
        <is>
          <t>High Transaction; Recurring Transaction</t>
        </is>
      </c>
      <c r="O2" s="14" t="inlineStr">
        <is>
          <t>Yes</t>
        </is>
      </c>
      <c r="P2" s="14" t="inlineStr">
        <is>
          <t>EBANKWIB</t>
        </is>
      </c>
      <c r="Q2" s="14" t="n">
        <v>0</v>
      </c>
      <c r="R2" s="14" t="n">
        <v>1</v>
      </c>
      <c r="S2" s="14" t="n">
        <v>0</v>
      </c>
      <c r="T2" s="14" t="n">
        <v>0</v>
      </c>
      <c r="U2" s="14" t="n">
        <v>1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44" t="n">
        <v>46114</v>
      </c>
    </row>
    <row r="3">
      <c r="A3" s="14" t="n">
        <v>2</v>
      </c>
      <c r="B3" s="14" t="inlineStr">
        <is>
          <t>273.pdf</t>
        </is>
      </c>
      <c r="C3" s="44" t="n">
        <v>46113</v>
      </c>
      <c r="D3" s="44" t="n">
        <v>46142</v>
      </c>
      <c r="E3" s="44" t="n">
        <v>46114</v>
      </c>
      <c r="F3" s="44" t="n">
        <v>46114</v>
      </c>
      <c r="G3" s="16" t="inlineStr">
        <is>
          <t>AMBATT-CHENNAI INT260319DEAL6205053</t>
        </is>
      </c>
      <c r="H3" s="14" t="str"/>
      <c r="I3" s="14" t="inlineStr">
        <is>
          <t>Payment</t>
        </is>
      </c>
      <c r="J3" s="43" t="n">
        <v>5246.6</v>
      </c>
      <c r="K3" s="43" t="n">
        <v>0</v>
      </c>
      <c r="L3" s="43" t="n">
        <v>5246.6</v>
      </c>
      <c r="M3" s="43" t="n">
        <v>-9322983.800000001</v>
      </c>
      <c r="N3" s="14" t="inlineStr">
        <is>
          <t>Other</t>
        </is>
      </c>
      <c r="O3" s="14" t="inlineStr">
        <is>
          <t>No</t>
        </is>
      </c>
      <c r="P3" s="14" t="inlineStr">
        <is>
          <t>CHENNAI INTDEAL</t>
        </is>
      </c>
      <c r="Q3" s="14" t="n">
        <v>0</v>
      </c>
      <c r="R3" s="14" t="n">
        <v>0</v>
      </c>
      <c r="S3" s="14" t="n">
        <v>0</v>
      </c>
      <c r="T3" s="14" t="n">
        <v>0</v>
      </c>
      <c r="U3" s="14" t="n">
        <v>0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44" t="n">
        <v>46114</v>
      </c>
    </row>
    <row r="4">
      <c r="A4" s="14" t="n">
        <v>3</v>
      </c>
      <c r="B4" s="14" t="inlineStr">
        <is>
          <t>273.pdf</t>
        </is>
      </c>
      <c r="C4" s="44" t="n">
        <v>46113</v>
      </c>
      <c r="D4" s="44" t="n">
        <v>46142</v>
      </c>
      <c r="E4" s="44" t="n">
        <v>46114</v>
      </c>
      <c r="F4" s="44" t="n">
        <v>46114</v>
      </c>
      <c r="G4" s="16" t="inlineStr">
        <is>
          <t>EBANK:WIB/1502 EBANK:WIB/1502110539/Edfs</t>
        </is>
      </c>
      <c r="H4" s="14" t="str"/>
      <c r="I4" s="14" t="inlineStr">
        <is>
          <t>Receipt</t>
        </is>
      </c>
      <c r="J4" s="43" t="n">
        <v>0</v>
      </c>
      <c r="K4" s="43" t="n">
        <v>248340</v>
      </c>
      <c r="L4" s="43" t="n">
        <v>248340</v>
      </c>
      <c r="M4" s="43" t="n">
        <v>-9074643.800000001</v>
      </c>
      <c r="N4" s="14" t="inlineStr">
        <is>
          <t>High Transaction; Recurring Transaction</t>
        </is>
      </c>
      <c r="O4" s="14" t="inlineStr">
        <is>
          <t>Yes</t>
        </is>
      </c>
      <c r="P4" s="14" t="inlineStr">
        <is>
          <t>EBANKWIB</t>
        </is>
      </c>
      <c r="Q4" s="14" t="n">
        <v>0</v>
      </c>
      <c r="R4" s="14" t="n">
        <v>1</v>
      </c>
      <c r="S4" s="14" t="n">
        <v>0</v>
      </c>
      <c r="T4" s="14" t="n">
        <v>0</v>
      </c>
      <c r="U4" s="14" t="n">
        <v>1</v>
      </c>
      <c r="V4" s="14" t="n">
        <v>0</v>
      </c>
      <c r="W4" s="14" t="n">
        <v>0</v>
      </c>
      <c r="X4" s="14" t="n">
        <v>0</v>
      </c>
      <c r="Y4" s="14" t="n">
        <v>0</v>
      </c>
      <c r="Z4" s="14" t="n">
        <v>0</v>
      </c>
      <c r="AA4" s="44" t="n">
        <v>46114</v>
      </c>
    </row>
    <row r="5">
      <c r="A5" s="14" t="n">
        <v>4</v>
      </c>
      <c r="B5" s="14" t="inlineStr">
        <is>
          <t>273.pdf</t>
        </is>
      </c>
      <c r="C5" s="44" t="n">
        <v>46113</v>
      </c>
      <c r="D5" s="44" t="n">
        <v>46142</v>
      </c>
      <c r="E5" s="44" t="n">
        <v>46114</v>
      </c>
      <c r="F5" s="44" t="n">
        <v>46114</v>
      </c>
      <c r="G5" s="16" t="inlineStr">
        <is>
          <t>BY CASH BY CASH</t>
        </is>
      </c>
      <c r="H5" s="14" t="str"/>
      <c r="I5" s="14" t="inlineStr">
        <is>
          <t>Receipt</t>
        </is>
      </c>
      <c r="J5" s="43" t="n">
        <v>0</v>
      </c>
      <c r="K5" s="43" t="n">
        <v>67500</v>
      </c>
      <c r="L5" s="43" t="n">
        <v>67500</v>
      </c>
      <c r="M5" s="43" t="n">
        <v>-9007143.800000001</v>
      </c>
      <c r="N5" s="14" t="inlineStr">
        <is>
          <t>Cash; Recurring Transaction</t>
        </is>
      </c>
      <c r="O5" s="14" t="inlineStr">
        <is>
          <t>Yes</t>
        </is>
      </c>
      <c r="P5" s="14" t="inlineStr">
        <is>
          <t>BY CASH BY CASH</t>
        </is>
      </c>
      <c r="Q5" s="14" t="n">
        <v>1</v>
      </c>
      <c r="R5" s="14" t="n">
        <v>1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4" t="n">
        <v>46114</v>
      </c>
    </row>
    <row r="6">
      <c r="A6" s="14" t="n">
        <v>5</v>
      </c>
      <c r="B6" s="14" t="inlineStr">
        <is>
          <t>273.pdf</t>
        </is>
      </c>
      <c r="C6" s="44" t="n">
        <v>46113</v>
      </c>
      <c r="D6" s="44" t="n">
        <v>46142</v>
      </c>
      <c r="E6" s="44" t="n">
        <v>46114</v>
      </c>
      <c r="F6" s="44" t="n">
        <v>46114</v>
      </c>
      <c r="G6" s="16" t="inlineStr">
        <is>
          <t>VIRARW-THANE/B BY CASH</t>
        </is>
      </c>
      <c r="H6" s="14" t="str"/>
      <c r="I6" s="14" t="inlineStr">
        <is>
          <t>Receipt</t>
        </is>
      </c>
      <c r="J6" s="43" t="n">
        <v>0</v>
      </c>
      <c r="K6" s="43" t="n">
        <v>426000</v>
      </c>
      <c r="L6" s="43" t="n">
        <v>426000</v>
      </c>
      <c r="M6" s="43" t="n">
        <v>-8581143.800000001</v>
      </c>
      <c r="N6" s="14" t="inlineStr">
        <is>
          <t>Cash; High Transaction; Recurring Transaction</t>
        </is>
      </c>
      <c r="O6" s="14" t="inlineStr">
        <is>
          <t>Yes</t>
        </is>
      </c>
      <c r="P6" s="14" t="inlineStr">
        <is>
          <t>B BY CASH</t>
        </is>
      </c>
      <c r="Q6" s="14" t="n">
        <v>1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4" t="n">
        <v>46114</v>
      </c>
    </row>
    <row r="7">
      <c r="A7" s="14" t="n">
        <v>6</v>
      </c>
      <c r="B7" s="14" t="inlineStr">
        <is>
          <t>273.pdf</t>
        </is>
      </c>
      <c r="C7" s="44" t="n">
        <v>46113</v>
      </c>
      <c r="D7" s="44" t="n">
        <v>46142</v>
      </c>
      <c r="E7" s="44" t="n">
        <v>46114</v>
      </c>
      <c r="F7" s="44" t="n">
        <v>46114</v>
      </c>
      <c r="G7" s="16" t="inlineStr">
        <is>
          <t>EBANK:WIB/1502 EBANK:WIB/1502234210/Edfs</t>
        </is>
      </c>
      <c r="H7" s="14" t="str"/>
      <c r="I7" s="14" t="inlineStr">
        <is>
          <t>Receipt</t>
        </is>
      </c>
      <c r="J7" s="43" t="n">
        <v>0</v>
      </c>
      <c r="K7" s="43" t="n">
        <v>791482.5</v>
      </c>
      <c r="L7" s="43" t="n">
        <v>791482.5</v>
      </c>
      <c r="M7" s="43" t="n">
        <v>-7789661.3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EBANKWIB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4" t="n">
        <v>46114</v>
      </c>
    </row>
    <row r="8">
      <c r="A8" s="14" t="n">
        <v>7</v>
      </c>
      <c r="B8" s="14" t="inlineStr">
        <is>
          <t>273.pdf</t>
        </is>
      </c>
      <c r="C8" s="44" t="n">
        <v>46113</v>
      </c>
      <c r="D8" s="44" t="n">
        <v>46142</v>
      </c>
      <c r="E8" s="44" t="n">
        <v>46114</v>
      </c>
      <c r="F8" s="44" t="n">
        <v>46114</v>
      </c>
      <c r="G8" s="16" t="inlineStr">
        <is>
          <t>RTGS-BARBR5202 RTGS-BARBR52026040200930050-HINDUSTAN PETROLEUM CO</t>
        </is>
      </c>
      <c r="H8" s="14" t="str"/>
      <c r="I8" s="14" t="inlineStr">
        <is>
          <t>Payment</t>
        </is>
      </c>
      <c r="J8" s="43" t="n">
        <v>1410247.26</v>
      </c>
      <c r="K8" s="43" t="n">
        <v>0</v>
      </c>
      <c r="L8" s="43" t="n">
        <v>1410247.26</v>
      </c>
      <c r="M8" s="43" t="n">
        <v>-9199908.560000001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BARBR RTGS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4" t="n">
        <v>46114</v>
      </c>
    </row>
    <row r="9">
      <c r="A9" s="14" t="n">
        <v>8</v>
      </c>
      <c r="B9" s="14" t="inlineStr">
        <is>
          <t>273.pdf</t>
        </is>
      </c>
      <c r="C9" s="44" t="n">
        <v>46113</v>
      </c>
      <c r="D9" s="44" t="n">
        <v>46142</v>
      </c>
      <c r="E9" s="44" t="n">
        <v>46115</v>
      </c>
      <c r="F9" s="44" t="n">
        <v>46115</v>
      </c>
      <c r="G9" s="16" t="inlineStr">
        <is>
          <t>EBANK:WIB/1502 EBANK:WIB/1502413595/Edfs</t>
        </is>
      </c>
      <c r="H9" s="14" t="str"/>
      <c r="I9" s="14" t="inlineStr">
        <is>
          <t>Receipt</t>
        </is>
      </c>
      <c r="J9" s="43" t="n">
        <v>0</v>
      </c>
      <c r="K9" s="43" t="n">
        <v>790104.58</v>
      </c>
      <c r="L9" s="43" t="n">
        <v>790104.58</v>
      </c>
      <c r="M9" s="43" t="n">
        <v>-8409803.98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EBANKWIB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4" t="n">
        <v>46115</v>
      </c>
    </row>
    <row r="10">
      <c r="A10" s="14" t="n">
        <v>9</v>
      </c>
      <c r="B10" s="14" t="inlineStr">
        <is>
          <t>273.pdf</t>
        </is>
      </c>
      <c r="C10" s="44" t="n">
        <v>46113</v>
      </c>
      <c r="D10" s="44" t="n">
        <v>46142</v>
      </c>
      <c r="E10" s="44" t="n">
        <v>46116</v>
      </c>
      <c r="F10" s="44" t="n">
        <v>46116</v>
      </c>
      <c r="G10" s="16" t="inlineStr">
        <is>
          <t>0000-MUMBAI/IN INT260322DEAL6217382</t>
        </is>
      </c>
      <c r="H10" s="14" t="str"/>
      <c r="I10" s="14" t="inlineStr">
        <is>
          <t>Payment</t>
        </is>
      </c>
      <c r="J10" s="43" t="n">
        <v>5204.27</v>
      </c>
      <c r="K10" s="43" t="n">
        <v>0</v>
      </c>
      <c r="L10" s="43" t="n">
        <v>5204.27</v>
      </c>
      <c r="M10" s="43" t="n">
        <v>-8415008.25</v>
      </c>
      <c r="N10" s="14" t="inlineStr">
        <is>
          <t>Recurring Transaction</t>
        </is>
      </c>
      <c r="O10" s="14" t="inlineStr">
        <is>
          <t>Yes</t>
        </is>
      </c>
      <c r="P10" s="14" t="inlineStr">
        <is>
          <t>IN INTDEAL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4" t="n">
        <v>46116</v>
      </c>
    </row>
    <row r="11">
      <c r="A11" s="14" t="n">
        <v>10</v>
      </c>
      <c r="B11" s="14" t="inlineStr">
        <is>
          <t>273.pdf</t>
        </is>
      </c>
      <c r="C11" s="44" t="n">
        <v>46113</v>
      </c>
      <c r="D11" s="44" t="n">
        <v>46142</v>
      </c>
      <c r="E11" s="44" t="n">
        <v>46116</v>
      </c>
      <c r="F11" s="44" t="n">
        <v>46116</v>
      </c>
      <c r="G11" s="16" t="inlineStr">
        <is>
          <t>MOGHBS-MOGHALS INT260323DEAL6218681</t>
        </is>
      </c>
      <c r="H11" s="14" t="str"/>
      <c r="I11" s="14" t="inlineStr">
        <is>
          <t>Payment</t>
        </is>
      </c>
      <c r="J11" s="43" t="n">
        <v>54.45</v>
      </c>
      <c r="K11" s="43" t="n">
        <v>0</v>
      </c>
      <c r="L11" s="43" t="n">
        <v>54.45</v>
      </c>
      <c r="M11" s="43" t="n">
        <v>-8415062.699999999</v>
      </c>
      <c r="N11" s="14" t="inlineStr">
        <is>
          <t>Other</t>
        </is>
      </c>
      <c r="O11" s="14" t="inlineStr">
        <is>
          <t>No</t>
        </is>
      </c>
      <c r="P11" s="14" t="inlineStr">
        <is>
          <t>MOGHALS INTDEAL</t>
        </is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4" t="n">
        <v>46116</v>
      </c>
    </row>
    <row r="12">
      <c r="A12" s="14" t="n">
        <v>11</v>
      </c>
      <c r="B12" s="14" t="inlineStr">
        <is>
          <t>273.pdf</t>
        </is>
      </c>
      <c r="C12" s="44" t="n">
        <v>46113</v>
      </c>
      <c r="D12" s="44" t="n">
        <v>46142</v>
      </c>
      <c r="E12" s="44" t="n">
        <v>46116</v>
      </c>
      <c r="F12" s="44" t="n">
        <v>46116</v>
      </c>
      <c r="G12" s="16" t="inlineStr">
        <is>
          <t>EBANK:WIB/1502 EBANK:WIB/1502423934/Edfs</t>
        </is>
      </c>
      <c r="H12" s="14" t="str"/>
      <c r="I12" s="14" t="inlineStr">
        <is>
          <t>Receipt</t>
        </is>
      </c>
      <c r="J12" s="43" t="n">
        <v>0</v>
      </c>
      <c r="K12" s="43" t="n">
        <v>240091</v>
      </c>
      <c r="L12" s="43" t="n">
        <v>240091</v>
      </c>
      <c r="M12" s="43" t="n">
        <v>-8174971.7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EBANKWIB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4" t="n">
        <v>46116</v>
      </c>
    </row>
    <row r="13">
      <c r="A13" s="14" t="n">
        <v>12</v>
      </c>
      <c r="B13" s="14" t="inlineStr">
        <is>
          <t>273.pdf</t>
        </is>
      </c>
      <c r="C13" s="44" t="n">
        <v>46113</v>
      </c>
      <c r="D13" s="44" t="n">
        <v>46142</v>
      </c>
      <c r="E13" s="44" t="n">
        <v>46116</v>
      </c>
      <c r="F13" s="44" t="n">
        <v>46116</v>
      </c>
      <c r="G13" s="16" t="inlineStr">
        <is>
          <t>BY CASH BY CASH</t>
        </is>
      </c>
      <c r="H13" s="14" t="str"/>
      <c r="I13" s="14" t="inlineStr">
        <is>
          <t>Receipt</t>
        </is>
      </c>
      <c r="J13" s="43" t="n">
        <v>0</v>
      </c>
      <c r="K13" s="43" t="n">
        <v>423500</v>
      </c>
      <c r="L13" s="43" t="n">
        <v>423500</v>
      </c>
      <c r="M13" s="43" t="n">
        <v>-7751471.7</v>
      </c>
      <c r="N13" s="14" t="inlineStr">
        <is>
          <t>Cash; High Transaction; Recurring Transaction</t>
        </is>
      </c>
      <c r="O13" s="14" t="inlineStr">
        <is>
          <t>Yes</t>
        </is>
      </c>
      <c r="P13" s="14" t="inlineStr">
        <is>
          <t>BY CASH BY CASH</t>
        </is>
      </c>
      <c r="Q13" s="14" t="n">
        <v>1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4" t="n">
        <v>46116</v>
      </c>
    </row>
    <row r="14">
      <c r="A14" s="14" t="n">
        <v>13</v>
      </c>
      <c r="B14" s="14" t="inlineStr">
        <is>
          <t>273.pdf</t>
        </is>
      </c>
      <c r="C14" s="44" t="n">
        <v>46113</v>
      </c>
      <c r="D14" s="44" t="n">
        <v>46142</v>
      </c>
      <c r="E14" s="44" t="n">
        <v>46116</v>
      </c>
      <c r="F14" s="44" t="n">
        <v>46116</v>
      </c>
      <c r="G14" s="16" t="inlineStr">
        <is>
          <t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4" s="14" t="str"/>
      <c r="I14" s="14" t="inlineStr">
        <is>
          <t>Receipt</t>
        </is>
      </c>
      <c r="J14" s="43" t="n">
        <v>0</v>
      </c>
      <c r="K14" s="43" t="n">
        <v>120330.37</v>
      </c>
      <c r="L14" s="43" t="n">
        <v>120330.37</v>
      </c>
      <c r="M14" s="43" t="n">
        <v>-7631141.33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EBANKWIB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4" t="n">
        <v>46116</v>
      </c>
    </row>
    <row r="15">
      <c r="A15" s="14" t="n">
        <v>14</v>
      </c>
      <c r="B15" s="14" t="inlineStr">
        <is>
          <t>273.pdf</t>
        </is>
      </c>
      <c r="C15" s="44" t="n">
        <v>46113</v>
      </c>
      <c r="D15" s="44" t="n">
        <v>46142</v>
      </c>
      <c r="E15" s="44" t="n">
        <v>46116</v>
      </c>
      <c r="F15" s="44" t="n">
        <v>46116</v>
      </c>
      <c r="G15" s="16" t="inlineStr">
        <is>
          <t>RTGS-BARBR5202 RTGS-BARBR52026040400789528-HINDUSTAN PETROLEUM CO</t>
        </is>
      </c>
      <c r="H15" s="14" t="str"/>
      <c r="I15" s="14" t="inlineStr">
        <is>
          <t>Payment</t>
        </is>
      </c>
      <c r="J15" s="43" t="n">
        <v>1854884.36</v>
      </c>
      <c r="K15" s="43" t="n">
        <v>0</v>
      </c>
      <c r="L15" s="43" t="n">
        <v>1854884.36</v>
      </c>
      <c r="M15" s="43" t="n">
        <v>-9486025.689999999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BARBR RTGS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4" t="n">
        <v>46116</v>
      </c>
    </row>
    <row r="16">
      <c r="A16" s="14" t="n">
        <v>15</v>
      </c>
      <c r="B16" s="14" t="inlineStr">
        <is>
          <t>273.pdf</t>
        </is>
      </c>
      <c r="C16" s="44" t="n">
        <v>46113</v>
      </c>
      <c r="D16" s="44" t="n">
        <v>46142</v>
      </c>
      <c r="E16" s="44" t="n">
        <v>46117</v>
      </c>
      <c r="F16" s="44" t="n">
        <v>46117</v>
      </c>
      <c r="G16" s="16" t="inlineStr">
        <is>
          <t>EBANK:WIB/1502 EBANK:WIB/1502577386/Edfs</t>
        </is>
      </c>
      <c r="H16" s="14" t="str"/>
      <c r="I16" s="14" t="inlineStr">
        <is>
          <t>Receipt</t>
        </is>
      </c>
      <c r="J16" s="43" t="n">
        <v>0</v>
      </c>
      <c r="K16" s="43" t="n">
        <v>300403.36</v>
      </c>
      <c r="L16" s="43" t="n">
        <v>300403.36</v>
      </c>
      <c r="M16" s="43" t="n">
        <v>-9185622.33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4" t="n">
        <v>46117</v>
      </c>
    </row>
    <row r="17">
      <c r="A17" s="14" t="n">
        <v>16</v>
      </c>
      <c r="B17" s="14" t="inlineStr">
        <is>
          <t>273.pdf</t>
        </is>
      </c>
      <c r="C17" s="44" t="n">
        <v>46113</v>
      </c>
      <c r="D17" s="44" t="n">
        <v>46142</v>
      </c>
      <c r="E17" s="44" t="n">
        <v>46118</v>
      </c>
      <c r="F17" s="44" t="n">
        <v>46118</v>
      </c>
      <c r="G17" s="16" t="inlineStr">
        <is>
          <t>EBANK:WIB/1502 https://cbdrpt101.bankofbaroda.co.in:22000/finbranch/arjspmorph/INFENG/tran_rpt.jsp?... 04-05-2026 EBANK:WIB/1502642025/Edfs</t>
        </is>
      </c>
      <c r="H17" s="14" t="str"/>
      <c r="I17" s="14" t="inlineStr">
        <is>
          <t>Receipt</t>
        </is>
      </c>
      <c r="J17" s="43" t="n">
        <v>0</v>
      </c>
      <c r="K17" s="43" t="n">
        <v>365780.21</v>
      </c>
      <c r="L17" s="43" t="n">
        <v>365780.21</v>
      </c>
      <c r="M17" s="43" t="n">
        <v>-8819842.119999999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EBANKWIB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4" t="n">
        <v>46118</v>
      </c>
    </row>
    <row r="18">
      <c r="A18" s="14" t="n">
        <v>17</v>
      </c>
      <c r="B18" s="14" t="inlineStr">
        <is>
          <t>273.pdf</t>
        </is>
      </c>
      <c r="C18" s="44" t="n">
        <v>46113</v>
      </c>
      <c r="D18" s="44" t="n">
        <v>46142</v>
      </c>
      <c r="E18" s="44" t="n">
        <v>46118</v>
      </c>
      <c r="F18" s="44" t="n">
        <v>46118</v>
      </c>
      <c r="G18" s="16" t="inlineStr">
        <is>
          <t>BY CASH BY CASH</t>
        </is>
      </c>
      <c r="H18" s="14" t="str"/>
      <c r="I18" s="14" t="inlineStr">
        <is>
          <t>Receipt</t>
        </is>
      </c>
      <c r="J18" s="43" t="n">
        <v>0</v>
      </c>
      <c r="K18" s="43" t="n">
        <v>273000</v>
      </c>
      <c r="L18" s="43" t="n">
        <v>273000</v>
      </c>
      <c r="M18" s="43" t="n">
        <v>-8546842.119999999</v>
      </c>
      <c r="N18" s="14" t="inlineStr">
        <is>
          <t>Cash; High Transaction; Recurring Transaction</t>
        </is>
      </c>
      <c r="O18" s="14" t="inlineStr">
        <is>
          <t>Yes</t>
        </is>
      </c>
      <c r="P18" s="14" t="inlineStr">
        <is>
          <t>BY CASH BY CASH</t>
        </is>
      </c>
      <c r="Q18" s="14" t="n">
        <v>1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4" t="n">
        <v>46118</v>
      </c>
    </row>
    <row r="19">
      <c r="A19" s="14" t="n">
        <v>18</v>
      </c>
      <c r="B19" s="14" t="inlineStr">
        <is>
          <t>273.pdf</t>
        </is>
      </c>
      <c r="C19" s="44" t="n">
        <v>46113</v>
      </c>
      <c r="D19" s="44" t="n">
        <v>46142</v>
      </c>
      <c r="E19" s="44" t="n">
        <v>46118</v>
      </c>
      <c r="F19" s="44" t="n">
        <v>46118</v>
      </c>
      <c r="G19" s="16" t="inlineStr">
        <is>
          <t>EBANK:WIB/1502 EBANK:WIB/1502790855/Edfs</t>
        </is>
      </c>
      <c r="H19" s="14" t="str"/>
      <c r="I19" s="14" t="inlineStr">
        <is>
          <t>Receipt</t>
        </is>
      </c>
      <c r="J19" s="43" t="n">
        <v>0</v>
      </c>
      <c r="K19" s="43" t="n">
        <v>198114</v>
      </c>
      <c r="L19" s="43" t="n">
        <v>198114</v>
      </c>
      <c r="M19" s="43" t="n">
        <v>-8348728.12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EBANKWIB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4" t="n">
        <v>46118</v>
      </c>
    </row>
    <row r="20">
      <c r="A20" s="14" t="n">
        <v>19</v>
      </c>
      <c r="B20" s="14" t="inlineStr">
        <is>
          <t>273.pdf</t>
        </is>
      </c>
      <c r="C20" s="44" t="n">
        <v>46113</v>
      </c>
      <c r="D20" s="44" t="n">
        <v>46142</v>
      </c>
      <c r="E20" s="44" t="n">
        <v>46118</v>
      </c>
      <c r="F20" s="44" t="n">
        <v>46118</v>
      </c>
      <c r="G20" s="16" t="inlineStr">
        <is>
          <t>BASGUR-GURGAON INT260324DEAL6234708</t>
        </is>
      </c>
      <c r="H20" s="14" t="str"/>
      <c r="I20" s="14" t="inlineStr">
        <is>
          <t>Payment</t>
        </is>
      </c>
      <c r="J20" s="43" t="n">
        <v>5732.4</v>
      </c>
      <c r="K20" s="43" t="n">
        <v>0</v>
      </c>
      <c r="L20" s="43" t="n">
        <v>5732.4</v>
      </c>
      <c r="M20" s="43" t="n">
        <v>-8354460.52</v>
      </c>
      <c r="N20" s="14" t="inlineStr">
        <is>
          <t>Other</t>
        </is>
      </c>
      <c r="O20" s="14" t="inlineStr">
        <is>
          <t>No</t>
        </is>
      </c>
      <c r="P20" s="14" t="inlineStr">
        <is>
          <t>GURGAON INTDEAL</t>
        </is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4" t="n">
        <v>46118</v>
      </c>
    </row>
    <row r="21">
      <c r="A21" s="14" t="n">
        <v>20</v>
      </c>
      <c r="B21" s="14" t="inlineStr">
        <is>
          <t>273.pdf</t>
        </is>
      </c>
      <c r="C21" s="44" t="n">
        <v>46113</v>
      </c>
      <c r="D21" s="44" t="n">
        <v>46142</v>
      </c>
      <c r="E21" s="44" t="n">
        <v>46119</v>
      </c>
      <c r="F21" s="44" t="n">
        <v>46119</v>
      </c>
      <c r="G21" s="16" t="inlineStr">
        <is>
          <t>EBANK:WIB/1502 EBANK:WIB/1502821939/Edfs</t>
        </is>
      </c>
      <c r="H21" s="14" t="str"/>
      <c r="I21" s="14" t="inlineStr">
        <is>
          <t>Receipt</t>
        </is>
      </c>
      <c r="J21" s="43" t="n">
        <v>0</v>
      </c>
      <c r="K21" s="43" t="n">
        <v>330493.07</v>
      </c>
      <c r="L21" s="43" t="n">
        <v>330493.07</v>
      </c>
      <c r="M21" s="43" t="n">
        <v>-8023967.45</v>
      </c>
      <c r="N21" s="14" t="inlineStr">
        <is>
          <t>High Transaction; Recurring Transaction</t>
        </is>
      </c>
      <c r="O21" s="14" t="inlineStr">
        <is>
          <t>Yes</t>
        </is>
      </c>
      <c r="P21" s="14" t="inlineStr">
        <is>
          <t>EBANKWIB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4" t="n">
        <v>46119</v>
      </c>
    </row>
    <row r="22">
      <c r="A22" s="14" t="n">
        <v>21</v>
      </c>
      <c r="B22" s="14" t="inlineStr">
        <is>
          <t>273.pdf</t>
        </is>
      </c>
      <c r="C22" s="44" t="n">
        <v>46113</v>
      </c>
      <c r="D22" s="44" t="n">
        <v>46142</v>
      </c>
      <c r="E22" s="44" t="n">
        <v>46119</v>
      </c>
      <c r="F22" s="44" t="n">
        <v>46119</v>
      </c>
      <c r="G22" s="16" t="inlineStr">
        <is>
          <t>EBANK:WIB/1502 EBANK:WIB/1502986421/Edfs</t>
        </is>
      </c>
      <c r="H22" s="14" t="str"/>
      <c r="I22" s="14" t="inlineStr">
        <is>
          <t>Receipt</t>
        </is>
      </c>
      <c r="J22" s="43" t="n">
        <v>0</v>
      </c>
      <c r="K22" s="43" t="n">
        <v>137582.35</v>
      </c>
      <c r="L22" s="43" t="n">
        <v>137582.35</v>
      </c>
      <c r="M22" s="43" t="n">
        <v>-7886385.1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EBANKWIB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4" t="n">
        <v>46119</v>
      </c>
    </row>
    <row r="23">
      <c r="A23" s="14" t="n">
        <v>22</v>
      </c>
      <c r="B23" s="14" t="inlineStr">
        <is>
          <t>273.pdf</t>
        </is>
      </c>
      <c r="C23" s="44" t="n">
        <v>46113</v>
      </c>
      <c r="D23" s="44" t="n">
        <v>46142</v>
      </c>
      <c r="E23" s="44" t="n">
        <v>46119</v>
      </c>
      <c r="F23" s="44" t="n">
        <v>46119</v>
      </c>
      <c r="G23" s="16" t="inlineStr">
        <is>
          <t>RTGS-BARBR5202 RTGS-BARBR52026040700945156-HINDUSTAN PETROLEUM CO</t>
        </is>
      </c>
      <c r="H23" s="14" t="str"/>
      <c r="I23" s="14" t="inlineStr">
        <is>
          <t>Payment</t>
        </is>
      </c>
      <c r="J23" s="43" t="n">
        <v>1902609.28</v>
      </c>
      <c r="K23" s="43" t="n">
        <v>0</v>
      </c>
      <c r="L23" s="43" t="n">
        <v>1902609.28</v>
      </c>
      <c r="M23" s="43" t="n">
        <v>-9788994.380000001</v>
      </c>
      <c r="N23" s="14" t="inlineStr">
        <is>
          <t>High Transaction; Recurring Transaction</t>
        </is>
      </c>
      <c r="O23" s="14" t="inlineStr">
        <is>
          <t>Yes</t>
        </is>
      </c>
      <c r="P23" s="14" t="inlineStr">
        <is>
          <t>BARBR RTGS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4" t="n">
        <v>46119</v>
      </c>
    </row>
    <row r="24">
      <c r="A24" s="14" t="n">
        <v>23</v>
      </c>
      <c r="B24" s="14" t="inlineStr">
        <is>
          <t>273.pdf</t>
        </is>
      </c>
      <c r="C24" s="44" t="n">
        <v>46113</v>
      </c>
      <c r="D24" s="44" t="n">
        <v>46142</v>
      </c>
      <c r="E24" s="44" t="n">
        <v>46120</v>
      </c>
      <c r="F24" s="44" t="n">
        <v>46120</v>
      </c>
      <c r="G24" s="16" t="inlineStr">
        <is>
          <t>EBANK:WIB/1503 EBANK:WIB/1503050809/Edfs</t>
        </is>
      </c>
      <c r="H24" s="14" t="str"/>
      <c r="I24" s="14" t="inlineStr">
        <is>
          <t>Receipt</t>
        </is>
      </c>
      <c r="J24" s="43" t="n">
        <v>0</v>
      </c>
      <c r="K24" s="43" t="n">
        <v>381113</v>
      </c>
      <c r="L24" s="43" t="n">
        <v>381113</v>
      </c>
      <c r="M24" s="43" t="n">
        <v>-9407881.380000001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4" t="n">
        <v>46120</v>
      </c>
    </row>
    <row r="25">
      <c r="A25" s="14" t="n">
        <v>24</v>
      </c>
      <c r="B25" s="14" t="inlineStr">
        <is>
          <t>273.pdf</t>
        </is>
      </c>
      <c r="C25" s="44" t="n">
        <v>46113</v>
      </c>
      <c r="D25" s="44" t="n">
        <v>46142</v>
      </c>
      <c r="E25" s="44" t="n">
        <v>46120</v>
      </c>
      <c r="F25" s="44" t="n">
        <v>46120</v>
      </c>
      <c r="G25" s="16" t="inlineStr">
        <is>
          <t>BY CASH BY CASH</t>
        </is>
      </c>
      <c r="H25" s="14" t="str"/>
      <c r="I25" s="14" t="inlineStr">
        <is>
          <t>Receipt</t>
        </is>
      </c>
      <c r="J25" s="43" t="n">
        <v>0</v>
      </c>
      <c r="K25" s="43" t="n">
        <v>115000</v>
      </c>
      <c r="L25" s="43" t="n">
        <v>115000</v>
      </c>
      <c r="M25" s="43" t="n">
        <v>-9292881.380000001</v>
      </c>
      <c r="N25" s="14" t="inlineStr">
        <is>
          <t>Cash; High Transaction; Recurring Transaction</t>
        </is>
      </c>
      <c r="O25" s="14" t="inlineStr">
        <is>
          <t>Yes</t>
        </is>
      </c>
      <c r="P25" s="14" t="inlineStr">
        <is>
          <t>BY CASH BY CASH</t>
        </is>
      </c>
      <c r="Q25" s="14" t="n">
        <v>1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4" t="n">
        <v>46120</v>
      </c>
    </row>
    <row r="26">
      <c r="A26" s="14" t="n">
        <v>25</v>
      </c>
      <c r="B26" s="14" t="inlineStr">
        <is>
          <t>273.pdf</t>
        </is>
      </c>
      <c r="C26" s="44" t="n">
        <v>46113</v>
      </c>
      <c r="D26" s="44" t="n">
        <v>46142</v>
      </c>
      <c r="E26" s="44" t="n">
        <v>46120</v>
      </c>
      <c r="F26" s="44" t="n">
        <v>46120</v>
      </c>
      <c r="G26" s="16" t="inlineStr">
        <is>
          <t>EBANK:WIB/1503 EBANK:WIB/1503170712/Edfs</t>
        </is>
      </c>
      <c r="H26" s="14" t="str"/>
      <c r="I26" s="14" t="inlineStr">
        <is>
          <t>Receipt</t>
        </is>
      </c>
      <c r="J26" s="43" t="n">
        <v>0</v>
      </c>
      <c r="K26" s="43" t="n">
        <v>108620</v>
      </c>
      <c r="L26" s="43" t="n">
        <v>108620</v>
      </c>
      <c r="M26" s="43" t="n">
        <v>-9184261.380000001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EBANKWIB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4" t="n">
        <v>46120</v>
      </c>
    </row>
    <row r="27">
      <c r="A27" s="14" t="n">
        <v>26</v>
      </c>
      <c r="B27" s="14" t="inlineStr">
        <is>
          <t>273.pdf</t>
        </is>
      </c>
      <c r="C27" s="44" t="n">
        <v>46113</v>
      </c>
      <c r="D27" s="44" t="n">
        <v>46142</v>
      </c>
      <c r="E27" s="44" t="n">
        <v>46121</v>
      </c>
      <c r="F27" s="44" t="n">
        <v>46121</v>
      </c>
      <c r="G27" s="16" t="inlineStr">
        <is>
          <t>0000-MUMBAI/IN INT260325DEAL6242558</t>
        </is>
      </c>
      <c r="H27" s="14" t="str"/>
      <c r="I27" s="14" t="inlineStr">
        <is>
          <t>Payment</t>
        </is>
      </c>
      <c r="J27" s="43" t="n">
        <v>5694.93</v>
      </c>
      <c r="K27" s="43" t="n">
        <v>0</v>
      </c>
      <c r="L27" s="43" t="n">
        <v>5694.93</v>
      </c>
      <c r="M27" s="43" t="n">
        <v>-9189956.310000001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IN INTDEAL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4" t="n">
        <v>46121</v>
      </c>
    </row>
    <row r="28">
      <c r="A28" s="14" t="n">
        <v>27</v>
      </c>
      <c r="B28" s="14" t="inlineStr">
        <is>
          <t>273.pdf</t>
        </is>
      </c>
      <c r="C28" s="44" t="n">
        <v>46113</v>
      </c>
      <c r="D28" s="44" t="n">
        <v>46142</v>
      </c>
      <c r="E28" s="44" t="n">
        <v>46121</v>
      </c>
      <c r="F28" s="44" t="n">
        <v>46121</v>
      </c>
      <c r="G28" s="16" t="inlineStr">
        <is>
          <t>0000-MUMBAI/IN INT260325DEAL6242558</t>
        </is>
      </c>
      <c r="H28" s="14" t="str"/>
      <c r="I28" s="14" t="inlineStr">
        <is>
          <t>Receipt</t>
        </is>
      </c>
      <c r="J28" s="43" t="n">
        <v>0</v>
      </c>
      <c r="K28" s="43" t="n">
        <v>25.59</v>
      </c>
      <c r="L28" s="43" t="n">
        <v>25.59</v>
      </c>
      <c r="M28" s="43" t="n">
        <v>-9189930.720000001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IN INTDEAL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4" t="n">
        <v>46121</v>
      </c>
    </row>
    <row r="29">
      <c r="A29" s="14" t="n">
        <v>28</v>
      </c>
      <c r="B29" s="14" t="inlineStr">
        <is>
          <t>273.pdf</t>
        </is>
      </c>
      <c r="C29" s="44" t="n">
        <v>46113</v>
      </c>
      <c r="D29" s="44" t="n">
        <v>46142</v>
      </c>
      <c r="E29" s="44" t="n">
        <v>46121</v>
      </c>
      <c r="F29" s="44" t="n">
        <v>46121</v>
      </c>
      <c r="G29" s="16" t="inlineStr">
        <is>
          <t>BY CASH BY CASH</t>
        </is>
      </c>
      <c r="H29" s="14" t="str"/>
      <c r="I29" s="14" t="inlineStr">
        <is>
          <t>Receipt</t>
        </is>
      </c>
      <c r="J29" s="43" t="n">
        <v>0</v>
      </c>
      <c r="K29" s="43" t="n">
        <v>180000</v>
      </c>
      <c r="L29" s="43" t="n">
        <v>180000</v>
      </c>
      <c r="M29" s="43" t="n">
        <v>-9009930.720000001</v>
      </c>
      <c r="N29" s="14" t="inlineStr">
        <is>
          <t>Cash; High Transaction; Recurring Transaction</t>
        </is>
      </c>
      <c r="O29" s="14" t="inlineStr">
        <is>
          <t>Yes</t>
        </is>
      </c>
      <c r="P29" s="14" t="inlineStr">
        <is>
          <t>BY CASH BY CASH</t>
        </is>
      </c>
      <c r="Q29" s="14" t="n">
        <v>1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4" t="n">
        <v>46121</v>
      </c>
    </row>
    <row r="30">
      <c r="A30" s="14" t="n">
        <v>29</v>
      </c>
      <c r="B30" s="14" t="inlineStr">
        <is>
          <t>273.pdf</t>
        </is>
      </c>
      <c r="C30" s="44" t="n">
        <v>46113</v>
      </c>
      <c r="D30" s="44" t="n">
        <v>46142</v>
      </c>
      <c r="E30" s="44" t="n">
        <v>46121</v>
      </c>
      <c r="F30" s="44" t="n">
        <v>46121</v>
      </c>
      <c r="G30" s="16" t="inlineStr">
        <is>
          <t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30" s="14" t="str"/>
      <c r="I30" s="14" t="inlineStr">
        <is>
          <t>Receipt</t>
        </is>
      </c>
      <c r="J30" s="43" t="n">
        <v>0</v>
      </c>
      <c r="K30" s="43" t="n">
        <v>380118</v>
      </c>
      <c r="L30" s="43" t="n">
        <v>380118</v>
      </c>
      <c r="M30" s="43" t="n">
        <v>-8629812.720000001</v>
      </c>
      <c r="N30" s="14" t="inlineStr">
        <is>
          <t>High Transaction; Recurring Transaction</t>
        </is>
      </c>
      <c r="O30" s="14" t="inlineStr">
        <is>
          <t>Yes</t>
        </is>
      </c>
      <c r="P30" s="14" t="inlineStr">
        <is>
          <t>EBANKWIB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4" t="n">
        <v>46121</v>
      </c>
    </row>
    <row r="31">
      <c r="A31" s="14" t="n">
        <v>30</v>
      </c>
      <c r="B31" s="14" t="inlineStr">
        <is>
          <t>273.pdf</t>
        </is>
      </c>
      <c r="C31" s="44" t="n">
        <v>46113</v>
      </c>
      <c r="D31" s="44" t="n">
        <v>46142</v>
      </c>
      <c r="E31" s="44" t="n">
        <v>46122</v>
      </c>
      <c r="F31" s="44" t="n">
        <v>46122</v>
      </c>
      <c r="G31" s="16" t="inlineStr">
        <is>
          <t>EBANK:WIB/1503 EBANK:WIB/1503339201/Edfs</t>
        </is>
      </c>
      <c r="H31" s="14" t="str"/>
      <c r="I31" s="14" t="inlineStr">
        <is>
          <t>Receipt</t>
        </is>
      </c>
      <c r="J31" s="43" t="n">
        <v>0</v>
      </c>
      <c r="K31" s="43" t="n">
        <v>432999</v>
      </c>
      <c r="L31" s="43" t="n">
        <v>432999</v>
      </c>
      <c r="M31" s="43" t="n">
        <v>-8196813.72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4" t="n">
        <v>46122</v>
      </c>
    </row>
    <row r="32">
      <c r="A32" s="14" t="n">
        <v>31</v>
      </c>
      <c r="B32" s="14" t="inlineStr">
        <is>
          <t>273.pdf</t>
        </is>
      </c>
      <c r="C32" s="44" t="n">
        <v>46113</v>
      </c>
      <c r="D32" s="44" t="n">
        <v>46142</v>
      </c>
      <c r="E32" s="44" t="n">
        <v>46122</v>
      </c>
      <c r="F32" s="44" t="n">
        <v>46122</v>
      </c>
      <c r="G32" s="16" t="inlineStr">
        <is>
          <t>0000-MUMBAI/IN INT260326DEAL6244623</t>
        </is>
      </c>
      <c r="H32" s="14" t="str"/>
      <c r="I32" s="14" t="inlineStr">
        <is>
          <t>Payment</t>
        </is>
      </c>
      <c r="J32" s="43" t="n">
        <v>1193.25</v>
      </c>
      <c r="K32" s="43" t="n">
        <v>0</v>
      </c>
      <c r="L32" s="43" t="n">
        <v>1193.25</v>
      </c>
      <c r="M32" s="43" t="n">
        <v>-8198006.97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IN INTDEAL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4" t="n">
        <v>46122</v>
      </c>
    </row>
    <row r="33">
      <c r="A33" s="14" t="n">
        <v>32</v>
      </c>
      <c r="B33" s="14" t="inlineStr">
        <is>
          <t>273.pdf</t>
        </is>
      </c>
      <c r="C33" s="44" t="n">
        <v>46113</v>
      </c>
      <c r="D33" s="44" t="n">
        <v>46142</v>
      </c>
      <c r="E33" s="44" t="n">
        <v>46122</v>
      </c>
      <c r="F33" s="44" t="n">
        <v>46122</v>
      </c>
      <c r="G33" s="16" t="inlineStr">
        <is>
          <t>RTGS-BARBR5202 RTGS-BARBR52026041000833640-HINDUSTAN PETROLEUM CO</t>
        </is>
      </c>
      <c r="H33" s="14" t="str"/>
      <c r="I33" s="14" t="inlineStr">
        <is>
          <t>Payment</t>
        </is>
      </c>
      <c r="J33" s="43" t="n">
        <v>1801993</v>
      </c>
      <c r="K33" s="43" t="n">
        <v>0</v>
      </c>
      <c r="L33" s="43" t="n">
        <v>1801993</v>
      </c>
      <c r="M33" s="43" t="n">
        <v>-9999999.970000001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BARBR RTGS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4" t="n">
        <v>46122</v>
      </c>
    </row>
    <row r="34">
      <c r="A34" s="14" t="n">
        <v>33</v>
      </c>
      <c r="B34" s="14" t="inlineStr">
        <is>
          <t>273.pdf</t>
        </is>
      </c>
      <c r="C34" s="44" t="n">
        <v>46113</v>
      </c>
      <c r="D34" s="44" t="n">
        <v>46142</v>
      </c>
      <c r="E34" s="44" t="n">
        <v>46122</v>
      </c>
      <c r="F34" s="44" t="n">
        <v>46122</v>
      </c>
      <c r="G34" s="16" t="inlineStr">
        <is>
          <t>EBANK:WIB/1503 EBANK:WIB/1503385381/Edfs</t>
        </is>
      </c>
      <c r="H34" s="14" t="str"/>
      <c r="I34" s="14" t="inlineStr">
        <is>
          <t>Receipt</t>
        </is>
      </c>
      <c r="J34" s="43" t="n">
        <v>0</v>
      </c>
      <c r="K34" s="43" t="n">
        <v>49686</v>
      </c>
      <c r="L34" s="43" t="n">
        <v>49686</v>
      </c>
      <c r="M34" s="43" t="n">
        <v>-9950313.970000001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4" t="n">
        <v>46122</v>
      </c>
    </row>
    <row r="35">
      <c r="A35" s="14" t="n">
        <v>34</v>
      </c>
      <c r="B35" s="14" t="inlineStr">
        <is>
          <t>273.pdf</t>
        </is>
      </c>
      <c r="C35" s="44" t="n">
        <v>46113</v>
      </c>
      <c r="D35" s="44" t="n">
        <v>46142</v>
      </c>
      <c r="E35" s="44" t="n">
        <v>46122</v>
      </c>
      <c r="F35" s="44" t="n">
        <v>46122</v>
      </c>
      <c r="G35" s="16" t="inlineStr">
        <is>
          <t>BY CASH BY CASH</t>
        </is>
      </c>
      <c r="H35" s="14" t="str"/>
      <c r="I35" s="14" t="inlineStr">
        <is>
          <t>Receipt</t>
        </is>
      </c>
      <c r="J35" s="43" t="n">
        <v>0</v>
      </c>
      <c r="K35" s="43" t="n">
        <v>171000</v>
      </c>
      <c r="L35" s="43" t="n">
        <v>171000</v>
      </c>
      <c r="M35" s="43" t="n">
        <v>-9779313.970000001</v>
      </c>
      <c r="N35" s="14" t="inlineStr">
        <is>
          <t>Cash; High Transaction; Recurring Transaction</t>
        </is>
      </c>
      <c r="O35" s="14" t="inlineStr">
        <is>
          <t>Yes</t>
        </is>
      </c>
      <c r="P35" s="14" t="inlineStr">
        <is>
          <t>BY CASH BY CASH</t>
        </is>
      </c>
      <c r="Q35" s="14" t="n">
        <v>1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4" t="n">
        <v>46122</v>
      </c>
    </row>
    <row r="36">
      <c r="A36" s="14" t="n">
        <v>35</v>
      </c>
      <c r="B36" s="14" t="inlineStr">
        <is>
          <t>273.pdf</t>
        </is>
      </c>
      <c r="C36" s="44" t="n">
        <v>46113</v>
      </c>
      <c r="D36" s="44" t="n">
        <v>46142</v>
      </c>
      <c r="E36" s="44" t="n">
        <v>46122</v>
      </c>
      <c r="F36" s="44" t="n">
        <v>46122</v>
      </c>
      <c r="G36" s="16" t="inlineStr">
        <is>
          <t>NEFT-BARBQ2610 NEFT-BARBQ26100745025-HINDUSTAN PETROLEUM CORPORAT</t>
        </is>
      </c>
      <c r="H36" s="14" t="str"/>
      <c r="I36" s="14" t="inlineStr">
        <is>
          <t>Payment</t>
        </is>
      </c>
      <c r="J36" s="43" t="n">
        <v>20471.76</v>
      </c>
      <c r="K36" s="43" t="n">
        <v>0</v>
      </c>
      <c r="L36" s="43" t="n">
        <v>20471.76</v>
      </c>
      <c r="M36" s="43" t="n">
        <v>-9799785.73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BARBQ NEFT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4" t="n">
        <v>46122</v>
      </c>
    </row>
    <row r="37">
      <c r="A37" s="14" t="n">
        <v>36</v>
      </c>
      <c r="B37" s="14" t="inlineStr">
        <is>
          <t>273.pdf</t>
        </is>
      </c>
      <c r="C37" s="44" t="n">
        <v>46113</v>
      </c>
      <c r="D37" s="44" t="n">
        <v>46142</v>
      </c>
      <c r="E37" s="44" t="n">
        <v>46123</v>
      </c>
      <c r="F37" s="44" t="n">
        <v>46123</v>
      </c>
      <c r="G37" s="16" t="inlineStr">
        <is>
          <t>0000-MUMBAI/IN INT260327DEAL6258765</t>
        </is>
      </c>
      <c r="H37" s="14" t="str"/>
      <c r="I37" s="14" t="inlineStr">
        <is>
          <t>Payment</t>
        </is>
      </c>
      <c r="J37" s="43" t="n">
        <v>7076.83</v>
      </c>
      <c r="K37" s="43" t="n">
        <v>0</v>
      </c>
      <c r="L37" s="43" t="n">
        <v>7076.83</v>
      </c>
      <c r="M37" s="43" t="n">
        <v>-9806862.560000001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IN INTDEAL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4" t="n">
        <v>46123</v>
      </c>
    </row>
    <row r="38">
      <c r="A38" s="14" t="n">
        <v>37</v>
      </c>
      <c r="B38" s="14" t="inlineStr">
        <is>
          <t>273.pdf</t>
        </is>
      </c>
      <c r="C38" s="44" t="n">
        <v>46113</v>
      </c>
      <c r="D38" s="44" t="n">
        <v>46142</v>
      </c>
      <c r="E38" s="44" t="n">
        <v>46123</v>
      </c>
      <c r="F38" s="44" t="n">
        <v>46123</v>
      </c>
      <c r="G38" s="16" t="inlineStr">
        <is>
          <t>0000-MUMBAI/IN INT260327DEAL6258950</t>
        </is>
      </c>
      <c r="H38" s="14" t="str"/>
      <c r="I38" s="14" t="inlineStr">
        <is>
          <t>Payment</t>
        </is>
      </c>
      <c r="J38" s="43" t="n">
        <v>350.17</v>
      </c>
      <c r="K38" s="43" t="n">
        <v>0</v>
      </c>
      <c r="L38" s="43" t="n">
        <v>350.17</v>
      </c>
      <c r="M38" s="43" t="n">
        <v>-9807212.73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IN INTDEAL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4" t="n">
        <v>46123</v>
      </c>
    </row>
    <row r="39">
      <c r="A39" s="14" t="n">
        <v>38</v>
      </c>
      <c r="B39" s="14" t="inlineStr">
        <is>
          <t>273.pdf</t>
        </is>
      </c>
      <c r="C39" s="44" t="n">
        <v>46113</v>
      </c>
      <c r="D39" s="44" t="n">
        <v>46142</v>
      </c>
      <c r="E39" s="44" t="n">
        <v>46123</v>
      </c>
      <c r="F39" s="44" t="n">
        <v>46123</v>
      </c>
      <c r="G39" s="16" t="inlineStr">
        <is>
          <t>EBANK:WIB/1503 EBANK:WIB/1503559058/Edfs</t>
        </is>
      </c>
      <c r="H39" s="14" t="str"/>
      <c r="I39" s="14" t="inlineStr">
        <is>
          <t>Receipt</t>
        </is>
      </c>
      <c r="J39" s="43" t="n">
        <v>0</v>
      </c>
      <c r="K39" s="43" t="n">
        <v>353767.15</v>
      </c>
      <c r="L39" s="43" t="n">
        <v>353767.15</v>
      </c>
      <c r="M39" s="43" t="n">
        <v>-9453445.58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EBANKWIB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4" t="n">
        <v>46123</v>
      </c>
    </row>
    <row r="40">
      <c r="A40" s="14" t="n">
        <v>39</v>
      </c>
      <c r="B40" s="14" t="inlineStr">
        <is>
          <t>273.pdf</t>
        </is>
      </c>
      <c r="C40" s="44" t="n">
        <v>46113</v>
      </c>
      <c r="D40" s="44" t="n">
        <v>46142</v>
      </c>
      <c r="E40" s="44" t="n">
        <v>46124</v>
      </c>
      <c r="F40" s="44" t="n">
        <v>46124</v>
      </c>
      <c r="G40" s="16" t="inlineStr">
        <is>
          <t>EBANK:WIB/1503 EBANK:WIB/1503691094/Edfs</t>
        </is>
      </c>
      <c r="H40" s="14" t="str"/>
      <c r="I40" s="14" t="inlineStr">
        <is>
          <t>Receipt</t>
        </is>
      </c>
      <c r="J40" s="43" t="n">
        <v>0</v>
      </c>
      <c r="K40" s="43" t="n">
        <v>521281.39</v>
      </c>
      <c r="L40" s="43" t="n">
        <v>521281.39</v>
      </c>
      <c r="M40" s="43" t="n">
        <v>-8932164.189999999</v>
      </c>
      <c r="N40" s="14" t="inlineStr">
        <is>
          <t>High Transaction; Recurring Transaction</t>
        </is>
      </c>
      <c r="O40" s="14" t="inlineStr">
        <is>
          <t>Yes</t>
        </is>
      </c>
      <c r="P40" s="14" t="inlineStr">
        <is>
          <t>EBANKWIB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4" t="n">
        <v>46124</v>
      </c>
    </row>
    <row r="41">
      <c r="A41" s="14" t="n">
        <v>40</v>
      </c>
      <c r="B41" s="14" t="inlineStr">
        <is>
          <t>273.pdf</t>
        </is>
      </c>
      <c r="C41" s="44" t="n">
        <v>46113</v>
      </c>
      <c r="D41" s="44" t="n">
        <v>46142</v>
      </c>
      <c r="E41" s="44" t="n">
        <v>46125</v>
      </c>
      <c r="F41" s="44" t="n">
        <v>46125</v>
      </c>
      <c r="G41" s="16" t="inlineStr">
        <is>
          <t>0000-MUMBAI/IN INT260327DEAL6258765</t>
        </is>
      </c>
      <c r="H41" s="14" t="str"/>
      <c r="I41" s="14" t="inlineStr">
        <is>
          <t>Payment</t>
        </is>
      </c>
      <c r="J41" s="43" t="n">
        <v>305.5</v>
      </c>
      <c r="K41" s="43" t="n">
        <v>0</v>
      </c>
      <c r="L41" s="43" t="n">
        <v>305.5</v>
      </c>
      <c r="M41" s="43" t="n">
        <v>-8932469.689999999</v>
      </c>
      <c r="N41" s="14" t="inlineStr">
        <is>
          <t>Recurring Transaction</t>
        </is>
      </c>
      <c r="O41" s="14" t="inlineStr">
        <is>
          <t>Yes</t>
        </is>
      </c>
      <c r="P41" s="14" t="inlineStr">
        <is>
          <t>IN INTDEAL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4" t="n">
        <v>46125</v>
      </c>
    </row>
    <row r="42">
      <c r="A42" s="14" t="n">
        <v>41</v>
      </c>
      <c r="B42" s="14" t="inlineStr">
        <is>
          <t>273.pdf</t>
        </is>
      </c>
      <c r="C42" s="44" t="n">
        <v>46113</v>
      </c>
      <c r="D42" s="44" t="n">
        <v>46142</v>
      </c>
      <c r="E42" s="44" t="n">
        <v>46125</v>
      </c>
      <c r="F42" s="44" t="n">
        <v>46125</v>
      </c>
      <c r="G42" s="16" t="inlineStr">
        <is>
          <t>VIRARW-THANE/B https://cbdrpt101.bankofbaroda.co.in:22000/finbranch/arjspmorph/INFENG/tran_rpt.jsp?... 04-05-2026 BY CASH</t>
        </is>
      </c>
      <c r="H42" s="14" t="str"/>
      <c r="I42" s="14" t="inlineStr">
        <is>
          <t>Receipt</t>
        </is>
      </c>
      <c r="J42" s="43" t="n">
        <v>0</v>
      </c>
      <c r="K42" s="43" t="n">
        <v>439000</v>
      </c>
      <c r="L42" s="43" t="n">
        <v>439000</v>
      </c>
      <c r="M42" s="43" t="n">
        <v>-8493469.689999999</v>
      </c>
      <c r="N42" s="14" t="inlineStr">
        <is>
          <t>Cash; High Transaction</t>
        </is>
      </c>
      <c r="O42" s="14" t="inlineStr">
        <is>
          <t>No</t>
        </is>
      </c>
      <c r="P42" s="14" t="inlineStr">
        <is>
          <t>CBDRPTBANKOFBARODACOIN</t>
        </is>
      </c>
      <c r="Q42" s="14" t="n">
        <v>1</v>
      </c>
      <c r="R42" s="14" t="n">
        <v>0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4" t="n">
        <v>46125</v>
      </c>
    </row>
    <row r="43">
      <c r="A43" s="14" t="n">
        <v>42</v>
      </c>
      <c r="B43" s="14" t="inlineStr">
        <is>
          <t>273.pdf</t>
        </is>
      </c>
      <c r="C43" s="44" t="n">
        <v>46113</v>
      </c>
      <c r="D43" s="44" t="n">
        <v>46142</v>
      </c>
      <c r="E43" s="44" t="n">
        <v>46125</v>
      </c>
      <c r="F43" s="44" t="n">
        <v>46125</v>
      </c>
      <c r="G43" s="16" t="inlineStr">
        <is>
          <t>DIGITA-MUMBAI/ INT260327DEAL6258765</t>
        </is>
      </c>
      <c r="H43" s="14" t="str"/>
      <c r="I43" s="14" t="inlineStr">
        <is>
          <t>Payment</t>
        </is>
      </c>
      <c r="J43" s="43" t="n">
        <v>182.75</v>
      </c>
      <c r="K43" s="43" t="n">
        <v>0</v>
      </c>
      <c r="L43" s="43" t="n">
        <v>182.75</v>
      </c>
      <c r="M43" s="43" t="n">
        <v>-8493652.439999999</v>
      </c>
      <c r="N43" s="14" t="inlineStr">
        <is>
          <t>Recurring Transaction</t>
        </is>
      </c>
      <c r="O43" s="14" t="inlineStr">
        <is>
          <t>Yes</t>
        </is>
      </c>
      <c r="P43" s="14" t="inlineStr">
        <is>
          <t>DIGITA-MUMBAI/ INT#DEAL#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0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4" t="n">
        <v>46125</v>
      </c>
    </row>
    <row r="44">
      <c r="A44" s="14" t="n">
        <v>43</v>
      </c>
      <c r="B44" s="14" t="inlineStr">
        <is>
          <t>273.pdf</t>
        </is>
      </c>
      <c r="C44" s="44" t="n">
        <v>46113</v>
      </c>
      <c r="D44" s="44" t="n">
        <v>46142</v>
      </c>
      <c r="E44" s="44" t="n">
        <v>46125</v>
      </c>
      <c r="F44" s="44" t="n">
        <v>46125</v>
      </c>
      <c r="G44" s="16" t="inlineStr">
        <is>
          <t>EBANK:WIB/1503 EBANK:WIB/1503777187/Edfs</t>
        </is>
      </c>
      <c r="H44" s="14" t="str"/>
      <c r="I44" s="14" t="inlineStr">
        <is>
          <t>Receipt</t>
        </is>
      </c>
      <c r="J44" s="43" t="n">
        <v>0</v>
      </c>
      <c r="K44" s="43" t="n">
        <v>610444.28</v>
      </c>
      <c r="L44" s="43" t="n">
        <v>610444.28</v>
      </c>
      <c r="M44" s="43" t="n">
        <v>-7883208.16</v>
      </c>
      <c r="N44" s="14" t="inlineStr">
        <is>
          <t>High Transaction; Recurring Transaction</t>
        </is>
      </c>
      <c r="O44" s="14" t="inlineStr">
        <is>
          <t>Yes</t>
        </is>
      </c>
      <c r="P44" s="14" t="inlineStr">
        <is>
          <t>EBANKWIB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4" t="n">
        <v>46125</v>
      </c>
    </row>
    <row r="45">
      <c r="A45" s="14" t="n">
        <v>44</v>
      </c>
      <c r="B45" s="14" t="inlineStr">
        <is>
          <t>273.pdf</t>
        </is>
      </c>
      <c r="C45" s="44" t="n">
        <v>46113</v>
      </c>
      <c r="D45" s="44" t="n">
        <v>46142</v>
      </c>
      <c r="E45" s="44" t="n">
        <v>46125</v>
      </c>
      <c r="F45" s="44" t="n">
        <v>46125</v>
      </c>
      <c r="G45" s="16" t="inlineStr">
        <is>
          <t>DIGITA-MUMBAI/ INT260327DEAL6258950</t>
        </is>
      </c>
      <c r="H45" s="14" t="str"/>
      <c r="I45" s="14" t="inlineStr">
        <is>
          <t>Payment</t>
        </is>
      </c>
      <c r="J45" s="43" t="n">
        <v>46.82</v>
      </c>
      <c r="K45" s="43" t="n">
        <v>0</v>
      </c>
      <c r="L45" s="43" t="n">
        <v>46.82</v>
      </c>
      <c r="M45" s="43" t="n">
        <v>-7883254.98</v>
      </c>
      <c r="N45" s="14" t="inlineStr">
        <is>
          <t>Recurring Transaction</t>
        </is>
      </c>
      <c r="O45" s="14" t="inlineStr">
        <is>
          <t>Yes</t>
        </is>
      </c>
      <c r="P45" s="14" t="inlineStr">
        <is>
          <t>DIGITA-MUMBAI/ INT#DEAL#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4" t="n">
        <v>46125</v>
      </c>
    </row>
    <row r="46">
      <c r="A46" s="14" t="n">
        <v>45</v>
      </c>
      <c r="B46" s="14" t="inlineStr">
        <is>
          <t>273.pdf</t>
        </is>
      </c>
      <c r="C46" s="44" t="n">
        <v>46113</v>
      </c>
      <c r="D46" s="44" t="n">
        <v>46142</v>
      </c>
      <c r="E46" s="44" t="n">
        <v>46125</v>
      </c>
      <c r="F46" s="44" t="n">
        <v>46125</v>
      </c>
      <c r="G46" s="16" t="inlineStr">
        <is>
          <t>BY CASH BY CASH</t>
        </is>
      </c>
      <c r="H46" s="14" t="str"/>
      <c r="I46" s="14" t="inlineStr">
        <is>
          <t>Receipt</t>
        </is>
      </c>
      <c r="J46" s="43" t="n">
        <v>0</v>
      </c>
      <c r="K46" s="43" t="n">
        <v>78500</v>
      </c>
      <c r="L46" s="43" t="n">
        <v>78500</v>
      </c>
      <c r="M46" s="43" t="n">
        <v>-7804754.98</v>
      </c>
      <c r="N46" s="14" t="inlineStr">
        <is>
          <t>Cash; Recurring Transaction</t>
        </is>
      </c>
      <c r="O46" s="14" t="inlineStr">
        <is>
          <t>Yes</t>
        </is>
      </c>
      <c r="P46" s="14" t="inlineStr">
        <is>
          <t>BY CASH BY CASH</t>
        </is>
      </c>
      <c r="Q46" s="14" t="n">
        <v>1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4" t="n">
        <v>46125</v>
      </c>
    </row>
    <row r="47">
      <c r="A47" s="14" t="n">
        <v>46</v>
      </c>
      <c r="B47" s="14" t="inlineStr">
        <is>
          <t>273.pdf</t>
        </is>
      </c>
      <c r="C47" s="44" t="n">
        <v>46113</v>
      </c>
      <c r="D47" s="44" t="n">
        <v>46142</v>
      </c>
      <c r="E47" s="44" t="n">
        <v>46125</v>
      </c>
      <c r="F47" s="44" t="n">
        <v>46125</v>
      </c>
      <c r="G47" s="16" t="inlineStr">
        <is>
          <t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47" s="14" t="str"/>
      <c r="I47" s="14" t="inlineStr">
        <is>
          <t>Receipt</t>
        </is>
      </c>
      <c r="J47" s="43" t="n">
        <v>0</v>
      </c>
      <c r="K47" s="43" t="n">
        <v>107993.78</v>
      </c>
      <c r="L47" s="43" t="n">
        <v>107993.78</v>
      </c>
      <c r="M47" s="43" t="n">
        <v>-7696761.2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EBANKWIB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4" t="n">
        <v>46125</v>
      </c>
    </row>
    <row r="48">
      <c r="A48" s="14" t="n">
        <v>47</v>
      </c>
      <c r="B48" s="14" t="inlineStr">
        <is>
          <t>273.pdf</t>
        </is>
      </c>
      <c r="C48" s="44" t="n">
        <v>46113</v>
      </c>
      <c r="D48" s="44" t="n">
        <v>46142</v>
      </c>
      <c r="E48" s="44" t="n">
        <v>46125</v>
      </c>
      <c r="F48" s="44" t="n">
        <v>46125</v>
      </c>
      <c r="G48" s="16" t="inlineStr">
        <is>
          <t>RTGS-BARBR5202 RTGS-BARBR52026041300983458-HINDUSTAN PETROLEUM CO</t>
        </is>
      </c>
      <c r="H48" s="14" t="str"/>
      <c r="I48" s="14" t="inlineStr">
        <is>
          <t>Payment</t>
        </is>
      </c>
      <c r="J48" s="43" t="n">
        <v>1962976.51</v>
      </c>
      <c r="K48" s="43" t="n">
        <v>0</v>
      </c>
      <c r="L48" s="43" t="n">
        <v>1962976.51</v>
      </c>
      <c r="M48" s="43" t="n">
        <v>-9659737.710000001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BARBR RTGS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4" t="n">
        <v>46125</v>
      </c>
    </row>
    <row r="49">
      <c r="A49" s="14" t="n">
        <v>48</v>
      </c>
      <c r="B49" s="14" t="inlineStr">
        <is>
          <t>273.pdf</t>
        </is>
      </c>
      <c r="C49" s="44" t="n">
        <v>46113</v>
      </c>
      <c r="D49" s="44" t="n">
        <v>46142</v>
      </c>
      <c r="E49" s="44" t="n">
        <v>46126</v>
      </c>
      <c r="F49" s="44" t="n">
        <v>46126</v>
      </c>
      <c r="G49" s="16" t="inlineStr">
        <is>
          <t>0000-MUMBAI/IN INT260330DEAL6270027</t>
        </is>
      </c>
      <c r="H49" s="14" t="str"/>
      <c r="I49" s="14" t="inlineStr">
        <is>
          <t>Payment</t>
        </is>
      </c>
      <c r="J49" s="43" t="n">
        <v>7127.18</v>
      </c>
      <c r="K49" s="43" t="n">
        <v>0</v>
      </c>
      <c r="L49" s="43" t="n">
        <v>7127.18</v>
      </c>
      <c r="M49" s="43" t="n">
        <v>-9666864.890000001</v>
      </c>
      <c r="N49" s="14" t="inlineStr">
        <is>
          <t>Recurring Transaction</t>
        </is>
      </c>
      <c r="O49" s="14" t="inlineStr">
        <is>
          <t>Yes</t>
        </is>
      </c>
      <c r="P49" s="14" t="inlineStr">
        <is>
          <t>IN INTDEAL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4" t="n">
        <v>46126</v>
      </c>
    </row>
    <row r="50">
      <c r="A50" s="14" t="n">
        <v>49</v>
      </c>
      <c r="B50" s="14" t="inlineStr">
        <is>
          <t>273.pdf</t>
        </is>
      </c>
      <c r="C50" s="44" t="n">
        <v>46113</v>
      </c>
      <c r="D50" s="44" t="n">
        <v>46142</v>
      </c>
      <c r="E50" s="44" t="n">
        <v>46126</v>
      </c>
      <c r="F50" s="44" t="n">
        <v>46126</v>
      </c>
      <c r="G50" s="16" t="inlineStr">
        <is>
          <t>EBANK:WIB/1503 EBANK:WIB/1503879023/Edfs</t>
        </is>
      </c>
      <c r="H50" s="14" t="str"/>
      <c r="I50" s="14" t="inlineStr">
        <is>
          <t>Receipt</t>
        </is>
      </c>
      <c r="J50" s="43" t="n">
        <v>0</v>
      </c>
      <c r="K50" s="43" t="n">
        <v>421121.65</v>
      </c>
      <c r="L50" s="43" t="n">
        <v>421121.65</v>
      </c>
      <c r="M50" s="43" t="n">
        <v>-9245743.24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EBANKWIB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4" t="n">
        <v>46126</v>
      </c>
    </row>
    <row r="51">
      <c r="A51" s="14" t="n">
        <v>50</v>
      </c>
      <c r="B51" s="14" t="inlineStr">
        <is>
          <t>273.pdf</t>
        </is>
      </c>
      <c r="C51" s="44" t="n">
        <v>46113</v>
      </c>
      <c r="D51" s="44" t="n">
        <v>46142</v>
      </c>
      <c r="E51" s="44" t="n">
        <v>46126</v>
      </c>
      <c r="F51" s="44" t="n">
        <v>46126</v>
      </c>
      <c r="G51" s="16" t="inlineStr">
        <is>
          <t>EBANK:WIB/1504 EBANK:WIB/1504010401/Edfs</t>
        </is>
      </c>
      <c r="H51" s="14" t="str"/>
      <c r="I51" s="14" t="inlineStr">
        <is>
          <t>Receipt</t>
        </is>
      </c>
      <c r="J51" s="43" t="n">
        <v>0</v>
      </c>
      <c r="K51" s="43" t="n">
        <v>240000</v>
      </c>
      <c r="L51" s="43" t="n">
        <v>240000</v>
      </c>
      <c r="M51" s="43" t="n">
        <v>-9005743.24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4" t="n">
        <v>46126</v>
      </c>
    </row>
    <row r="52">
      <c r="A52" s="14" t="n">
        <v>51</v>
      </c>
      <c r="B52" s="14" t="inlineStr">
        <is>
          <t>273.pdf</t>
        </is>
      </c>
      <c r="C52" s="44" t="n">
        <v>46113</v>
      </c>
      <c r="D52" s="44" t="n">
        <v>46142</v>
      </c>
      <c r="E52" s="44" t="n">
        <v>46127</v>
      </c>
      <c r="F52" s="44" t="n">
        <v>46127</v>
      </c>
      <c r="G52" s="16" t="inlineStr">
        <is>
          <t>0000-MUMBAI/IN INT260331DEAL6279575</t>
        </is>
      </c>
      <c r="H52" s="14" t="str"/>
      <c r="I52" s="14" t="inlineStr">
        <is>
          <t>Payment</t>
        </is>
      </c>
      <c r="J52" s="43" t="n">
        <v>1795.79</v>
      </c>
      <c r="K52" s="43" t="n">
        <v>0</v>
      </c>
      <c r="L52" s="43" t="n">
        <v>1795.79</v>
      </c>
      <c r="M52" s="43" t="n">
        <v>-9007539.029999999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IN INTDEAL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4" t="n">
        <v>46127</v>
      </c>
    </row>
    <row r="53">
      <c r="A53" s="14" t="n">
        <v>52</v>
      </c>
      <c r="B53" s="14" t="inlineStr">
        <is>
          <t>273.pdf</t>
        </is>
      </c>
      <c r="C53" s="44" t="n">
        <v>46113</v>
      </c>
      <c r="D53" s="44" t="n">
        <v>46142</v>
      </c>
      <c r="E53" s="44" t="n">
        <v>46127</v>
      </c>
      <c r="F53" s="44" t="n">
        <v>46127</v>
      </c>
      <c r="G53" s="16" t="inlineStr">
        <is>
          <t>EBANK:WIB/1504 EBANK:WIB/1504019959/Edfs</t>
        </is>
      </c>
      <c r="H53" s="14" t="str"/>
      <c r="I53" s="14" t="inlineStr">
        <is>
          <t>Receipt</t>
        </is>
      </c>
      <c r="J53" s="43" t="n">
        <v>0</v>
      </c>
      <c r="K53" s="43" t="n">
        <v>401141.57</v>
      </c>
      <c r="L53" s="43" t="n">
        <v>401141.57</v>
      </c>
      <c r="M53" s="43" t="n">
        <v>-8606397.460000001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4" t="n">
        <v>46127</v>
      </c>
    </row>
    <row r="54">
      <c r="A54" s="14" t="n">
        <v>53</v>
      </c>
      <c r="B54" s="14" t="inlineStr">
        <is>
          <t>273.pdf</t>
        </is>
      </c>
      <c r="C54" s="44" t="n">
        <v>46113</v>
      </c>
      <c r="D54" s="44" t="n">
        <v>46142</v>
      </c>
      <c r="E54" s="44" t="n">
        <v>46127</v>
      </c>
      <c r="F54" s="44" t="n">
        <v>46127</v>
      </c>
      <c r="G54" s="16" t="inlineStr">
        <is>
          <t>BANTWA-BANTWAL INT260330DEAL6270027</t>
        </is>
      </c>
      <c r="H54" s="14" t="str"/>
      <c r="I54" s="14" t="inlineStr">
        <is>
          <t>Payment</t>
        </is>
      </c>
      <c r="J54" s="43" t="n">
        <v>241.53</v>
      </c>
      <c r="K54" s="43" t="n">
        <v>0</v>
      </c>
      <c r="L54" s="43" t="n">
        <v>241.53</v>
      </c>
      <c r="M54" s="43" t="n">
        <v>-8606638.99</v>
      </c>
      <c r="N54" s="14" t="inlineStr">
        <is>
          <t>Other</t>
        </is>
      </c>
      <c r="O54" s="14" t="inlineStr">
        <is>
          <t>No</t>
        </is>
      </c>
      <c r="P54" s="14" t="inlineStr">
        <is>
          <t>BANTWAL INTDEAL</t>
        </is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4" t="n">
        <v>46127</v>
      </c>
    </row>
    <row r="55">
      <c r="A55" s="14" t="n">
        <v>54</v>
      </c>
      <c r="B55" s="14" t="inlineStr">
        <is>
          <t>273.pdf</t>
        </is>
      </c>
      <c r="C55" s="44" t="n">
        <v>46113</v>
      </c>
      <c r="D55" s="44" t="n">
        <v>46142</v>
      </c>
      <c r="E55" s="44" t="n">
        <v>46127</v>
      </c>
      <c r="F55" s="44" t="n">
        <v>46127</v>
      </c>
      <c r="G55" s="16" t="inlineStr">
        <is>
          <t>EBANK:WIB/1504 EBANK:WIB/1504096201/Edfs</t>
        </is>
      </c>
      <c r="H55" s="14" t="str"/>
      <c r="I55" s="14" t="inlineStr">
        <is>
          <t>Receipt</t>
        </is>
      </c>
      <c r="J55" s="43" t="n">
        <v>0</v>
      </c>
      <c r="K55" s="43" t="n">
        <v>125424</v>
      </c>
      <c r="L55" s="43" t="n">
        <v>125424</v>
      </c>
      <c r="M55" s="43" t="n">
        <v>-8481214.99</v>
      </c>
      <c r="N55" s="14" t="inlineStr">
        <is>
          <t>High Transaction; Recurring Transaction</t>
        </is>
      </c>
      <c r="O55" s="14" t="inlineStr">
        <is>
          <t>Yes</t>
        </is>
      </c>
      <c r="P55" s="14" t="inlineStr">
        <is>
          <t>EBANKWIB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4" t="n">
        <v>46127</v>
      </c>
    </row>
    <row r="56">
      <c r="A56" s="14" t="n">
        <v>55</v>
      </c>
      <c r="B56" s="14" t="inlineStr">
        <is>
          <t>273.pdf</t>
        </is>
      </c>
      <c r="C56" s="44" t="n">
        <v>46113</v>
      </c>
      <c r="D56" s="44" t="n">
        <v>46142</v>
      </c>
      <c r="E56" s="44" t="n">
        <v>46127</v>
      </c>
      <c r="F56" s="44" t="n">
        <v>46127</v>
      </c>
      <c r="G56" s="16" t="inlineStr">
        <is>
          <t>BY CASH BY CASH</t>
        </is>
      </c>
      <c r="H56" s="14" t="str"/>
      <c r="I56" s="14" t="inlineStr">
        <is>
          <t>Receipt</t>
        </is>
      </c>
      <c r="J56" s="43" t="n">
        <v>0</v>
      </c>
      <c r="K56" s="43" t="n">
        <v>371000</v>
      </c>
      <c r="L56" s="43" t="n">
        <v>371000</v>
      </c>
      <c r="M56" s="43" t="n">
        <v>-8110214.99</v>
      </c>
      <c r="N56" s="14" t="inlineStr">
        <is>
          <t>Cash; High Transaction; Recurring Transaction</t>
        </is>
      </c>
      <c r="O56" s="14" t="inlineStr">
        <is>
          <t>Yes</t>
        </is>
      </c>
      <c r="P56" s="14" t="inlineStr">
        <is>
          <t>BY CASH BY CASH</t>
        </is>
      </c>
      <c r="Q56" s="14" t="n">
        <v>1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4" t="n">
        <v>46127</v>
      </c>
    </row>
    <row r="57">
      <c r="A57" s="14" t="n">
        <v>56</v>
      </c>
      <c r="B57" s="14" t="inlineStr">
        <is>
          <t>273.pdf</t>
        </is>
      </c>
      <c r="C57" s="44" t="n">
        <v>46113</v>
      </c>
      <c r="D57" s="44" t="n">
        <v>46142</v>
      </c>
      <c r="E57" s="44" t="n">
        <v>46127</v>
      </c>
      <c r="F57" s="44" t="n">
        <v>46127</v>
      </c>
      <c r="G57" s="16" t="inlineStr">
        <is>
          <t>EBANK:WIB/1504 EBANK:WIB/1504156827/Edfs</t>
        </is>
      </c>
      <c r="H57" s="14" t="str"/>
      <c r="I57" s="14" t="inlineStr">
        <is>
          <t>Receipt</t>
        </is>
      </c>
      <c r="J57" s="43" t="n">
        <v>0</v>
      </c>
      <c r="K57" s="43" t="n">
        <v>13736</v>
      </c>
      <c r="L57" s="43" t="n">
        <v>13736</v>
      </c>
      <c r="M57" s="43" t="n">
        <v>-8096478.99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4" t="n">
        <v>46127</v>
      </c>
    </row>
    <row r="58">
      <c r="A58" s="14" t="n">
        <v>57</v>
      </c>
      <c r="B58" s="14" t="inlineStr">
        <is>
          <t>273.pdf</t>
        </is>
      </c>
      <c r="C58" s="44" t="n">
        <v>46113</v>
      </c>
      <c r="D58" s="44" t="n">
        <v>46142</v>
      </c>
      <c r="E58" s="44" t="n">
        <v>46127</v>
      </c>
      <c r="F58" s="44" t="n">
        <v>46127</v>
      </c>
      <c r="G58" s="16" t="inlineStr">
        <is>
          <t>RTGS-BARBR5202 RTGS-BARBR52026041500840540-HINDUSTAN PETROLEUM CO</t>
        </is>
      </c>
      <c r="H58" s="14" t="str"/>
      <c r="I58" s="14" t="inlineStr">
        <is>
          <t>Payment</t>
        </is>
      </c>
      <c r="J58" s="43" t="n">
        <v>1889785</v>
      </c>
      <c r="K58" s="43" t="n">
        <v>0</v>
      </c>
      <c r="L58" s="43" t="n">
        <v>1889785</v>
      </c>
      <c r="M58" s="43" t="n">
        <v>-9986263.99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BARBR RTGS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4" t="n">
        <v>46127</v>
      </c>
    </row>
    <row r="59">
      <c r="A59" s="14" t="n">
        <v>58</v>
      </c>
      <c r="B59" s="14" t="inlineStr">
        <is>
          <t>273.pdf</t>
        </is>
      </c>
      <c r="C59" s="44" t="n">
        <v>46113</v>
      </c>
      <c r="D59" s="44" t="n">
        <v>46142</v>
      </c>
      <c r="E59" s="44" t="n">
        <v>46127</v>
      </c>
      <c r="F59" s="44" t="n">
        <v>46127</v>
      </c>
      <c r="G59" s="16" t="inlineStr">
        <is>
          <t>EBANK:WIB/1504 EBANK:WIB/1504160264/Edfs</t>
        </is>
      </c>
      <c r="H59" s="14" t="str"/>
      <c r="I59" s="14" t="inlineStr">
        <is>
          <t>Receipt</t>
        </is>
      </c>
      <c r="J59" s="43" t="n">
        <v>0</v>
      </c>
      <c r="K59" s="43" t="n">
        <v>54252.8</v>
      </c>
      <c r="L59" s="43" t="n">
        <v>54252.8</v>
      </c>
      <c r="M59" s="43" t="n">
        <v>-9932011.189999999</v>
      </c>
      <c r="N59" s="14" t="inlineStr">
        <is>
          <t>Recurring Transaction</t>
        </is>
      </c>
      <c r="O59" s="14" t="inlineStr">
        <is>
          <t>Yes</t>
        </is>
      </c>
      <c r="P59" s="14" t="inlineStr">
        <is>
          <t>EBANKWIB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4" t="n">
        <v>46127</v>
      </c>
    </row>
    <row r="60">
      <c r="A60" s="14" t="n">
        <v>59</v>
      </c>
      <c r="B60" s="14" t="inlineStr">
        <is>
          <t>273.pdf</t>
        </is>
      </c>
      <c r="C60" s="44" t="n">
        <v>46113</v>
      </c>
      <c r="D60" s="44" t="n">
        <v>46142</v>
      </c>
      <c r="E60" s="44" t="n">
        <v>46127</v>
      </c>
      <c r="F60" s="44" t="n">
        <v>46127</v>
      </c>
      <c r="G60" s="16" t="inlineStr">
        <is>
          <t>NEFT-BARBQ2610 NEFT-BARBQ26105757267-HINDUSTAN PETROLEUM CORPORAT</t>
        </is>
      </c>
      <c r="H60" s="14" t="str"/>
      <c r="I60" s="14" t="inlineStr">
        <is>
          <t>Payment</t>
        </is>
      </c>
      <c r="J60" s="43" t="n">
        <v>67988</v>
      </c>
      <c r="K60" s="43" t="n">
        <v>0</v>
      </c>
      <c r="L60" s="43" t="n">
        <v>67988</v>
      </c>
      <c r="M60" s="43" t="n">
        <v>-9999999.189999999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BARBQ NEFT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4" t="n">
        <v>46127</v>
      </c>
    </row>
    <row r="61">
      <c r="A61" s="14" t="n">
        <v>60</v>
      </c>
      <c r="B61" s="14" t="inlineStr">
        <is>
          <t>273.pdf</t>
        </is>
      </c>
      <c r="C61" s="44" t="n">
        <v>46113</v>
      </c>
      <c r="D61" s="44" t="n">
        <v>46142</v>
      </c>
      <c r="E61" s="44" t="n">
        <v>46127</v>
      </c>
      <c r="F61" s="44" t="n">
        <v>46127</v>
      </c>
      <c r="G61" s="16" t="inlineStr">
        <is>
          <t>EBANK:WIB/1504 EBANK:WIB/1504165308/Edfs</t>
        </is>
      </c>
      <c r="H61" s="14" t="str"/>
      <c r="I61" s="14" t="inlineStr">
        <is>
          <t>Receipt</t>
        </is>
      </c>
      <c r="J61" s="43" t="n">
        <v>0</v>
      </c>
      <c r="K61" s="43" t="n">
        <v>44496</v>
      </c>
      <c r="L61" s="43" t="n">
        <v>44496</v>
      </c>
      <c r="M61" s="43" t="n">
        <v>-9955503.189999999</v>
      </c>
      <c r="N61" s="14" t="inlineStr">
        <is>
          <t>Recurring Transaction</t>
        </is>
      </c>
      <c r="O61" s="14" t="inlineStr">
        <is>
          <t>Yes</t>
        </is>
      </c>
      <c r="P61" s="14" t="inlineStr">
        <is>
          <t>EBANKWIB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4" t="n">
        <v>46127</v>
      </c>
    </row>
    <row r="62">
      <c r="A62" s="14" t="n">
        <v>61</v>
      </c>
      <c r="B62" s="14" t="inlineStr">
        <is>
          <t>273.pdf</t>
        </is>
      </c>
      <c r="C62" s="44" t="n">
        <v>46113</v>
      </c>
      <c r="D62" s="44" t="n">
        <v>46142</v>
      </c>
      <c r="E62" s="44" t="n">
        <v>46128</v>
      </c>
      <c r="F62" s="44" t="n">
        <v>46128</v>
      </c>
      <c r="G62" s="16" t="inlineStr">
        <is>
          <t>NEFT-BARBS2610 NEFT-BARBS26106083004-HINDUSTAN PETROLEUM CORPORAT</t>
        </is>
      </c>
      <c r="H62" s="14" t="str"/>
      <c r="I62" s="14" t="inlineStr">
        <is>
          <t>Payment</t>
        </is>
      </c>
      <c r="J62" s="43" t="n">
        <v>40692.24</v>
      </c>
      <c r="K62" s="43" t="n">
        <v>0</v>
      </c>
      <c r="L62" s="43" t="n">
        <v>40692.24</v>
      </c>
      <c r="M62" s="43" t="n">
        <v>-9996195.43</v>
      </c>
      <c r="N62" s="14" t="inlineStr">
        <is>
          <t>Other</t>
        </is>
      </c>
      <c r="O62" s="14" t="inlineStr">
        <is>
          <t>No</t>
        </is>
      </c>
      <c r="P62" s="14" t="inlineStr">
        <is>
          <t>BARBS NEFT</t>
        </is>
      </c>
      <c r="Q62" s="14" t="n">
        <v>0</v>
      </c>
      <c r="R62" s="14" t="n">
        <v>0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4" t="n">
        <v>46128</v>
      </c>
    </row>
    <row r="63">
      <c r="A63" s="14" t="n">
        <v>62</v>
      </c>
      <c r="B63" s="14" t="inlineStr">
        <is>
          <t>273.pdf</t>
        </is>
      </c>
      <c r="C63" s="44" t="n">
        <v>46113</v>
      </c>
      <c r="D63" s="44" t="n">
        <v>46142</v>
      </c>
      <c r="E63" s="44" t="n">
        <v>46128</v>
      </c>
      <c r="F63" s="44" t="n">
        <v>46128</v>
      </c>
      <c r="G63" s="16" t="inlineStr">
        <is>
          <t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63" s="14" t="str"/>
      <c r="I63" s="14" t="inlineStr">
        <is>
          <t>Receipt</t>
        </is>
      </c>
      <c r="J63" s="43" t="n">
        <v>0</v>
      </c>
      <c r="K63" s="43" t="n">
        <v>898173.78</v>
      </c>
      <c r="L63" s="43" t="n">
        <v>898173.78</v>
      </c>
      <c r="M63" s="43" t="n">
        <v>-9098021.65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EBANKWIB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4" t="n">
        <v>46128</v>
      </c>
    </row>
    <row r="64">
      <c r="A64" s="14" t="n">
        <v>63</v>
      </c>
      <c r="B64" s="14" t="inlineStr">
        <is>
          <t>273.pdf</t>
        </is>
      </c>
      <c r="C64" s="44" t="n">
        <v>46113</v>
      </c>
      <c r="D64" s="44" t="n">
        <v>46142</v>
      </c>
      <c r="E64" s="44" t="n">
        <v>46128</v>
      </c>
      <c r="F64" s="44" t="n">
        <v>46128</v>
      </c>
      <c r="G64" s="16" t="inlineStr">
        <is>
          <t>BY CASH BY CASH</t>
        </is>
      </c>
      <c r="H64" s="14" t="str"/>
      <c r="I64" s="14" t="inlineStr">
        <is>
          <t>Receipt</t>
        </is>
      </c>
      <c r="J64" s="43" t="n">
        <v>0</v>
      </c>
      <c r="K64" s="43" t="n">
        <v>166000</v>
      </c>
      <c r="L64" s="43" t="n">
        <v>166000</v>
      </c>
      <c r="M64" s="43" t="n">
        <v>-8932021.65</v>
      </c>
      <c r="N64" s="14" t="inlineStr">
        <is>
          <t>Cash; High Transaction; Recurring Transaction</t>
        </is>
      </c>
      <c r="O64" s="14" t="inlineStr">
        <is>
          <t>Yes</t>
        </is>
      </c>
      <c r="P64" s="14" t="inlineStr">
        <is>
          <t>BY CASH BY CASH</t>
        </is>
      </c>
      <c r="Q64" s="14" t="n">
        <v>1</v>
      </c>
      <c r="R64" s="14" t="n">
        <v>1</v>
      </c>
      <c r="S64" s="14" t="n">
        <v>0</v>
      </c>
      <c r="T64" s="14" t="n">
        <v>0</v>
      </c>
      <c r="U64" s="14" t="n">
        <v>1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4" t="n">
        <v>46128</v>
      </c>
    </row>
    <row r="65">
      <c r="A65" s="14" t="n">
        <v>64</v>
      </c>
      <c r="B65" s="14" t="inlineStr">
        <is>
          <t>273.pdf</t>
        </is>
      </c>
      <c r="C65" s="44" t="n">
        <v>46113</v>
      </c>
      <c r="D65" s="44" t="n">
        <v>46142</v>
      </c>
      <c r="E65" s="44" t="n">
        <v>46128</v>
      </c>
      <c r="F65" s="44" t="n">
        <v>46128</v>
      </c>
      <c r="G65" s="16" t="inlineStr">
        <is>
          <t>DIGITA-MUMBAI/ INT260330DEAL6270027</t>
        </is>
      </c>
      <c r="H65" s="14" t="str"/>
      <c r="I65" s="14" t="inlineStr">
        <is>
          <t>Payment</t>
        </is>
      </c>
      <c r="J65" s="43" t="n">
        <v>3.6</v>
      </c>
      <c r="K65" s="43" t="n">
        <v>0</v>
      </c>
      <c r="L65" s="43" t="n">
        <v>3.6</v>
      </c>
      <c r="M65" s="43" t="n">
        <v>-8932025.25</v>
      </c>
      <c r="N65" s="14" t="inlineStr">
        <is>
          <t>Recurring Transaction</t>
        </is>
      </c>
      <c r="O65" s="14" t="inlineStr">
        <is>
          <t>Yes</t>
        </is>
      </c>
      <c r="P65" s="14" t="inlineStr">
        <is>
          <t>DIGITA-MUMBAI/ INT#DEAL#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4" t="n">
        <v>46128</v>
      </c>
    </row>
    <row r="66">
      <c r="A66" s="14" t="n">
        <v>65</v>
      </c>
      <c r="B66" s="14" t="inlineStr">
        <is>
          <t>273.pdf</t>
        </is>
      </c>
      <c r="C66" s="44" t="n">
        <v>46113</v>
      </c>
      <c r="D66" s="44" t="n">
        <v>46142</v>
      </c>
      <c r="E66" s="44" t="n">
        <v>46128</v>
      </c>
      <c r="F66" s="44" t="n">
        <v>46128</v>
      </c>
      <c r="G66" s="16" t="inlineStr">
        <is>
          <t>VJSOLU-SOLUR/I INT260331DEAL6279575</t>
        </is>
      </c>
      <c r="H66" s="14" t="str"/>
      <c r="I66" s="14" t="inlineStr">
        <is>
          <t>Payment</t>
        </is>
      </c>
      <c r="J66" s="43" t="n">
        <v>120.12</v>
      </c>
      <c r="K66" s="43" t="n">
        <v>0</v>
      </c>
      <c r="L66" s="43" t="n">
        <v>120.12</v>
      </c>
      <c r="M66" s="43" t="n">
        <v>-8932145.369999999</v>
      </c>
      <c r="N66" s="14" t="inlineStr">
        <is>
          <t>Other</t>
        </is>
      </c>
      <c r="O66" s="14" t="inlineStr">
        <is>
          <t>No</t>
        </is>
      </c>
      <c r="P66" s="14" t="inlineStr">
        <is>
          <t>I INTDEAL</t>
        </is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4" t="n">
        <v>46128</v>
      </c>
    </row>
    <row r="67">
      <c r="A67" s="14" t="n">
        <v>66</v>
      </c>
      <c r="B67" s="14" t="inlineStr">
        <is>
          <t>273.pdf</t>
        </is>
      </c>
      <c r="C67" s="44" t="n">
        <v>46113</v>
      </c>
      <c r="D67" s="44" t="n">
        <v>46142</v>
      </c>
      <c r="E67" s="44" t="n">
        <v>46129</v>
      </c>
      <c r="F67" s="44" t="n">
        <v>46129</v>
      </c>
      <c r="G67" s="16" t="inlineStr">
        <is>
          <t>EBANK:WIB/1504 EBANK:WIB/1504347697/Edfs</t>
        </is>
      </c>
      <c r="H67" s="14" t="str"/>
      <c r="I67" s="14" t="inlineStr">
        <is>
          <t>Receipt</t>
        </is>
      </c>
      <c r="J67" s="43" t="n">
        <v>0</v>
      </c>
      <c r="K67" s="43" t="n">
        <v>328514.76</v>
      </c>
      <c r="L67" s="43" t="n">
        <v>328514.76</v>
      </c>
      <c r="M67" s="43" t="n">
        <v>-8603630.609999999</v>
      </c>
      <c r="N67" s="14" t="inlineStr">
        <is>
          <t>High Transaction; Recurring Transaction</t>
        </is>
      </c>
      <c r="O67" s="14" t="inlineStr">
        <is>
          <t>Yes</t>
        </is>
      </c>
      <c r="P67" s="14" t="inlineStr">
        <is>
          <t>EBANKWIB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4" t="n">
        <v>46129</v>
      </c>
    </row>
    <row r="68">
      <c r="A68" s="14" t="n">
        <v>67</v>
      </c>
      <c r="B68" s="14" t="inlineStr">
        <is>
          <t>273.pdf</t>
        </is>
      </c>
      <c r="C68" s="44" t="n">
        <v>46113</v>
      </c>
      <c r="D68" s="44" t="n">
        <v>46142</v>
      </c>
      <c r="E68" s="44" t="n">
        <v>46129</v>
      </c>
      <c r="F68" s="44" t="n">
        <v>46129</v>
      </c>
      <c r="G68" s="16" t="inlineStr">
        <is>
          <t>0000-MUMBAI/IN INT260402DEAL6291634</t>
        </is>
      </c>
      <c r="H68" s="14" t="str"/>
      <c r="I68" s="14" t="inlineStr">
        <is>
          <t>Payment</t>
        </is>
      </c>
      <c r="J68" s="43" t="n">
        <v>4857.17</v>
      </c>
      <c r="K68" s="43" t="n">
        <v>0</v>
      </c>
      <c r="L68" s="43" t="n">
        <v>4857.17</v>
      </c>
      <c r="M68" s="43" t="n">
        <v>-8608487.779999999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IN INTDEAL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4" t="n">
        <v>46129</v>
      </c>
    </row>
    <row r="69">
      <c r="A69" s="14" t="n">
        <v>68</v>
      </c>
      <c r="B69" s="14" t="inlineStr">
        <is>
          <t>273.pdf</t>
        </is>
      </c>
      <c r="C69" s="44" t="n">
        <v>46113</v>
      </c>
      <c r="D69" s="44" t="n">
        <v>46142</v>
      </c>
      <c r="E69" s="44" t="n">
        <v>46129</v>
      </c>
      <c r="F69" s="44" t="n">
        <v>46129</v>
      </c>
      <c r="G69" s="16" t="inlineStr">
        <is>
          <t>EBANK:WIB/1504 EBANK:WIB/1504424773/Edfs</t>
        </is>
      </c>
      <c r="H69" s="14" t="str"/>
      <c r="I69" s="14" t="inlineStr">
        <is>
          <t>Receipt</t>
        </is>
      </c>
      <c r="J69" s="43" t="n">
        <v>0</v>
      </c>
      <c r="K69" s="43" t="n">
        <v>150000</v>
      </c>
      <c r="L69" s="43" t="n">
        <v>150000</v>
      </c>
      <c r="M69" s="43" t="n">
        <v>-8458487.779999999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4" t="n">
        <v>46129</v>
      </c>
    </row>
    <row r="70">
      <c r="A70" s="14" t="n">
        <v>69</v>
      </c>
      <c r="B70" s="14" t="inlineStr">
        <is>
          <t>273.pdf</t>
        </is>
      </c>
      <c r="C70" s="44" t="n">
        <v>46113</v>
      </c>
      <c r="D70" s="44" t="n">
        <v>46142</v>
      </c>
      <c r="E70" s="44" t="n">
        <v>46130</v>
      </c>
      <c r="F70" s="44" t="n">
        <v>46130</v>
      </c>
      <c r="G70" s="16" t="inlineStr">
        <is>
          <t>0000-MUMBAI/IN INT260404DEAL6301802</t>
        </is>
      </c>
      <c r="H70" s="14" t="str"/>
      <c r="I70" s="14" t="inlineStr">
        <is>
          <t>Payment</t>
        </is>
      </c>
      <c r="J70" s="43" t="n">
        <v>6118.58</v>
      </c>
      <c r="K70" s="43" t="n">
        <v>0</v>
      </c>
      <c r="L70" s="43" t="n">
        <v>6118.58</v>
      </c>
      <c r="M70" s="43" t="n">
        <v>-8464606.359999999</v>
      </c>
      <c r="N70" s="14" t="inlineStr">
        <is>
          <t>Recurring Transaction</t>
        </is>
      </c>
      <c r="O70" s="14" t="inlineStr">
        <is>
          <t>Yes</t>
        </is>
      </c>
      <c r="P70" s="14" t="inlineStr">
        <is>
          <t>IN INTDEAL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0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4" t="n">
        <v>46130</v>
      </c>
    </row>
    <row r="71">
      <c r="A71" s="14" t="n">
        <v>70</v>
      </c>
      <c r="B71" s="14" t="inlineStr">
        <is>
          <t>273.pdf</t>
        </is>
      </c>
      <c r="C71" s="44" t="n">
        <v>46113</v>
      </c>
      <c r="D71" s="44" t="n">
        <v>46142</v>
      </c>
      <c r="E71" s="44" t="n">
        <v>46130</v>
      </c>
      <c r="F71" s="44" t="n">
        <v>46130</v>
      </c>
      <c r="G71" s="16" t="inlineStr">
        <is>
          <t>BY CASH BY CASH</t>
        </is>
      </c>
      <c r="H71" s="14" t="str"/>
      <c r="I71" s="14" t="inlineStr">
        <is>
          <t>Receipt</t>
        </is>
      </c>
      <c r="J71" s="43" t="n">
        <v>0</v>
      </c>
      <c r="K71" s="43" t="n">
        <v>394500</v>
      </c>
      <c r="L71" s="43" t="n">
        <v>394500</v>
      </c>
      <c r="M71" s="43" t="n">
        <v>-8070106.36</v>
      </c>
      <c r="N71" s="14" t="inlineStr">
        <is>
          <t>Cash; High Transaction; Recurring Transaction</t>
        </is>
      </c>
      <c r="O71" s="14" t="inlineStr">
        <is>
          <t>Yes</t>
        </is>
      </c>
      <c r="P71" s="14" t="inlineStr">
        <is>
          <t>BY CASH BY CASH</t>
        </is>
      </c>
      <c r="Q71" s="14" t="n">
        <v>1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4" t="n">
        <v>46130</v>
      </c>
    </row>
    <row r="72">
      <c r="A72" s="14" t="n">
        <v>71</v>
      </c>
      <c r="B72" s="14" t="inlineStr">
        <is>
          <t>273.pdf</t>
        </is>
      </c>
      <c r="C72" s="44" t="n">
        <v>46113</v>
      </c>
      <c r="D72" s="44" t="n">
        <v>46142</v>
      </c>
      <c r="E72" s="44" t="n">
        <v>46130</v>
      </c>
      <c r="F72" s="44" t="n">
        <v>46130</v>
      </c>
      <c r="G72" s="16" t="inlineStr">
        <is>
          <t>DBUTRA-LUCKNOW INT260402DEAL6291634</t>
        </is>
      </c>
      <c r="H72" s="14" t="str"/>
      <c r="I72" s="14" t="inlineStr">
        <is>
          <t>Payment</t>
        </is>
      </c>
      <c r="J72" s="43" t="n">
        <v>93.69</v>
      </c>
      <c r="K72" s="43" t="n">
        <v>0</v>
      </c>
      <c r="L72" s="43" t="n">
        <v>93.69</v>
      </c>
      <c r="M72" s="43" t="n">
        <v>-8070200.05</v>
      </c>
      <c r="N72" s="14" t="inlineStr">
        <is>
          <t>Other</t>
        </is>
      </c>
      <c r="O72" s="14" t="inlineStr">
        <is>
          <t>No</t>
        </is>
      </c>
      <c r="P72" s="14" t="inlineStr">
        <is>
          <t>LUCKNOW INTDEAL</t>
        </is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4" t="n">
        <v>46130</v>
      </c>
    </row>
    <row r="73">
      <c r="A73" s="14" t="n">
        <v>72</v>
      </c>
      <c r="B73" s="14" t="inlineStr">
        <is>
          <t>273.pdf</t>
        </is>
      </c>
      <c r="C73" s="44" t="n">
        <v>46113</v>
      </c>
      <c r="D73" s="44" t="n">
        <v>46142</v>
      </c>
      <c r="E73" s="44" t="n">
        <v>46130</v>
      </c>
      <c r="F73" s="44" t="n">
        <v>46130</v>
      </c>
      <c r="G73" s="16" t="inlineStr">
        <is>
          <t>EBANK:WIB/1504 EBANK:WIB/1504650433/Edfs</t>
        </is>
      </c>
      <c r="H73" s="14" t="str"/>
      <c r="I73" s="14" t="inlineStr">
        <is>
          <t>Receipt</t>
        </is>
      </c>
      <c r="J73" s="43" t="n">
        <v>0</v>
      </c>
      <c r="K73" s="43" t="n">
        <v>480667.28</v>
      </c>
      <c r="L73" s="43" t="n">
        <v>480667.28</v>
      </c>
      <c r="M73" s="43" t="n">
        <v>-7589532.77</v>
      </c>
      <c r="N73" s="14" t="inlineStr">
        <is>
          <t>High Transaction; Recurring Transaction</t>
        </is>
      </c>
      <c r="O73" s="14" t="inlineStr">
        <is>
          <t>Yes</t>
        </is>
      </c>
      <c r="P73" s="14" t="inlineStr">
        <is>
          <t>EBANKWIB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4" t="n">
        <v>46130</v>
      </c>
    </row>
    <row r="74">
      <c r="A74" s="14" t="n">
        <v>73</v>
      </c>
      <c r="B74" s="14" t="inlineStr">
        <is>
          <t>273.pdf</t>
        </is>
      </c>
      <c r="C74" s="44" t="n">
        <v>46113</v>
      </c>
      <c r="D74" s="44" t="n">
        <v>46142</v>
      </c>
      <c r="E74" s="44" t="n">
        <v>46131</v>
      </c>
      <c r="F74" s="44" t="n">
        <v>46131</v>
      </c>
      <c r="G74" s="16" t="inlineStr">
        <is>
          <t>EBANK:WIB/1504 EBANK:WIB/1504657570/Edfs</t>
        </is>
      </c>
      <c r="H74" s="14" t="str"/>
      <c r="I74" s="14" t="inlineStr">
        <is>
          <t>Receipt</t>
        </is>
      </c>
      <c r="J74" s="43" t="n">
        <v>0</v>
      </c>
      <c r="K74" s="43" t="n">
        <v>259433</v>
      </c>
      <c r="L74" s="43" t="n">
        <v>259433</v>
      </c>
      <c r="M74" s="43" t="n">
        <v>-7330099.77</v>
      </c>
      <c r="N74" s="14" t="inlineStr">
        <is>
          <t>High Transaction; Recurring Transaction</t>
        </is>
      </c>
      <c r="O74" s="14" t="inlineStr">
        <is>
          <t>Yes</t>
        </is>
      </c>
      <c r="P74" s="14" t="inlineStr">
        <is>
          <t>EBANKWIB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4" t="n">
        <v>46131</v>
      </c>
    </row>
    <row r="75">
      <c r="A75" s="14" t="n">
        <v>74</v>
      </c>
      <c r="B75" s="14" t="inlineStr">
        <is>
          <t>273.pdf</t>
        </is>
      </c>
      <c r="C75" s="44" t="n">
        <v>46113</v>
      </c>
      <c r="D75" s="44" t="n">
        <v>46142</v>
      </c>
      <c r="E75" s="44" t="n">
        <v>46131</v>
      </c>
      <c r="F75" s="44" t="n">
        <v>46131</v>
      </c>
      <c r="G75" s="16" t="inlineStr">
        <is>
          <t>RTGS-BARBR5202 RTGS-BARBR52026041900792985-HINDUSTAN PETROLEUM CO</t>
        </is>
      </c>
      <c r="H75" s="14" t="str"/>
      <c r="I75" s="14" t="inlineStr">
        <is>
          <t>Payment</t>
        </is>
      </c>
      <c r="J75" s="43" t="n">
        <v>1933014</v>
      </c>
      <c r="K75" s="43" t="n">
        <v>0</v>
      </c>
      <c r="L75" s="43" t="n">
        <v>1933014</v>
      </c>
      <c r="M75" s="43" t="n">
        <v>-9263113.77</v>
      </c>
      <c r="N75" s="14" t="inlineStr">
        <is>
          <t>High Transaction; Recurring Transaction</t>
        </is>
      </c>
      <c r="O75" s="14" t="inlineStr">
        <is>
          <t>Yes</t>
        </is>
      </c>
      <c r="P75" s="14" t="inlineStr">
        <is>
          <t>BARBR RTGS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4" t="n">
        <v>46131</v>
      </c>
    </row>
    <row r="76">
      <c r="A76" s="14" t="n">
        <v>75</v>
      </c>
      <c r="B76" s="14" t="inlineStr">
        <is>
          <t>273.pdf</t>
        </is>
      </c>
      <c r="C76" s="44" t="n">
        <v>46113</v>
      </c>
      <c r="D76" s="44" t="n">
        <v>46142</v>
      </c>
      <c r="E76" s="44" t="n">
        <v>46131</v>
      </c>
      <c r="F76" s="44" t="n">
        <v>46131</v>
      </c>
      <c r="G76" s="16" t="inlineStr">
        <is>
          <t>SASRAM-SASARAM INT260404DEAL6301802</t>
        </is>
      </c>
      <c r="H76" s="14" t="str"/>
      <c r="I76" s="14" t="inlineStr">
        <is>
          <t>Payment</t>
        </is>
      </c>
      <c r="J76" s="43" t="n">
        <v>325.99</v>
      </c>
      <c r="K76" s="43" t="n">
        <v>0</v>
      </c>
      <c r="L76" s="43" t="n">
        <v>325.99</v>
      </c>
      <c r="M76" s="43" t="n">
        <v>-9263439.76</v>
      </c>
      <c r="N76" s="14" t="inlineStr">
        <is>
          <t>Other</t>
        </is>
      </c>
      <c r="O76" s="14" t="inlineStr">
        <is>
          <t>No</t>
        </is>
      </c>
      <c r="P76" s="14" t="inlineStr">
        <is>
          <t>SASARAM INTDEAL</t>
        </is>
      </c>
      <c r="Q76" s="14" t="n">
        <v>0</v>
      </c>
      <c r="R76" s="14" t="n">
        <v>0</v>
      </c>
      <c r="S76" s="14" t="n">
        <v>0</v>
      </c>
      <c r="T76" s="14" t="n">
        <v>0</v>
      </c>
      <c r="U76" s="14" t="n">
        <v>0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4" t="n">
        <v>46131</v>
      </c>
    </row>
    <row r="77">
      <c r="A77" s="14" t="n">
        <v>76</v>
      </c>
      <c r="B77" s="14" t="inlineStr">
        <is>
          <t>273.pdf</t>
        </is>
      </c>
      <c r="C77" s="44" t="n">
        <v>46113</v>
      </c>
      <c r="D77" s="44" t="n">
        <v>46142</v>
      </c>
      <c r="E77" s="44" t="n">
        <v>46131</v>
      </c>
      <c r="F77" s="44" t="n">
        <v>46131</v>
      </c>
      <c r="G77" s="16" t="inlineStr">
        <is>
          <t>EBANK:WIB/1504 EBANK:WIB/1504707135/Edfs</t>
        </is>
      </c>
      <c r="H77" s="14" t="str"/>
      <c r="I77" s="14" t="inlineStr">
        <is>
          <t>Receipt</t>
        </is>
      </c>
      <c r="J77" s="43" t="n">
        <v>0</v>
      </c>
      <c r="K77" s="43" t="n">
        <v>211310.53</v>
      </c>
      <c r="L77" s="43" t="n">
        <v>211310.53</v>
      </c>
      <c r="M77" s="43" t="n">
        <v>-9052129.23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EBANKWIB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4" t="n">
        <v>46131</v>
      </c>
    </row>
    <row r="78">
      <c r="A78" s="14" t="n">
        <v>77</v>
      </c>
      <c r="B78" s="14" t="inlineStr">
        <is>
          <t>273.pdf</t>
        </is>
      </c>
      <c r="C78" s="44" t="n">
        <v>46113</v>
      </c>
      <c r="D78" s="44" t="n">
        <v>46142</v>
      </c>
      <c r="E78" s="44" t="n">
        <v>46132</v>
      </c>
      <c r="F78" s="44" t="n">
        <v>46132</v>
      </c>
      <c r="G78" s="16" t="inlineStr">
        <is>
          <t>EBANK:WIB/1504 EBANK:WIB/1504717278/Edfs</t>
        </is>
      </c>
      <c r="H78" s="14" t="str"/>
      <c r="I78" s="14" t="inlineStr">
        <is>
          <t>Receipt</t>
        </is>
      </c>
      <c r="J78" s="43" t="n">
        <v>0</v>
      </c>
      <c r="K78" s="43" t="n">
        <v>260572.52</v>
      </c>
      <c r="L78" s="43" t="n">
        <v>260572.52</v>
      </c>
      <c r="M78" s="43" t="n">
        <v>-8791556.710000001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EBANKWIB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4" t="n">
        <v>46132</v>
      </c>
    </row>
    <row r="79">
      <c r="A79" s="14" t="n">
        <v>78</v>
      </c>
      <c r="B79" s="14" t="inlineStr">
        <is>
          <t>273.pdf</t>
        </is>
      </c>
      <c r="C79" s="44" t="n">
        <v>46113</v>
      </c>
      <c r="D79" s="44" t="n">
        <v>46142</v>
      </c>
      <c r="E79" s="44" t="n">
        <v>46132</v>
      </c>
      <c r="F79" s="44" t="n">
        <v>46132</v>
      </c>
      <c r="G79" s="16" t="inlineStr">
        <is>
          <t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79" s="14" t="str"/>
      <c r="I79" s="14" t="inlineStr">
        <is>
          <t>Payment</t>
        </is>
      </c>
      <c r="J79" s="43" t="n">
        <v>215.15</v>
      </c>
      <c r="K79" s="43" t="n">
        <v>0</v>
      </c>
      <c r="L79" s="43" t="n">
        <v>215.15</v>
      </c>
      <c r="M79" s="43" t="n">
        <v>-8791771.859999999</v>
      </c>
      <c r="N79" s="14" t="inlineStr">
        <is>
          <t>Recurring Transaction</t>
        </is>
      </c>
      <c r="O79" s="14" t="inlineStr">
        <is>
          <t>Yes</t>
        </is>
      </c>
      <c r="P79" s="14" t="inlineStr">
        <is>
          <t>PAGE TOTAL   DR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4" t="n">
        <v>46132</v>
      </c>
    </row>
    <row r="80">
      <c r="A80" s="14" t="n">
        <v>79</v>
      </c>
      <c r="B80" s="14" t="inlineStr">
        <is>
          <t>273.pdf</t>
        </is>
      </c>
      <c r="C80" s="44" t="n">
        <v>46113</v>
      </c>
      <c r="D80" s="44" t="n">
        <v>46142</v>
      </c>
      <c r="E80" s="44" t="n">
        <v>46132</v>
      </c>
      <c r="F80" s="44" t="n">
        <v>46132</v>
      </c>
      <c r="G80" s="16" t="inlineStr">
        <is>
          <t>BY CASH BY CASH</t>
        </is>
      </c>
      <c r="H80" s="14" t="str"/>
      <c r="I80" s="14" t="inlineStr">
        <is>
          <t>Receipt</t>
        </is>
      </c>
      <c r="J80" s="43" t="n">
        <v>0</v>
      </c>
      <c r="K80" s="43" t="n">
        <v>336500</v>
      </c>
      <c r="L80" s="43" t="n">
        <v>336500</v>
      </c>
      <c r="M80" s="43" t="n">
        <v>-8455271.859999999</v>
      </c>
      <c r="N80" s="14" t="inlineStr">
        <is>
          <t>Cash; High Transaction; Recurring Transaction</t>
        </is>
      </c>
      <c r="O80" s="14" t="inlineStr">
        <is>
          <t>Yes</t>
        </is>
      </c>
      <c r="P80" s="14" t="inlineStr">
        <is>
          <t>BY CASH BY CASH</t>
        </is>
      </c>
      <c r="Q80" s="14" t="n">
        <v>1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4" t="n">
        <v>46132</v>
      </c>
    </row>
    <row r="81">
      <c r="A81" s="14" t="n">
        <v>80</v>
      </c>
      <c r="B81" s="14" t="inlineStr">
        <is>
          <t>273.pdf</t>
        </is>
      </c>
      <c r="C81" s="44" t="n">
        <v>46113</v>
      </c>
      <c r="D81" s="44" t="n">
        <v>46142</v>
      </c>
      <c r="E81" s="44" t="n">
        <v>46132</v>
      </c>
      <c r="F81" s="44" t="n">
        <v>46132</v>
      </c>
      <c r="G81" s="16" t="inlineStr">
        <is>
          <t>EBANK:WIB/1504 EBANK:WIB/1504868004/Edfs</t>
        </is>
      </c>
      <c r="H81" s="14" t="str"/>
      <c r="I81" s="14" t="inlineStr">
        <is>
          <t>Receipt</t>
        </is>
      </c>
      <c r="J81" s="43" t="n">
        <v>0</v>
      </c>
      <c r="K81" s="43" t="n">
        <v>287084.78</v>
      </c>
      <c r="L81" s="43" t="n">
        <v>287084.78</v>
      </c>
      <c r="M81" s="43" t="n">
        <v>-8168187.08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EBANKWIB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4" t="n">
        <v>46132</v>
      </c>
    </row>
    <row r="82">
      <c r="A82" s="14" t="n">
        <v>81</v>
      </c>
      <c r="B82" s="14" t="inlineStr">
        <is>
          <t>273.pdf</t>
        </is>
      </c>
      <c r="C82" s="44" t="n">
        <v>46113</v>
      </c>
      <c r="D82" s="44" t="n">
        <v>46142</v>
      </c>
      <c r="E82" s="44" t="n">
        <v>46133</v>
      </c>
      <c r="F82" s="44" t="n">
        <v>46133</v>
      </c>
      <c r="G82" s="16" t="inlineStr">
        <is>
          <t>EBANK:WIB/1504 EBANK:WIB/1504892301/Edfs</t>
        </is>
      </c>
      <c r="H82" s="14" t="str"/>
      <c r="I82" s="14" t="inlineStr">
        <is>
          <t>Receipt</t>
        </is>
      </c>
      <c r="J82" s="43" t="n">
        <v>0</v>
      </c>
      <c r="K82" s="43" t="n">
        <v>333445.92</v>
      </c>
      <c r="L82" s="43" t="n">
        <v>333445.92</v>
      </c>
      <c r="M82" s="43" t="n">
        <v>-7834741.16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EBANKWIB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4" t="n">
        <v>46133</v>
      </c>
    </row>
    <row r="83">
      <c r="A83" s="14" t="n">
        <v>82</v>
      </c>
      <c r="B83" s="14" t="inlineStr">
        <is>
          <t>273.pdf</t>
        </is>
      </c>
      <c r="C83" s="44" t="n">
        <v>46113</v>
      </c>
      <c r="D83" s="44" t="n">
        <v>46142</v>
      </c>
      <c r="E83" s="44" t="n">
        <v>46133</v>
      </c>
      <c r="F83" s="44" t="n">
        <v>46133</v>
      </c>
      <c r="G83" s="16" t="inlineStr">
        <is>
          <t>MANNAG-NAGPUR/ INT260404DEAL6301802 https://cbdrpt101.bankofbaroda.co.in:22000/finbranch/arjspmorph/INFENG/tran_rpt.jsp?... 04-05-2026</t>
        </is>
      </c>
      <c r="H83" s="14" t="str"/>
      <c r="I83" s="14" t="inlineStr">
        <is>
          <t>Payment</t>
        </is>
      </c>
      <c r="J83" s="43" t="n">
        <v>6.88</v>
      </c>
      <c r="K83" s="43" t="n">
        <v>0</v>
      </c>
      <c r="L83" s="43" t="n">
        <v>6.88</v>
      </c>
      <c r="M83" s="43" t="n">
        <v>-7834748.04</v>
      </c>
      <c r="N83" s="14" t="inlineStr">
        <is>
          <t>Other</t>
        </is>
      </c>
      <c r="O83" s="14" t="inlineStr">
        <is>
          <t>No</t>
        </is>
      </c>
      <c r="P83" s="14" t="inlineStr">
        <is>
          <t>INTDEAL HTTPS</t>
        </is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4" t="n">
        <v>46133</v>
      </c>
    </row>
    <row r="84">
      <c r="A84" s="14" t="n">
        <v>83</v>
      </c>
      <c r="B84" s="14" t="inlineStr">
        <is>
          <t>273.pdf</t>
        </is>
      </c>
      <c r="C84" s="44" t="n">
        <v>46113</v>
      </c>
      <c r="D84" s="44" t="n">
        <v>46142</v>
      </c>
      <c r="E84" s="44" t="n">
        <v>46133</v>
      </c>
      <c r="F84" s="44" t="n">
        <v>46133</v>
      </c>
      <c r="G84" s="16" t="inlineStr">
        <is>
          <t>RTGS-BARBR5202 RTGS-BARBR52026042100866436-HINDUSTAN PETROLEUM CO</t>
        </is>
      </c>
      <c r="H84" s="14" t="str"/>
      <c r="I84" s="14" t="inlineStr">
        <is>
          <t>Payment</t>
        </is>
      </c>
      <c r="J84" s="43" t="n">
        <v>2042157.6</v>
      </c>
      <c r="K84" s="43" t="n">
        <v>0</v>
      </c>
      <c r="L84" s="43" t="n">
        <v>2042157.6</v>
      </c>
      <c r="M84" s="43" t="n">
        <v>-9876905.640000001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BARBR RTGS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4" t="n">
        <v>46133</v>
      </c>
    </row>
    <row r="85">
      <c r="A85" s="14" t="n">
        <v>84</v>
      </c>
      <c r="B85" s="14" t="inlineStr">
        <is>
          <t>273.pdf</t>
        </is>
      </c>
      <c r="C85" s="44" t="n">
        <v>46113</v>
      </c>
      <c r="D85" s="44" t="n">
        <v>46142</v>
      </c>
      <c r="E85" s="44" t="n">
        <v>46133</v>
      </c>
      <c r="F85" s="44" t="n">
        <v>46133</v>
      </c>
      <c r="G85" s="16" t="inlineStr">
        <is>
          <t>BY CASH BY CASH</t>
        </is>
      </c>
      <c r="H85" s="14" t="str"/>
      <c r="I85" s="14" t="inlineStr">
        <is>
          <t>Receipt</t>
        </is>
      </c>
      <c r="J85" s="43" t="n">
        <v>0</v>
      </c>
      <c r="K85" s="43" t="n">
        <v>150500</v>
      </c>
      <c r="L85" s="43" t="n">
        <v>150500</v>
      </c>
      <c r="M85" s="43" t="n">
        <v>-9726405.640000001</v>
      </c>
      <c r="N85" s="14" t="inlineStr">
        <is>
          <t>Cash; High Transaction; Recurring Transaction</t>
        </is>
      </c>
      <c r="O85" s="14" t="inlineStr">
        <is>
          <t>Yes</t>
        </is>
      </c>
      <c r="P85" s="14" t="inlineStr">
        <is>
          <t>BY CASH BY CASH</t>
        </is>
      </c>
      <c r="Q85" s="14" t="n">
        <v>1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4" t="n">
        <v>46133</v>
      </c>
    </row>
    <row r="86">
      <c r="A86" s="14" t="n">
        <v>85</v>
      </c>
      <c r="B86" s="14" t="inlineStr">
        <is>
          <t>273.pdf</t>
        </is>
      </c>
      <c r="C86" s="44" t="n">
        <v>46113</v>
      </c>
      <c r="D86" s="44" t="n">
        <v>46142</v>
      </c>
      <c r="E86" s="44" t="n">
        <v>46133</v>
      </c>
      <c r="F86" s="44" t="n">
        <v>46133</v>
      </c>
      <c r="G86" s="16" t="inlineStr">
        <is>
          <t>EBANK:WIB/1505 EBANK:WIB/1505043394/Edfs</t>
        </is>
      </c>
      <c r="H86" s="14" t="str"/>
      <c r="I86" s="14" t="inlineStr">
        <is>
          <t>Receipt</t>
        </is>
      </c>
      <c r="J86" s="43" t="n">
        <v>0</v>
      </c>
      <c r="K86" s="43" t="n">
        <v>108963.7</v>
      </c>
      <c r="L86" s="43" t="n">
        <v>108963.7</v>
      </c>
      <c r="M86" s="43" t="n">
        <v>-9617441.939999999</v>
      </c>
      <c r="N86" s="14" t="inlineStr">
        <is>
          <t>High Transaction; Recurring Transaction</t>
        </is>
      </c>
      <c r="O86" s="14" t="inlineStr">
        <is>
          <t>Yes</t>
        </is>
      </c>
      <c r="P86" s="14" t="inlineStr">
        <is>
          <t>EBANKWIB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1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4" t="n">
        <v>46133</v>
      </c>
    </row>
    <row r="87">
      <c r="A87" s="14" t="n">
        <v>86</v>
      </c>
      <c r="B87" s="14" t="inlineStr">
        <is>
          <t>273.pdf</t>
        </is>
      </c>
      <c r="C87" s="44" t="n">
        <v>46113</v>
      </c>
      <c r="D87" s="44" t="n">
        <v>46142</v>
      </c>
      <c r="E87" s="44" t="n">
        <v>46134</v>
      </c>
      <c r="F87" s="44" t="n">
        <v>46134</v>
      </c>
      <c r="G87" s="16" t="inlineStr">
        <is>
          <t>0000-MUMBAI/IN INT260407DEAL6316451</t>
        </is>
      </c>
      <c r="H87" s="14" t="str"/>
      <c r="I87" s="14" t="inlineStr">
        <is>
          <t>Payment</t>
        </is>
      </c>
      <c r="J87" s="43" t="n">
        <v>6617.14</v>
      </c>
      <c r="K87" s="43" t="n">
        <v>0</v>
      </c>
      <c r="L87" s="43" t="n">
        <v>6617.14</v>
      </c>
      <c r="M87" s="43" t="n">
        <v>-9624059.08</v>
      </c>
      <c r="N87" s="14" t="inlineStr">
        <is>
          <t>Recurring Transaction</t>
        </is>
      </c>
      <c r="O87" s="14" t="inlineStr">
        <is>
          <t>Yes</t>
        </is>
      </c>
      <c r="P87" s="14" t="inlineStr">
        <is>
          <t>IN INTDEAL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4" t="n">
        <v>46134</v>
      </c>
    </row>
    <row r="88">
      <c r="A88" s="14" t="n">
        <v>87</v>
      </c>
      <c r="B88" s="14" t="inlineStr">
        <is>
          <t>273.pdf</t>
        </is>
      </c>
      <c r="C88" s="44" t="n">
        <v>46113</v>
      </c>
      <c r="D88" s="44" t="n">
        <v>46142</v>
      </c>
      <c r="E88" s="44" t="n">
        <v>46134</v>
      </c>
      <c r="F88" s="44" t="n">
        <v>46134</v>
      </c>
      <c r="G88" s="16" t="inlineStr">
        <is>
          <t>EBANK:WIB/1505 EBANK:WIB/1505048812/Edfs</t>
        </is>
      </c>
      <c r="H88" s="14" t="str"/>
      <c r="I88" s="14" t="inlineStr">
        <is>
          <t>Receipt</t>
        </is>
      </c>
      <c r="J88" s="43" t="n">
        <v>0</v>
      </c>
      <c r="K88" s="43" t="n">
        <v>259307.24</v>
      </c>
      <c r="L88" s="43" t="n">
        <v>259307.24</v>
      </c>
      <c r="M88" s="43" t="n">
        <v>-9364751.84</v>
      </c>
      <c r="N88" s="14" t="inlineStr">
        <is>
          <t>High Transaction; Recurring Transaction</t>
        </is>
      </c>
      <c r="O88" s="14" t="inlineStr">
        <is>
          <t>Yes</t>
        </is>
      </c>
      <c r="P88" s="14" t="inlineStr">
        <is>
          <t>EBANKWIB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4" t="n">
        <v>46134</v>
      </c>
    </row>
    <row r="89">
      <c r="A89" s="14" t="n">
        <v>88</v>
      </c>
      <c r="B89" s="14" t="inlineStr">
        <is>
          <t>273.pdf</t>
        </is>
      </c>
      <c r="C89" s="44" t="n">
        <v>46113</v>
      </c>
      <c r="D89" s="44" t="n">
        <v>46142</v>
      </c>
      <c r="E89" s="44" t="n">
        <v>46134</v>
      </c>
      <c r="F89" s="44" t="n">
        <v>46134</v>
      </c>
      <c r="G89" s="16" t="inlineStr">
        <is>
          <t>0000-MUMBAI/IN INT260407DEAL6316451</t>
        </is>
      </c>
      <c r="H89" s="14" t="str"/>
      <c r="I89" s="14" t="inlineStr">
        <is>
          <t>Receipt</t>
        </is>
      </c>
      <c r="J89" s="43" t="n">
        <v>0</v>
      </c>
      <c r="K89" s="43" t="n">
        <v>25.67</v>
      </c>
      <c r="L89" s="43" t="n">
        <v>25.67</v>
      </c>
      <c r="M89" s="43" t="n">
        <v>-9364726.17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IN INTDEAL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4" t="n">
        <v>46134</v>
      </c>
    </row>
    <row r="90">
      <c r="A90" s="14" t="n">
        <v>89</v>
      </c>
      <c r="B90" s="14" t="inlineStr">
        <is>
          <t>273.pdf</t>
        </is>
      </c>
      <c r="C90" s="44" t="n">
        <v>46113</v>
      </c>
      <c r="D90" s="44" t="n">
        <v>46142</v>
      </c>
      <c r="E90" s="44" t="n">
        <v>46134</v>
      </c>
      <c r="F90" s="44" t="n">
        <v>46134</v>
      </c>
      <c r="G90" s="16" t="inlineStr">
        <is>
          <t>BY CASH BY CASH</t>
        </is>
      </c>
      <c r="H90" s="14" t="str"/>
      <c r="I90" s="14" t="inlineStr">
        <is>
          <t>Receipt</t>
        </is>
      </c>
      <c r="J90" s="43" t="n">
        <v>0</v>
      </c>
      <c r="K90" s="43" t="n">
        <v>609000</v>
      </c>
      <c r="L90" s="43" t="n">
        <v>609000</v>
      </c>
      <c r="M90" s="43" t="n">
        <v>-8755726.17</v>
      </c>
      <c r="N90" s="14" t="inlineStr">
        <is>
          <t>Cash; High Transaction; Recurring Transaction</t>
        </is>
      </c>
      <c r="O90" s="14" t="inlineStr">
        <is>
          <t>Yes</t>
        </is>
      </c>
      <c r="P90" s="14" t="inlineStr">
        <is>
          <t>BY CASH BY CASH</t>
        </is>
      </c>
      <c r="Q90" s="14" t="n">
        <v>1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4" t="n">
        <v>46134</v>
      </c>
    </row>
    <row r="91">
      <c r="A91" s="14" t="n">
        <v>90</v>
      </c>
      <c r="B91" s="14" t="inlineStr">
        <is>
          <t>273.pdf</t>
        </is>
      </c>
      <c r="C91" s="44" t="n">
        <v>46113</v>
      </c>
      <c r="D91" s="44" t="n">
        <v>46142</v>
      </c>
      <c r="E91" s="44" t="n">
        <v>46134</v>
      </c>
      <c r="F91" s="44" t="n">
        <v>46134</v>
      </c>
      <c r="G91" s="16" t="inlineStr">
        <is>
          <t>EBANK:WIB/1505 EBANK:WIB/1505171210/Edfs</t>
        </is>
      </c>
      <c r="H91" s="14" t="str"/>
      <c r="I91" s="14" t="inlineStr">
        <is>
          <t>Receipt</t>
        </is>
      </c>
      <c r="J91" s="43" t="n">
        <v>0</v>
      </c>
      <c r="K91" s="43" t="n">
        <v>356256.8</v>
      </c>
      <c r="L91" s="43" t="n">
        <v>356256.8</v>
      </c>
      <c r="M91" s="43" t="n">
        <v>-8399469.369999999</v>
      </c>
      <c r="N91" s="14" t="inlineStr">
        <is>
          <t>High Transaction; Recurring Transaction</t>
        </is>
      </c>
      <c r="O91" s="14" t="inlineStr">
        <is>
          <t>Yes</t>
        </is>
      </c>
      <c r="P91" s="14" t="inlineStr">
        <is>
          <t>EBANKWIB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4" t="n">
        <v>46134</v>
      </c>
    </row>
    <row r="92">
      <c r="A92" s="14" t="n">
        <v>91</v>
      </c>
      <c r="B92" s="14" t="inlineStr">
        <is>
          <t>273.pdf</t>
        </is>
      </c>
      <c r="C92" s="44" t="n">
        <v>46113</v>
      </c>
      <c r="D92" s="44" t="n">
        <v>46142</v>
      </c>
      <c r="E92" s="44" t="n">
        <v>46134</v>
      </c>
      <c r="F92" s="44" t="n">
        <v>46134</v>
      </c>
      <c r="G92" s="16" t="inlineStr">
        <is>
          <t>RTGS-BARBR5202 RTGS-BARBR52026042200989175-HINDUSTAN PETROLEUM CO</t>
        </is>
      </c>
      <c r="H92" s="14" t="str"/>
      <c r="I92" s="14" t="inlineStr">
        <is>
          <t>Payment</t>
        </is>
      </c>
      <c r="J92" s="43" t="n">
        <v>1600530</v>
      </c>
      <c r="K92" s="43" t="n">
        <v>0</v>
      </c>
      <c r="L92" s="43" t="n">
        <v>1600530</v>
      </c>
      <c r="M92" s="43" t="n">
        <v>-9999999.369999999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BARBR RTGS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4" t="n">
        <v>46134</v>
      </c>
    </row>
    <row r="93">
      <c r="A93" s="14" t="n">
        <v>92</v>
      </c>
      <c r="B93" s="14" t="inlineStr">
        <is>
          <t>273.pdf</t>
        </is>
      </c>
      <c r="C93" s="44" t="n">
        <v>46113</v>
      </c>
      <c r="D93" s="44" t="n">
        <v>46142</v>
      </c>
      <c r="E93" s="44" t="n">
        <v>46134</v>
      </c>
      <c r="F93" s="44" t="n">
        <v>46134</v>
      </c>
      <c r="G93" s="16" t="inlineStr">
        <is>
          <t>EBANK:WIB/1505 EBANK:WIB/1505187993/Edfs</t>
        </is>
      </c>
      <c r="H93" s="14" t="str"/>
      <c r="I93" s="14" t="inlineStr">
        <is>
          <t>Receipt</t>
        </is>
      </c>
      <c r="J93" s="43" t="n">
        <v>0</v>
      </c>
      <c r="K93" s="43" t="n">
        <v>50000</v>
      </c>
      <c r="L93" s="43" t="n">
        <v>50000</v>
      </c>
      <c r="M93" s="43" t="n">
        <v>-9949999.369999999</v>
      </c>
      <c r="N93" s="14" t="inlineStr">
        <is>
          <t>Recurring Transaction</t>
        </is>
      </c>
      <c r="O93" s="14" t="inlineStr">
        <is>
          <t>Yes</t>
        </is>
      </c>
      <c r="P93" s="14" t="inlineStr">
        <is>
          <t>EBANKWIB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4" t="n">
        <v>46134</v>
      </c>
    </row>
    <row r="94">
      <c r="A94" s="14" t="n">
        <v>93</v>
      </c>
      <c r="B94" s="14" t="inlineStr">
        <is>
          <t>273.pdf</t>
        </is>
      </c>
      <c r="C94" s="44" t="n">
        <v>46113</v>
      </c>
      <c r="D94" s="44" t="n">
        <v>46142</v>
      </c>
      <c r="E94" s="44" t="n">
        <v>46135</v>
      </c>
      <c r="F94" s="44" t="n">
        <v>46135</v>
      </c>
      <c r="G94" s="16" t="inlineStr">
        <is>
          <t>EBANK:WIB/1505 EBANK:WIB/1505193929/Edfs</t>
        </is>
      </c>
      <c r="H94" s="14" t="str"/>
      <c r="I94" s="14" t="inlineStr">
        <is>
          <t>Receipt</t>
        </is>
      </c>
      <c r="J94" s="43" t="n">
        <v>0</v>
      </c>
      <c r="K94" s="43" t="n">
        <v>224683</v>
      </c>
      <c r="L94" s="43" t="n">
        <v>224683</v>
      </c>
      <c r="M94" s="43" t="n">
        <v>-9725316.369999999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EBANKWIB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4" t="n">
        <v>46135</v>
      </c>
    </row>
    <row r="95">
      <c r="A95" s="14" t="n">
        <v>94</v>
      </c>
      <c r="B95" s="14" t="inlineStr">
        <is>
          <t>273.pdf</t>
        </is>
      </c>
      <c r="C95" s="44" t="n">
        <v>46113</v>
      </c>
      <c r="D95" s="44" t="n">
        <v>46142</v>
      </c>
      <c r="E95" s="44" t="n">
        <v>46135</v>
      </c>
      <c r="F95" s="44" t="n">
        <v>46135</v>
      </c>
      <c r="G95" s="16" t="inlineStr">
        <is>
          <t>EBANK:WIB/1505 EBANK:WIB/1505194002/Edfs</t>
        </is>
      </c>
      <c r="H95" s="14" t="str"/>
      <c r="I95" s="14" t="inlineStr">
        <is>
          <t>Receipt</t>
        </is>
      </c>
      <c r="J95" s="43" t="n">
        <v>0</v>
      </c>
      <c r="K95" s="43" t="n">
        <v>82795.52</v>
      </c>
      <c r="L95" s="43" t="n">
        <v>82795.52</v>
      </c>
      <c r="M95" s="43" t="n">
        <v>-9642520.85</v>
      </c>
      <c r="N95" s="14" t="inlineStr">
        <is>
          <t>Recurring Transaction</t>
        </is>
      </c>
      <c r="O95" s="14" t="inlineStr">
        <is>
          <t>Yes</t>
        </is>
      </c>
      <c r="P95" s="14" t="inlineStr">
        <is>
          <t>EBANKWIB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4" t="n">
        <v>46135</v>
      </c>
    </row>
    <row r="96">
      <c r="A96" s="14" t="n">
        <v>95</v>
      </c>
      <c r="B96" s="14" t="inlineStr">
        <is>
          <t>273.pdf</t>
        </is>
      </c>
      <c r="C96" s="44" t="n">
        <v>46113</v>
      </c>
      <c r="D96" s="44" t="n">
        <v>46142</v>
      </c>
      <c r="E96" s="44" t="n">
        <v>46135</v>
      </c>
      <c r="F96" s="44" t="n">
        <v>46135</v>
      </c>
      <c r="G96" s="16" t="inlineStr">
        <is>
          <t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96" s="14" t="str"/>
      <c r="I96" s="14" t="inlineStr">
        <is>
          <t>Payment</t>
        </is>
      </c>
      <c r="J96" s="43" t="n">
        <v>16.71</v>
      </c>
      <c r="K96" s="43" t="n">
        <v>0</v>
      </c>
      <c r="L96" s="43" t="n">
        <v>16.71</v>
      </c>
      <c r="M96" s="43" t="n">
        <v>-9642537.560000001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PAGE TOTAL   DR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4" t="n">
        <v>46135</v>
      </c>
    </row>
    <row r="97">
      <c r="A97" s="14" t="n">
        <v>96</v>
      </c>
      <c r="B97" s="14" t="inlineStr">
        <is>
          <t>273.pdf</t>
        </is>
      </c>
      <c r="C97" s="44" t="n">
        <v>46113</v>
      </c>
      <c r="D97" s="44" t="n">
        <v>46142</v>
      </c>
      <c r="E97" s="44" t="n">
        <v>46135</v>
      </c>
      <c r="F97" s="44" t="n">
        <v>46135</v>
      </c>
      <c r="G97" s="16" t="inlineStr">
        <is>
          <t>EBANK:WIB/1505 EBANK:WIB/1505205959/Edfs</t>
        </is>
      </c>
      <c r="H97" s="14" t="str"/>
      <c r="I97" s="14" t="inlineStr">
        <is>
          <t>Receipt</t>
        </is>
      </c>
      <c r="J97" s="43" t="n">
        <v>0</v>
      </c>
      <c r="K97" s="43" t="n">
        <v>269000</v>
      </c>
      <c r="L97" s="43" t="n">
        <v>269000</v>
      </c>
      <c r="M97" s="43" t="n">
        <v>-9373537.560000001</v>
      </c>
      <c r="N97" s="14" t="inlineStr">
        <is>
          <t>High Transaction; Recurring Transaction</t>
        </is>
      </c>
      <c r="O97" s="14" t="inlineStr">
        <is>
          <t>Yes</t>
        </is>
      </c>
      <c r="P97" s="14" t="inlineStr">
        <is>
          <t>EBANKWIB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4" t="n">
        <v>46135</v>
      </c>
    </row>
    <row r="98">
      <c r="A98" s="14" t="n">
        <v>97</v>
      </c>
      <c r="B98" s="14" t="inlineStr">
        <is>
          <t>273.pdf</t>
        </is>
      </c>
      <c r="C98" s="44" t="n">
        <v>46113</v>
      </c>
      <c r="D98" s="44" t="n">
        <v>46142</v>
      </c>
      <c r="E98" s="44" t="n">
        <v>46135</v>
      </c>
      <c r="F98" s="44" t="n">
        <v>46135</v>
      </c>
      <c r="G98" s="16" t="inlineStr">
        <is>
          <t>RTGS-BARBR5202 RTGS-BARBR52026042300993365-HINDUSTAN PETROLEUM CO</t>
        </is>
      </c>
      <c r="H98" s="14" t="str"/>
      <c r="I98" s="14" t="inlineStr">
        <is>
          <t>Payment</t>
        </is>
      </c>
      <c r="J98" s="43" t="n">
        <v>428234.82</v>
      </c>
      <c r="K98" s="43" t="n">
        <v>0</v>
      </c>
      <c r="L98" s="43" t="n">
        <v>428234.82</v>
      </c>
      <c r="M98" s="43" t="n">
        <v>-9801772.380000001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BARBR RTGS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4" t="n">
        <v>46135</v>
      </c>
    </row>
    <row r="99">
      <c r="A99" s="14" t="n">
        <v>98</v>
      </c>
      <c r="B99" s="14" t="inlineStr">
        <is>
          <t>273.pdf</t>
        </is>
      </c>
      <c r="C99" s="44" t="n">
        <v>46113</v>
      </c>
      <c r="D99" s="44" t="n">
        <v>46142</v>
      </c>
      <c r="E99" s="44" t="n">
        <v>46135</v>
      </c>
      <c r="F99" s="44" t="n">
        <v>46135</v>
      </c>
      <c r="G99" s="16" t="inlineStr">
        <is>
          <t>BY CASH BY CASH</t>
        </is>
      </c>
      <c r="H99" s="14" t="str"/>
      <c r="I99" s="14" t="inlineStr">
        <is>
          <t>Receipt</t>
        </is>
      </c>
      <c r="J99" s="43" t="n">
        <v>0</v>
      </c>
      <c r="K99" s="43" t="n">
        <v>253500</v>
      </c>
      <c r="L99" s="43" t="n">
        <v>253500</v>
      </c>
      <c r="M99" s="43" t="n">
        <v>-9548272.380000001</v>
      </c>
      <c r="N99" s="14" t="inlineStr">
        <is>
          <t>Cash; High Transaction; Recurring Transaction</t>
        </is>
      </c>
      <c r="O99" s="14" t="inlineStr">
        <is>
          <t>Yes</t>
        </is>
      </c>
      <c r="P99" s="14" t="inlineStr">
        <is>
          <t>BY CASH BY CASH</t>
        </is>
      </c>
      <c r="Q99" s="14" t="n">
        <v>1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4" t="n">
        <v>46135</v>
      </c>
    </row>
    <row r="100">
      <c r="A100" s="14" t="n">
        <v>99</v>
      </c>
      <c r="B100" s="14" t="inlineStr">
        <is>
          <t>273.pdf</t>
        </is>
      </c>
      <c r="C100" s="44" t="n">
        <v>46113</v>
      </c>
      <c r="D100" s="44" t="n">
        <v>46142</v>
      </c>
      <c r="E100" s="44" t="n">
        <v>46135</v>
      </c>
      <c r="F100" s="44" t="n">
        <v>46135</v>
      </c>
      <c r="G100" s="16" t="inlineStr">
        <is>
          <t>RTGS-BARBR5202 RTGS-BARBR52026042300772587-HINDUSTAN PETROLEUM CO</t>
        </is>
      </c>
      <c r="H100" s="14" t="str"/>
      <c r="I100" s="14" t="inlineStr">
        <is>
          <t>Payment</t>
        </is>
      </c>
      <c r="J100" s="43" t="n">
        <v>451000</v>
      </c>
      <c r="K100" s="43" t="n">
        <v>0</v>
      </c>
      <c r="L100" s="43" t="n">
        <v>451000</v>
      </c>
      <c r="M100" s="43" t="n">
        <v>-9999272.380000001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BARBR RTGS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4" t="n">
        <v>46135</v>
      </c>
    </row>
    <row r="101">
      <c r="A101" s="14" t="n">
        <v>100</v>
      </c>
      <c r="B101" s="14" t="inlineStr">
        <is>
          <t>273.pdf</t>
        </is>
      </c>
      <c r="C101" s="44" t="n">
        <v>46113</v>
      </c>
      <c r="D101" s="44" t="n">
        <v>46142</v>
      </c>
      <c r="E101" s="44" t="n">
        <v>46135</v>
      </c>
      <c r="F101" s="44" t="n">
        <v>46135</v>
      </c>
      <c r="G101" s="16" t="inlineStr">
        <is>
          <t>EBANK:WIB/1505 EBANK:WIB/1505315722/Edfs</t>
        </is>
      </c>
      <c r="H101" s="14" t="str"/>
      <c r="I101" s="14" t="inlineStr">
        <is>
          <t>Receipt</t>
        </is>
      </c>
      <c r="J101" s="43" t="n">
        <v>0</v>
      </c>
      <c r="K101" s="43" t="n">
        <v>222635.35</v>
      </c>
      <c r="L101" s="43" t="n">
        <v>222635.35</v>
      </c>
      <c r="M101" s="43" t="n">
        <v>-9776637.029999999</v>
      </c>
      <c r="N101" s="14" t="inlineStr">
        <is>
          <t>High Transaction; Recurring Transaction</t>
        </is>
      </c>
      <c r="O101" s="14" t="inlineStr">
        <is>
          <t>Yes</t>
        </is>
      </c>
      <c r="P101" s="14" t="inlineStr">
        <is>
          <t>EBANKWIB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4" t="n">
        <v>46135</v>
      </c>
    </row>
    <row r="102">
      <c r="A102" s="14" t="n">
        <v>101</v>
      </c>
      <c r="B102" s="14" t="inlineStr">
        <is>
          <t>273.pdf</t>
        </is>
      </c>
      <c r="C102" s="44" t="n">
        <v>46113</v>
      </c>
      <c r="D102" s="44" t="n">
        <v>46142</v>
      </c>
      <c r="E102" s="44" t="n">
        <v>46136</v>
      </c>
      <c r="F102" s="44" t="n">
        <v>46136</v>
      </c>
      <c r="G102" s="16" t="inlineStr">
        <is>
          <t>EBANK:WIB/1505 EBANK:WIB/1505337172/Edfs</t>
        </is>
      </c>
      <c r="H102" s="14" t="str"/>
      <c r="I102" s="14" t="inlineStr">
        <is>
          <t>Receipt</t>
        </is>
      </c>
      <c r="J102" s="43" t="n">
        <v>0</v>
      </c>
      <c r="K102" s="43" t="n">
        <v>400403</v>
      </c>
      <c r="L102" s="43" t="n">
        <v>400403</v>
      </c>
      <c r="M102" s="43" t="n">
        <v>-9376234.029999999</v>
      </c>
      <c r="N102" s="14" t="inlineStr">
        <is>
          <t>High Transaction; Recurring Transaction</t>
        </is>
      </c>
      <c r="O102" s="14" t="inlineStr">
        <is>
          <t>Yes</t>
        </is>
      </c>
      <c r="P102" s="14" t="inlineStr">
        <is>
          <t>EBANKWIB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4" t="n">
        <v>46136</v>
      </c>
    </row>
    <row r="103">
      <c r="A103" s="14" t="n">
        <v>102</v>
      </c>
      <c r="B103" s="14" t="inlineStr">
        <is>
          <t>273.pdf</t>
        </is>
      </c>
      <c r="C103" s="44" t="n">
        <v>46113</v>
      </c>
      <c r="D103" s="44" t="n">
        <v>46142</v>
      </c>
      <c r="E103" s="44" t="n">
        <v>46136</v>
      </c>
      <c r="F103" s="44" t="n">
        <v>46136</v>
      </c>
      <c r="G103" s="16" t="inlineStr">
        <is>
          <t>BY CASH BY CASH</t>
        </is>
      </c>
      <c r="H103" s="14" t="str"/>
      <c r="I103" s="14" t="inlineStr">
        <is>
          <t>Receipt</t>
        </is>
      </c>
      <c r="J103" s="43" t="n">
        <v>0</v>
      </c>
      <c r="K103" s="43" t="n">
        <v>281000</v>
      </c>
      <c r="L103" s="43" t="n">
        <v>281000</v>
      </c>
      <c r="M103" s="43" t="n">
        <v>-9095234.029999999</v>
      </c>
      <c r="N103" s="14" t="inlineStr">
        <is>
          <t>Cash; High Transaction; Recurring Transaction</t>
        </is>
      </c>
      <c r="O103" s="14" t="inlineStr">
        <is>
          <t>Yes</t>
        </is>
      </c>
      <c r="P103" s="14" t="inlineStr">
        <is>
          <t>BY CASH BY CASH</t>
        </is>
      </c>
      <c r="Q103" s="14" t="n">
        <v>1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4" t="n">
        <v>46136</v>
      </c>
    </row>
    <row r="104">
      <c r="A104" s="14" t="n">
        <v>103</v>
      </c>
      <c r="B104" s="14" t="inlineStr">
        <is>
          <t>273.pdf</t>
        </is>
      </c>
      <c r="C104" s="44" t="n">
        <v>46113</v>
      </c>
      <c r="D104" s="44" t="n">
        <v>46142</v>
      </c>
      <c r="E104" s="44" t="n">
        <v>46136</v>
      </c>
      <c r="F104" s="44" t="n">
        <v>46136</v>
      </c>
      <c r="G104" s="16" t="inlineStr">
        <is>
          <t>VIRARW-THANE/B BY CASH</t>
        </is>
      </c>
      <c r="H104" s="14" t="str"/>
      <c r="I104" s="14" t="inlineStr">
        <is>
          <t>Receipt</t>
        </is>
      </c>
      <c r="J104" s="43" t="n">
        <v>0</v>
      </c>
      <c r="K104" s="43" t="n">
        <v>250000</v>
      </c>
      <c r="L104" s="43" t="n">
        <v>250000</v>
      </c>
      <c r="M104" s="43" t="n">
        <v>-8845234.029999999</v>
      </c>
      <c r="N104" s="14" t="inlineStr">
        <is>
          <t>Cash; High Transaction; Recurring Transaction</t>
        </is>
      </c>
      <c r="O104" s="14" t="inlineStr">
        <is>
          <t>Yes</t>
        </is>
      </c>
      <c r="P104" s="14" t="inlineStr">
        <is>
          <t>B BY CASH</t>
        </is>
      </c>
      <c r="Q104" s="14" t="n">
        <v>1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4" t="n">
        <v>46136</v>
      </c>
    </row>
    <row r="105">
      <c r="A105" s="14" t="n">
        <v>104</v>
      </c>
      <c r="B105" s="14" t="inlineStr">
        <is>
          <t>273.pdf</t>
        </is>
      </c>
      <c r="C105" s="44" t="n">
        <v>46113</v>
      </c>
      <c r="D105" s="44" t="n">
        <v>46142</v>
      </c>
      <c r="E105" s="44" t="n">
        <v>46136</v>
      </c>
      <c r="F105" s="44" t="n">
        <v>46136</v>
      </c>
      <c r="G105" s="16" t="inlineStr">
        <is>
          <t>BAGBAH-BAGBAHR INT260410DEAL6330158</t>
        </is>
      </c>
      <c r="H105" s="14" t="str"/>
      <c r="I105" s="14" t="inlineStr">
        <is>
          <t>Payment</t>
        </is>
      </c>
      <c r="J105" s="43" t="n">
        <v>5712.82</v>
      </c>
      <c r="K105" s="43" t="n">
        <v>0</v>
      </c>
      <c r="L105" s="43" t="n">
        <v>5712.82</v>
      </c>
      <c r="M105" s="43" t="n">
        <v>-8850946.85</v>
      </c>
      <c r="N105" s="14" t="inlineStr">
        <is>
          <t>Other</t>
        </is>
      </c>
      <c r="O105" s="14" t="inlineStr">
        <is>
          <t>No</t>
        </is>
      </c>
      <c r="P105" s="14" t="inlineStr">
        <is>
          <t>BAGBAHR INTDEAL</t>
        </is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4" t="n">
        <v>46136</v>
      </c>
    </row>
    <row r="106">
      <c r="A106" s="14" t="n">
        <v>105</v>
      </c>
      <c r="B106" s="14" t="inlineStr">
        <is>
          <t>273.pdf</t>
        </is>
      </c>
      <c r="C106" s="44" t="n">
        <v>46113</v>
      </c>
      <c r="D106" s="44" t="n">
        <v>46142</v>
      </c>
      <c r="E106" s="44" t="n">
        <v>46136</v>
      </c>
      <c r="F106" s="44" t="n">
        <v>46136</v>
      </c>
      <c r="G106" s="16" t="inlineStr">
        <is>
          <t>VJARDI-ARDI,KA INT260410DEAL6333836</t>
        </is>
      </c>
      <c r="H106" s="14" t="str"/>
      <c r="I106" s="14" t="inlineStr">
        <is>
          <t>Payment</t>
        </is>
      </c>
      <c r="J106" s="43" t="n">
        <v>67.48</v>
      </c>
      <c r="K106" s="43" t="n">
        <v>0</v>
      </c>
      <c r="L106" s="43" t="n">
        <v>67.48</v>
      </c>
      <c r="M106" s="43" t="n">
        <v>-8851014.33</v>
      </c>
      <c r="N106" s="14" t="inlineStr">
        <is>
          <t>Other</t>
        </is>
      </c>
      <c r="O106" s="14" t="inlineStr">
        <is>
          <t>No</t>
        </is>
      </c>
      <c r="P106" s="14" t="inlineStr">
        <is>
          <t>ARDIKA INTDEAL</t>
        </is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4" t="n">
        <v>46136</v>
      </c>
    </row>
    <row r="107">
      <c r="A107" s="14" t="n">
        <v>106</v>
      </c>
      <c r="B107" s="14" t="inlineStr">
        <is>
          <t>273.pdf</t>
        </is>
      </c>
      <c r="C107" s="44" t="n">
        <v>46113</v>
      </c>
      <c r="D107" s="44" t="n">
        <v>46142</v>
      </c>
      <c r="E107" s="44" t="n">
        <v>46136</v>
      </c>
      <c r="F107" s="44" t="n">
        <v>46136</v>
      </c>
      <c r="G107" s="16" t="inlineStr">
        <is>
          <t>RTGS-BARBR5202 RTGS-BARBR52026042400851908-HINDUSTAN PETROLEUM CO</t>
        </is>
      </c>
      <c r="H107" s="14" t="str"/>
      <c r="I107" s="14" t="inlineStr">
        <is>
          <t>Payment</t>
        </is>
      </c>
      <c r="J107" s="43" t="n">
        <v>1148985</v>
      </c>
      <c r="K107" s="43" t="n">
        <v>0</v>
      </c>
      <c r="L107" s="43" t="n">
        <v>1148985</v>
      </c>
      <c r="M107" s="43" t="n">
        <v>-9999999.33</v>
      </c>
      <c r="N107" s="14" t="inlineStr">
        <is>
          <t>High Transaction; Recurring Transaction</t>
        </is>
      </c>
      <c r="O107" s="14" t="inlineStr">
        <is>
          <t>Yes</t>
        </is>
      </c>
      <c r="P107" s="14" t="inlineStr">
        <is>
          <t>BARBR RTGS</t>
        </is>
      </c>
      <c r="Q107" s="14" t="n">
        <v>0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4" t="n">
        <v>46136</v>
      </c>
    </row>
    <row r="108">
      <c r="A108" s="14" t="n">
        <v>107</v>
      </c>
      <c r="B108" s="14" t="inlineStr">
        <is>
          <t>273.pdf</t>
        </is>
      </c>
      <c r="C108" s="44" t="n">
        <v>46113</v>
      </c>
      <c r="D108" s="44" t="n">
        <v>46142</v>
      </c>
      <c r="E108" s="44" t="n">
        <v>46136</v>
      </c>
      <c r="F108" s="44" t="n">
        <v>46136</v>
      </c>
      <c r="G108" s="16" t="inlineStr">
        <is>
          <t>EBANK:WIB/1505 EBANK:WIB/1505452714/Edfs https://cbdrpt101.bankofbaroda.co.in:22000/finbranch/arjspmorph/INFENG/tran_rpt.jsp?... 04-05-2026</t>
        </is>
      </c>
      <c r="H108" s="14" t="str"/>
      <c r="I108" s="14" t="inlineStr">
        <is>
          <t>Receipt</t>
        </is>
      </c>
      <c r="J108" s="43" t="n">
        <v>0</v>
      </c>
      <c r="K108" s="43" t="n">
        <v>115069</v>
      </c>
      <c r="L108" s="43" t="n">
        <v>115069</v>
      </c>
      <c r="M108" s="43" t="n">
        <v>-9884930.33</v>
      </c>
      <c r="N108" s="14" t="inlineStr">
        <is>
          <t>High Transaction; Recurring Transaction</t>
        </is>
      </c>
      <c r="O108" s="14" t="inlineStr">
        <is>
          <t>Yes</t>
        </is>
      </c>
      <c r="P108" s="14" t="inlineStr">
        <is>
          <t>EBANKWIB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1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4" t="n">
        <v>46136</v>
      </c>
    </row>
    <row r="109">
      <c r="A109" s="14" t="n">
        <v>108</v>
      </c>
      <c r="B109" s="14" t="inlineStr">
        <is>
          <t>273.pdf</t>
        </is>
      </c>
      <c r="C109" s="44" t="n">
        <v>46113</v>
      </c>
      <c r="D109" s="44" t="n">
        <v>46142</v>
      </c>
      <c r="E109" s="44" t="n">
        <v>46136</v>
      </c>
      <c r="F109" s="44" t="n">
        <v>46136</v>
      </c>
      <c r="G109" s="16" t="inlineStr">
        <is>
          <t>NEFT-BARBY2611 NEFT-BARBY26114821805-HINDUSTAN PETROLEUM CORPORAT</t>
        </is>
      </c>
      <c r="H109" s="14" t="str"/>
      <c r="I109" s="14" t="inlineStr">
        <is>
          <t>Payment</t>
        </is>
      </c>
      <c r="J109" s="43" t="n">
        <v>115069</v>
      </c>
      <c r="K109" s="43" t="n">
        <v>0</v>
      </c>
      <c r="L109" s="43" t="n">
        <v>115069</v>
      </c>
      <c r="M109" s="43" t="n">
        <v>-9999999.33</v>
      </c>
      <c r="N109" s="14" t="inlineStr">
        <is>
          <t>High Transaction</t>
        </is>
      </c>
      <c r="O109" s="14" t="inlineStr">
        <is>
          <t>No</t>
        </is>
      </c>
      <c r="P109" s="14" t="inlineStr">
        <is>
          <t>BARBY NEFT</t>
        </is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4" t="n">
        <v>46136</v>
      </c>
    </row>
    <row r="110">
      <c r="A110" s="14" t="n">
        <v>109</v>
      </c>
      <c r="B110" s="14" t="inlineStr">
        <is>
          <t>273.pdf</t>
        </is>
      </c>
      <c r="C110" s="44" t="n">
        <v>46113</v>
      </c>
      <c r="D110" s="44" t="n">
        <v>46142</v>
      </c>
      <c r="E110" s="44" t="n">
        <v>46137</v>
      </c>
      <c r="F110" s="44" t="n">
        <v>46137</v>
      </c>
      <c r="G110" s="16" t="inlineStr">
        <is>
          <t>EBANK:WIB/1505 EBANK:WIB/1505471306/Edfs</t>
        </is>
      </c>
      <c r="H110" s="14" t="str"/>
      <c r="I110" s="14" t="inlineStr">
        <is>
          <t>Receipt</t>
        </is>
      </c>
      <c r="J110" s="43" t="n">
        <v>0</v>
      </c>
      <c r="K110" s="43" t="n">
        <v>273418</v>
      </c>
      <c r="L110" s="43" t="n">
        <v>273418</v>
      </c>
      <c r="M110" s="43" t="n">
        <v>-9726581.33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EBANKWIB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4" t="n">
        <v>46137</v>
      </c>
    </row>
    <row r="111">
      <c r="A111" s="14" t="n">
        <v>110</v>
      </c>
      <c r="B111" s="14" t="inlineStr">
        <is>
          <t>273.pdf</t>
        </is>
      </c>
      <c r="C111" s="44" t="n">
        <v>46113</v>
      </c>
      <c r="D111" s="44" t="n">
        <v>46142</v>
      </c>
      <c r="E111" s="44" t="n">
        <v>46137</v>
      </c>
      <c r="F111" s="44" t="n">
        <v>46137</v>
      </c>
      <c r="G111" s="16" t="inlineStr">
        <is>
          <t>EBANK:WIB/1505 EBANK:WIB/1505471386/Edfs</t>
        </is>
      </c>
      <c r="H111" s="14" t="str"/>
      <c r="I111" s="14" t="inlineStr">
        <is>
          <t>Receipt</t>
        </is>
      </c>
      <c r="J111" s="43" t="n">
        <v>0</v>
      </c>
      <c r="K111" s="43" t="n">
        <v>72545.92999999999</v>
      </c>
      <c r="L111" s="43" t="n">
        <v>72545.92999999999</v>
      </c>
      <c r="M111" s="43" t="n">
        <v>-9654035.4</v>
      </c>
      <c r="N111" s="14" t="inlineStr">
        <is>
          <t>Recurring Transaction</t>
        </is>
      </c>
      <c r="O111" s="14" t="inlineStr">
        <is>
          <t>Yes</t>
        </is>
      </c>
      <c r="P111" s="14" t="inlineStr">
        <is>
          <t>EBANKWIB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4" t="n">
        <v>46137</v>
      </c>
    </row>
    <row r="112">
      <c r="A112" s="14" t="n">
        <v>111</v>
      </c>
      <c r="B112" s="14" t="inlineStr">
        <is>
          <t>273.pdf</t>
        </is>
      </c>
      <c r="C112" s="44" t="n">
        <v>46113</v>
      </c>
      <c r="D112" s="44" t="n">
        <v>46142</v>
      </c>
      <c r="E112" s="44" t="n">
        <v>46137</v>
      </c>
      <c r="F112" s="44" t="n">
        <v>46137</v>
      </c>
      <c r="G112" s="16" t="inlineStr">
        <is>
          <t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12" s="14" t="str"/>
      <c r="I112" s="14" t="inlineStr">
        <is>
          <t>Payment</t>
        </is>
      </c>
      <c r="J112" s="43" t="n">
        <v>329650</v>
      </c>
      <c r="K112" s="43" t="n">
        <v>0</v>
      </c>
      <c r="L112" s="43" t="n">
        <v>329650</v>
      </c>
      <c r="M112" s="43" t="n">
        <v>-9983685.4</v>
      </c>
      <c r="N112" s="14" t="inlineStr">
        <is>
          <t>High Transaction; Recurring Transaction</t>
        </is>
      </c>
      <c r="O112" s="14" t="inlineStr">
        <is>
          <t>Yes</t>
        </is>
      </c>
      <c r="P112" s="14" t="inlineStr">
        <is>
          <t>PAGE TOTAL   DR</t>
        </is>
      </c>
      <c r="Q112" s="14" t="n">
        <v>0</v>
      </c>
      <c r="R112" s="14" t="n">
        <v>1</v>
      </c>
      <c r="S112" s="14" t="n">
        <v>0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4" t="n">
        <v>46137</v>
      </c>
    </row>
    <row r="113">
      <c r="A113" s="14" t="n">
        <v>112</v>
      </c>
      <c r="B113" s="14" t="inlineStr">
        <is>
          <t>273.pdf</t>
        </is>
      </c>
      <c r="C113" s="44" t="n">
        <v>46113</v>
      </c>
      <c r="D113" s="44" t="n">
        <v>46142</v>
      </c>
      <c r="E113" s="44" t="n">
        <v>46137</v>
      </c>
      <c r="F113" s="44" t="n">
        <v>46137</v>
      </c>
      <c r="G113" s="16" t="inlineStr">
        <is>
          <t>EBANK:WIB/1505 EBANK:WIB/1505585919/Edfs</t>
        </is>
      </c>
      <c r="H113" s="14" t="str"/>
      <c r="I113" s="14" t="inlineStr">
        <is>
          <t>Receipt</t>
        </is>
      </c>
      <c r="J113" s="43" t="n">
        <v>0</v>
      </c>
      <c r="K113" s="43" t="n">
        <v>172247.15</v>
      </c>
      <c r="L113" s="43" t="n">
        <v>172247.15</v>
      </c>
      <c r="M113" s="43" t="n">
        <v>-9811438.25</v>
      </c>
      <c r="N113" s="14" t="inlineStr">
        <is>
          <t>High Transaction; Recurring Transaction</t>
        </is>
      </c>
      <c r="O113" s="14" t="inlineStr">
        <is>
          <t>Yes</t>
        </is>
      </c>
      <c r="P113" s="14" t="inlineStr">
        <is>
          <t>EBANKWIB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4" t="n">
        <v>46137</v>
      </c>
    </row>
    <row r="114">
      <c r="A114" s="14" t="n">
        <v>113</v>
      </c>
      <c r="B114" s="14" t="inlineStr">
        <is>
          <t>273.pdf</t>
        </is>
      </c>
      <c r="C114" s="44" t="n">
        <v>46113</v>
      </c>
      <c r="D114" s="44" t="n">
        <v>46142</v>
      </c>
      <c r="E114" s="44" t="n">
        <v>46138</v>
      </c>
      <c r="F114" s="44" t="n">
        <v>46138</v>
      </c>
      <c r="G114" s="16" t="inlineStr">
        <is>
          <t>EBANK:WIB/1505 EBANK:WIB/1505590344/Edfs</t>
        </is>
      </c>
      <c r="H114" s="14" t="str"/>
      <c r="I114" s="14" t="inlineStr">
        <is>
          <t>Receipt</t>
        </is>
      </c>
      <c r="J114" s="43" t="n">
        <v>0</v>
      </c>
      <c r="K114" s="43" t="n">
        <v>300990.79</v>
      </c>
      <c r="L114" s="43" t="n">
        <v>300990.79</v>
      </c>
      <c r="M114" s="43" t="n">
        <v>-9510447.460000001</v>
      </c>
      <c r="N114" s="14" t="inlineStr">
        <is>
          <t>High Transaction; 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4" t="n">
        <v>46138</v>
      </c>
    </row>
    <row r="115">
      <c r="A115" s="14" t="n">
        <v>114</v>
      </c>
      <c r="B115" s="14" t="inlineStr">
        <is>
          <t>273.pdf</t>
        </is>
      </c>
      <c r="C115" s="44" t="n">
        <v>46113</v>
      </c>
      <c r="D115" s="44" t="n">
        <v>46142</v>
      </c>
      <c r="E115" s="44" t="n">
        <v>46138</v>
      </c>
      <c r="F115" s="44" t="n">
        <v>46138</v>
      </c>
      <c r="G115" s="16" t="inlineStr">
        <is>
          <t>EBANK:WIB/1505 EBANK:WIB/1505633295/Edfs</t>
        </is>
      </c>
      <c r="H115" s="14" t="str"/>
      <c r="I115" s="14" t="inlineStr">
        <is>
          <t>Receipt</t>
        </is>
      </c>
      <c r="J115" s="43" t="n">
        <v>0</v>
      </c>
      <c r="K115" s="43" t="n">
        <v>114728</v>
      </c>
      <c r="L115" s="43" t="n">
        <v>114728</v>
      </c>
      <c r="M115" s="43" t="n">
        <v>-9395719.460000001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EBANKWIB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4" t="n">
        <v>46138</v>
      </c>
    </row>
    <row r="116">
      <c r="A116" s="14" t="n">
        <v>115</v>
      </c>
      <c r="B116" s="14" t="inlineStr">
        <is>
          <t>273.pdf</t>
        </is>
      </c>
      <c r="C116" s="44" t="n">
        <v>46113</v>
      </c>
      <c r="D116" s="44" t="n">
        <v>46142</v>
      </c>
      <c r="E116" s="44" t="n">
        <v>46139</v>
      </c>
      <c r="F116" s="44" t="n">
        <v>46139</v>
      </c>
      <c r="G116" s="16" t="inlineStr">
        <is>
          <t>EBANK:WIB/1505 EBANK:WIB/1505672686/Edfs</t>
        </is>
      </c>
      <c r="H116" s="14" t="str"/>
      <c r="I116" s="14" t="inlineStr">
        <is>
          <t>Receipt</t>
        </is>
      </c>
      <c r="J116" s="43" t="n">
        <v>0</v>
      </c>
      <c r="K116" s="43" t="n">
        <v>460000.8</v>
      </c>
      <c r="L116" s="43" t="n">
        <v>460000.8</v>
      </c>
      <c r="M116" s="43" t="n">
        <v>-8935718.66</v>
      </c>
      <c r="N116" s="14" t="inlineStr">
        <is>
          <t>High Transaction; Recurring Transaction</t>
        </is>
      </c>
      <c r="O116" s="14" t="inlineStr">
        <is>
          <t>Yes</t>
        </is>
      </c>
      <c r="P116" s="14" t="inlineStr">
        <is>
          <t>EBANKWIB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4" t="n">
        <v>46139</v>
      </c>
    </row>
    <row r="117">
      <c r="A117" s="14" t="n">
        <v>116</v>
      </c>
      <c r="B117" s="14" t="inlineStr">
        <is>
          <t>273.pdf</t>
        </is>
      </c>
      <c r="C117" s="44" t="n">
        <v>46113</v>
      </c>
      <c r="D117" s="44" t="n">
        <v>46142</v>
      </c>
      <c r="E117" s="44" t="n">
        <v>46139</v>
      </c>
      <c r="F117" s="44" t="n">
        <v>46139</v>
      </c>
      <c r="G117" s="16" t="inlineStr">
        <is>
          <t>BY CASH BY CASH</t>
        </is>
      </c>
      <c r="H117" s="14" t="str"/>
      <c r="I117" s="14" t="inlineStr">
        <is>
          <t>Receipt</t>
        </is>
      </c>
      <c r="J117" s="43" t="n">
        <v>0</v>
      </c>
      <c r="K117" s="43" t="n">
        <v>774500</v>
      </c>
      <c r="L117" s="43" t="n">
        <v>774500</v>
      </c>
      <c r="M117" s="43" t="n">
        <v>-8161218.66</v>
      </c>
      <c r="N117" s="14" t="inlineStr">
        <is>
          <t>Cash; High Transaction; Recurring Transaction</t>
        </is>
      </c>
      <c r="O117" s="14" t="inlineStr">
        <is>
          <t>Yes</t>
        </is>
      </c>
      <c r="P117" s="14" t="inlineStr">
        <is>
          <t>BY CASH BY CASH</t>
        </is>
      </c>
      <c r="Q117" s="14" t="n">
        <v>1</v>
      </c>
      <c r="R117" s="14" t="n">
        <v>1</v>
      </c>
      <c r="S117" s="14" t="n">
        <v>0</v>
      </c>
      <c r="T117" s="14" t="n">
        <v>0</v>
      </c>
      <c r="U117" s="14" t="n">
        <v>1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4" t="n">
        <v>46139</v>
      </c>
    </row>
    <row r="118">
      <c r="A118" s="14" t="n">
        <v>117</v>
      </c>
      <c r="B118" s="14" t="inlineStr">
        <is>
          <t>273.pdf</t>
        </is>
      </c>
      <c r="C118" s="44" t="n">
        <v>46113</v>
      </c>
      <c r="D118" s="44" t="n">
        <v>46142</v>
      </c>
      <c r="E118" s="44" t="n">
        <v>46139</v>
      </c>
      <c r="F118" s="44" t="n">
        <v>46139</v>
      </c>
      <c r="G118" s="16" t="inlineStr">
        <is>
          <t>DIGITA-MUMBAI/ INT260413DEAL6345818</t>
        </is>
      </c>
      <c r="H118" s="14" t="str"/>
      <c r="I118" s="14" t="inlineStr">
        <is>
          <t>Payment</t>
        </is>
      </c>
      <c r="J118" s="43" t="n">
        <v>5991.69</v>
      </c>
      <c r="K118" s="43" t="n">
        <v>0</v>
      </c>
      <c r="L118" s="43" t="n">
        <v>5991.69</v>
      </c>
      <c r="M118" s="43" t="n">
        <v>-8167210.35</v>
      </c>
      <c r="N118" s="14" t="inlineStr">
        <is>
          <t>Recurring Transaction</t>
        </is>
      </c>
      <c r="O118" s="14" t="inlineStr">
        <is>
          <t>Yes</t>
        </is>
      </c>
      <c r="P118" s="14" t="inlineStr">
        <is>
          <t>DIGITA-MUMBAI/ INT#DEAL#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0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4" t="n">
        <v>46139</v>
      </c>
    </row>
    <row r="119">
      <c r="A119" s="14" t="n">
        <v>118</v>
      </c>
      <c r="B119" s="14" t="inlineStr">
        <is>
          <t>273.pdf</t>
        </is>
      </c>
      <c r="C119" s="44" t="n">
        <v>46113</v>
      </c>
      <c r="D119" s="44" t="n">
        <v>46142</v>
      </c>
      <c r="E119" s="44" t="n">
        <v>46139</v>
      </c>
      <c r="F119" s="44" t="n">
        <v>46139</v>
      </c>
      <c r="G119" s="16" t="inlineStr">
        <is>
          <t>EBANK:WIB/1505 EBANK:WIB/1505752441/Edfs</t>
        </is>
      </c>
      <c r="H119" s="14" t="str"/>
      <c r="I119" s="14" t="inlineStr">
        <is>
          <t>Receipt</t>
        </is>
      </c>
      <c r="J119" s="43" t="n">
        <v>0</v>
      </c>
      <c r="K119" s="43" t="n">
        <v>365005</v>
      </c>
      <c r="L119" s="43" t="n">
        <v>365005</v>
      </c>
      <c r="M119" s="43" t="n">
        <v>-7802205.35</v>
      </c>
      <c r="N119" s="14" t="inlineStr">
        <is>
          <t>High Transaction; Recurring Transaction</t>
        </is>
      </c>
      <c r="O119" s="14" t="inlineStr">
        <is>
          <t>Yes</t>
        </is>
      </c>
      <c r="P119" s="14" t="inlineStr">
        <is>
          <t>EBANKWIB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1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4" t="n">
        <v>46139</v>
      </c>
    </row>
    <row r="120">
      <c r="A120" s="14" t="n">
        <v>119</v>
      </c>
      <c r="B120" s="14" t="inlineStr">
        <is>
          <t>273.pdf</t>
        </is>
      </c>
      <c r="C120" s="44" t="n">
        <v>46113</v>
      </c>
      <c r="D120" s="44" t="n">
        <v>46142</v>
      </c>
      <c r="E120" s="44" t="n">
        <v>46139</v>
      </c>
      <c r="F120" s="44" t="n">
        <v>46139</v>
      </c>
      <c r="G120" s="16" t="inlineStr">
        <is>
          <t>RTGS-BARBR5202 RTGS-BARBR52026042700952483-HINDUSTAN PETROLEUM CO</t>
        </is>
      </c>
      <c r="H120" s="14" t="str"/>
      <c r="I120" s="14" t="inlineStr">
        <is>
          <t>Payment</t>
        </is>
      </c>
      <c r="J120" s="43" t="n">
        <v>1064000</v>
      </c>
      <c r="K120" s="43" t="n">
        <v>0</v>
      </c>
      <c r="L120" s="43" t="n">
        <v>1064000</v>
      </c>
      <c r="M120" s="43" t="n">
        <v>-8866205.35</v>
      </c>
      <c r="N120" s="14" t="inlineStr">
        <is>
          <t>High Transaction; Recurring Transaction</t>
        </is>
      </c>
      <c r="O120" s="14" t="inlineStr">
        <is>
          <t>Yes</t>
        </is>
      </c>
      <c r="P120" s="14" t="inlineStr">
        <is>
          <t>BARBR RTGS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1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4" t="n">
        <v>46139</v>
      </c>
    </row>
    <row r="121">
      <c r="A121" s="14" t="n">
        <v>120</v>
      </c>
      <c r="B121" s="14" t="inlineStr">
        <is>
          <t>273.pdf</t>
        </is>
      </c>
      <c r="C121" s="44" t="n">
        <v>46113</v>
      </c>
      <c r="D121" s="44" t="n">
        <v>46142</v>
      </c>
      <c r="E121" s="44" t="n">
        <v>46139</v>
      </c>
      <c r="F121" s="44" t="n">
        <v>46139</v>
      </c>
      <c r="G121" s="16" t="inlineStr">
        <is>
          <t>RTGS-BARBR5202 RTGS-BARBR52026042700958299-HINDUSTAN PETROLEUM CO</t>
        </is>
      </c>
      <c r="H121" s="14" t="str"/>
      <c r="I121" s="14" t="inlineStr">
        <is>
          <t>Payment</t>
        </is>
      </c>
      <c r="J121" s="43" t="n">
        <v>768789</v>
      </c>
      <c r="K121" s="43" t="n">
        <v>0</v>
      </c>
      <c r="L121" s="43" t="n">
        <v>768789</v>
      </c>
      <c r="M121" s="43" t="n">
        <v>-9634994.35</v>
      </c>
      <c r="N121" s="14" t="inlineStr">
        <is>
          <t>High Transaction; Recurring Transaction</t>
        </is>
      </c>
      <c r="O121" s="14" t="inlineStr">
        <is>
          <t>Yes</t>
        </is>
      </c>
      <c r="P121" s="14" t="inlineStr">
        <is>
          <t>BARBR RTGS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1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4" t="n">
        <v>46139</v>
      </c>
    </row>
    <row r="122">
      <c r="A122" s="14" t="n">
        <v>121</v>
      </c>
      <c r="B122" s="14" t="inlineStr">
        <is>
          <t>273.pdf</t>
        </is>
      </c>
      <c r="C122" s="44" t="n">
        <v>46113</v>
      </c>
      <c r="D122" s="44" t="n">
        <v>46142</v>
      </c>
      <c r="E122" s="44" t="n">
        <v>46140</v>
      </c>
      <c r="F122" s="44" t="n">
        <v>46140</v>
      </c>
      <c r="G122" s="16" t="inlineStr">
        <is>
          <t>BY CASH BY CASH</t>
        </is>
      </c>
      <c r="H122" s="14" t="str"/>
      <c r="I122" s="14" t="inlineStr">
        <is>
          <t>Receipt</t>
        </is>
      </c>
      <c r="J122" s="43" t="n">
        <v>0</v>
      </c>
      <c r="K122" s="43" t="n">
        <v>246500</v>
      </c>
      <c r="L122" s="43" t="n">
        <v>246500</v>
      </c>
      <c r="M122" s="43" t="n">
        <v>-9388494.35</v>
      </c>
      <c r="N122" s="14" t="inlineStr">
        <is>
          <t>Cash; High Transaction; Recurring Transaction</t>
        </is>
      </c>
      <c r="O122" s="14" t="inlineStr">
        <is>
          <t>Yes</t>
        </is>
      </c>
      <c r="P122" s="14" t="inlineStr">
        <is>
          <t>BY CASH BY CASH</t>
        </is>
      </c>
      <c r="Q122" s="14" t="n">
        <v>1</v>
      </c>
      <c r="R122" s="14" t="n">
        <v>1</v>
      </c>
      <c r="S122" s="14" t="n">
        <v>0</v>
      </c>
      <c r="T122" s="14" t="n">
        <v>0</v>
      </c>
      <c r="U122" s="14" t="n">
        <v>1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4" t="n">
        <v>46140</v>
      </c>
    </row>
    <row r="123">
      <c r="A123" s="14" t="n">
        <v>122</v>
      </c>
      <c r="B123" s="14" t="inlineStr">
        <is>
          <t>273.pdf</t>
        </is>
      </c>
      <c r="C123" s="44" t="n">
        <v>46113</v>
      </c>
      <c r="D123" s="44" t="n">
        <v>46142</v>
      </c>
      <c r="E123" s="44" t="n">
        <v>46140</v>
      </c>
      <c r="F123" s="44" t="n">
        <v>46140</v>
      </c>
      <c r="G123" s="16" t="inlineStr">
        <is>
          <t>EBANK:WIB/1505 EBANK:WIB/1505883831/Edfs</t>
        </is>
      </c>
      <c r="H123" s="14" t="str"/>
      <c r="I123" s="14" t="inlineStr">
        <is>
          <t>Receipt</t>
        </is>
      </c>
      <c r="J123" s="43" t="n">
        <v>0</v>
      </c>
      <c r="K123" s="43" t="n">
        <v>402798.6</v>
      </c>
      <c r="L123" s="43" t="n">
        <v>402798.6</v>
      </c>
      <c r="M123" s="43" t="n">
        <v>-8985695.75</v>
      </c>
      <c r="N123" s="14" t="inlineStr">
        <is>
          <t>High Transaction; Recurring Transaction</t>
        </is>
      </c>
      <c r="O123" s="14" t="inlineStr">
        <is>
          <t>Yes</t>
        </is>
      </c>
      <c r="P123" s="14" t="inlineStr">
        <is>
          <t>EBANKWIB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1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4" t="n">
        <v>46140</v>
      </c>
    </row>
    <row r="124">
      <c r="A124" s="14" t="n">
        <v>123</v>
      </c>
      <c r="B124" s="14" t="inlineStr">
        <is>
          <t>273.pdf</t>
        </is>
      </c>
      <c r="C124" s="44" t="n">
        <v>46113</v>
      </c>
      <c r="D124" s="44" t="n">
        <v>46142</v>
      </c>
      <c r="E124" s="44" t="n">
        <v>46140</v>
      </c>
      <c r="F124" s="44" t="n">
        <v>46140</v>
      </c>
      <c r="G124" s="16" t="inlineStr">
        <is>
          <t>EBANK:WIB/1505 EBANK:WIB/1505948506/Edfs</t>
        </is>
      </c>
      <c r="H124" s="14" t="str"/>
      <c r="I124" s="14" t="inlineStr">
        <is>
          <t>Receipt</t>
        </is>
      </c>
      <c r="J124" s="43" t="n">
        <v>0</v>
      </c>
      <c r="K124" s="43" t="n">
        <v>192251.79</v>
      </c>
      <c r="L124" s="43" t="n">
        <v>192251.79</v>
      </c>
      <c r="M124" s="43" t="n">
        <v>-8793443.960000001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EBANKWIB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4" t="n">
        <v>46140</v>
      </c>
    </row>
    <row r="125">
      <c r="A125" s="14" t="n">
        <v>124</v>
      </c>
      <c r="B125" s="14" t="inlineStr">
        <is>
          <t>273.pdf</t>
        </is>
      </c>
      <c r="C125" s="44" t="n">
        <v>46113</v>
      </c>
      <c r="D125" s="44" t="n">
        <v>46142</v>
      </c>
      <c r="E125" s="44" t="n">
        <v>46141</v>
      </c>
      <c r="F125" s="44" t="n">
        <v>46141</v>
      </c>
      <c r="G125" s="16" t="inlineStr">
        <is>
          <t>EBANK:WIB/1505 EBANK:WIB/1505959390/Edfs</t>
        </is>
      </c>
      <c r="H125" s="14" t="str"/>
      <c r="I125" s="14" t="inlineStr">
        <is>
          <t>Receipt</t>
        </is>
      </c>
      <c r="J125" s="43" t="n">
        <v>0</v>
      </c>
      <c r="K125" s="43" t="n">
        <v>383365.33</v>
      </c>
      <c r="L125" s="43" t="n">
        <v>383365.33</v>
      </c>
      <c r="M125" s="43" t="n">
        <v>-8410078.630000001</v>
      </c>
      <c r="N125" s="14" t="inlineStr">
        <is>
          <t>High Transaction; Recurring Transaction</t>
        </is>
      </c>
      <c r="O125" s="14" t="inlineStr">
        <is>
          <t>Yes</t>
        </is>
      </c>
      <c r="P125" s="14" t="inlineStr">
        <is>
          <t>EBANKWIB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1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4" t="n">
        <v>46141</v>
      </c>
    </row>
    <row r="126">
      <c r="A126" s="14" t="n">
        <v>125</v>
      </c>
      <c r="B126" s="14" t="inlineStr">
        <is>
          <t>273.pdf</t>
        </is>
      </c>
      <c r="C126" s="44" t="n">
        <v>46113</v>
      </c>
      <c r="D126" s="44" t="n">
        <v>46142</v>
      </c>
      <c r="E126" s="44" t="n">
        <v>46141</v>
      </c>
      <c r="F126" s="44" t="n">
        <v>46141</v>
      </c>
      <c r="G126" s="16" t="inlineStr">
        <is>
          <t>PEENYA-BANGALO INT260415DEAL6357250</t>
        </is>
      </c>
      <c r="H126" s="14" t="str"/>
      <c r="I126" s="14" t="inlineStr">
        <is>
          <t>Payment</t>
        </is>
      </c>
      <c r="J126" s="43" t="n">
        <v>5675.17</v>
      </c>
      <c r="K126" s="43" t="n">
        <v>0</v>
      </c>
      <c r="L126" s="43" t="n">
        <v>5675.17</v>
      </c>
      <c r="M126" s="43" t="n">
        <v>-8415753.800000001</v>
      </c>
      <c r="N126" s="14" t="inlineStr">
        <is>
          <t>Other</t>
        </is>
      </c>
      <c r="O126" s="14" t="inlineStr">
        <is>
          <t>No</t>
        </is>
      </c>
      <c r="P126" s="14" t="inlineStr">
        <is>
          <t>BANGALO INTDEAL</t>
        </is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4" t="n">
        <v>46141</v>
      </c>
    </row>
    <row r="127">
      <c r="A127" s="14" t="n">
        <v>126</v>
      </c>
      <c r="B127" s="14" t="inlineStr">
        <is>
          <t>273.pdf</t>
        </is>
      </c>
      <c r="C127" s="44" t="n">
        <v>46113</v>
      </c>
      <c r="D127" s="44" t="n">
        <v>46142</v>
      </c>
      <c r="E127" s="44" t="n">
        <v>46141</v>
      </c>
      <c r="F127" s="44" t="n">
        <v>46141</v>
      </c>
      <c r="G127" s="16" t="inlineStr">
        <is>
          <t>VJJAVA-JAVAGAL INT260415DEAL6357445</t>
        </is>
      </c>
      <c r="H127" s="14" t="str"/>
      <c r="I127" s="14" t="inlineStr">
        <is>
          <t>Payment</t>
        </is>
      </c>
      <c r="J127" s="43" t="n">
        <v>224.28</v>
      </c>
      <c r="K127" s="43" t="n">
        <v>0</v>
      </c>
      <c r="L127" s="43" t="n">
        <v>224.28</v>
      </c>
      <c r="M127" s="43" t="n">
        <v>-8415978.08</v>
      </c>
      <c r="N127" s="14" t="inlineStr">
        <is>
          <t>Other</t>
        </is>
      </c>
      <c r="O127" s="14" t="inlineStr">
        <is>
          <t>No</t>
        </is>
      </c>
      <c r="P127" s="14" t="inlineStr">
        <is>
          <t>JAVAGAL INTDEAL</t>
        </is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4" t="n">
        <v>46141</v>
      </c>
    </row>
    <row r="128">
      <c r="A128" s="14" t="n">
        <v>127</v>
      </c>
      <c r="B128" s="14" t="inlineStr">
        <is>
          <t>273.pdf</t>
        </is>
      </c>
      <c r="C128" s="44" t="n">
        <v>46113</v>
      </c>
      <c r="D128" s="44" t="n">
        <v>46142</v>
      </c>
      <c r="E128" s="44" t="n">
        <v>46141</v>
      </c>
      <c r="F128" s="44" t="n">
        <v>46141</v>
      </c>
      <c r="G128" s="16" t="inlineStr">
        <is>
          <t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128" s="14" t="str"/>
      <c r="I128" s="14" t="inlineStr">
        <is>
          <t>Receipt</t>
        </is>
      </c>
      <c r="J128" s="43" t="n">
        <v>0</v>
      </c>
      <c r="K128" s="43" t="n">
        <v>161953</v>
      </c>
      <c r="L128" s="43" t="n">
        <v>161953</v>
      </c>
      <c r="M128" s="43" t="n">
        <v>-8254025.08</v>
      </c>
      <c r="N128" s="14" t="inlineStr">
        <is>
          <t>High Transaction; Recurring Transaction</t>
        </is>
      </c>
      <c r="O128" s="14" t="inlineStr">
        <is>
          <t>Yes</t>
        </is>
      </c>
      <c r="P128" s="14" t="inlineStr">
        <is>
          <t>EBANKWIB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1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4" t="n">
        <v>46141</v>
      </c>
    </row>
    <row r="129">
      <c r="A129" s="14" t="n">
        <v>128</v>
      </c>
      <c r="B129" s="14" t="inlineStr">
        <is>
          <t>273.pdf</t>
        </is>
      </c>
      <c r="C129" s="44" t="n">
        <v>46113</v>
      </c>
      <c r="D129" s="44" t="n">
        <v>46142</v>
      </c>
      <c r="E129" s="44" t="n">
        <v>46141</v>
      </c>
      <c r="F129" s="44" t="n">
        <v>46141</v>
      </c>
      <c r="G129" s="16" t="inlineStr">
        <is>
          <t>BAREIL-BAREILL INT260416DEAL6357960</t>
        </is>
      </c>
      <c r="H129" s="14" t="str"/>
      <c r="I129" s="14" t="inlineStr">
        <is>
          <t>Payment</t>
        </is>
      </c>
      <c r="J129" s="43" t="n">
        <v>124.67</v>
      </c>
      <c r="K129" s="43" t="n">
        <v>0</v>
      </c>
      <c r="L129" s="43" t="n">
        <v>124.67</v>
      </c>
      <c r="M129" s="43" t="n">
        <v>-8254149.75</v>
      </c>
      <c r="N129" s="14" t="inlineStr">
        <is>
          <t>Other</t>
        </is>
      </c>
      <c r="O129" s="14" t="inlineStr">
        <is>
          <t>No</t>
        </is>
      </c>
      <c r="P129" s="14" t="inlineStr">
        <is>
          <t>BAREILL INTDEAL</t>
        </is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4" t="n">
        <v>46141</v>
      </c>
    </row>
    <row r="130">
      <c r="A130" s="14" t="n">
        <v>129</v>
      </c>
      <c r="B130" s="14" t="inlineStr">
        <is>
          <t>273.pdf</t>
        </is>
      </c>
      <c r="C130" s="44" t="n">
        <v>46113</v>
      </c>
      <c r="D130" s="44" t="n">
        <v>46142</v>
      </c>
      <c r="E130" s="44" t="n">
        <v>46141</v>
      </c>
      <c r="F130" s="44" t="n">
        <v>46141</v>
      </c>
      <c r="G130" s="16" t="inlineStr">
        <is>
          <t>BY CASH BY CASH</t>
        </is>
      </c>
      <c r="H130" s="14" t="str"/>
      <c r="I130" s="14" t="inlineStr">
        <is>
          <t>Receipt</t>
        </is>
      </c>
      <c r="J130" s="43" t="n">
        <v>0</v>
      </c>
      <c r="K130" s="43" t="n">
        <v>116500</v>
      </c>
      <c r="L130" s="43" t="n">
        <v>116500</v>
      </c>
      <c r="M130" s="43" t="n">
        <v>-8137649.75</v>
      </c>
      <c r="N130" s="14" t="inlineStr">
        <is>
          <t>Cash; High Transaction; Recurring Transaction</t>
        </is>
      </c>
      <c r="O130" s="14" t="inlineStr">
        <is>
          <t>Yes</t>
        </is>
      </c>
      <c r="P130" s="14" t="inlineStr">
        <is>
          <t>BY CASH BY CASH</t>
        </is>
      </c>
      <c r="Q130" s="14" t="n">
        <v>1</v>
      </c>
      <c r="R130" s="14" t="n">
        <v>1</v>
      </c>
      <c r="S130" s="14" t="n">
        <v>0</v>
      </c>
      <c r="T130" s="14" t="n">
        <v>0</v>
      </c>
      <c r="U130" s="14" t="n">
        <v>1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4" t="n">
        <v>46141</v>
      </c>
    </row>
    <row r="131">
      <c r="A131" s="14" t="n">
        <v>130</v>
      </c>
      <c r="B131" s="14" t="inlineStr">
        <is>
          <t>273.pdf</t>
        </is>
      </c>
      <c r="C131" s="44" t="n">
        <v>46113</v>
      </c>
      <c r="D131" s="44" t="n">
        <v>46142</v>
      </c>
      <c r="E131" s="44" t="n">
        <v>46141</v>
      </c>
      <c r="F131" s="44" t="n">
        <v>46141</v>
      </c>
      <c r="G131" s="16" t="inlineStr">
        <is>
          <t>RTGS-BARBR5202 RTGS-BARBR52026042900818962-HINDUSTAN PETROLEUM CO</t>
        </is>
      </c>
      <c r="H131" s="14" t="str"/>
      <c r="I131" s="14" t="inlineStr">
        <is>
          <t>Payment</t>
        </is>
      </c>
      <c r="J131" s="43" t="n">
        <v>1745850</v>
      </c>
      <c r="K131" s="43" t="n">
        <v>0</v>
      </c>
      <c r="L131" s="43" t="n">
        <v>1745850</v>
      </c>
      <c r="M131" s="43" t="n">
        <v>-9883499.75</v>
      </c>
      <c r="N131" s="14" t="inlineStr">
        <is>
          <t>High Transaction; Recurring Transaction</t>
        </is>
      </c>
      <c r="O131" s="14" t="inlineStr">
        <is>
          <t>Yes</t>
        </is>
      </c>
      <c r="P131" s="14" t="inlineStr">
        <is>
          <t>BARBR RTGS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1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4" t="n">
        <v>46141</v>
      </c>
    </row>
    <row r="132">
      <c r="A132" s="14" t="n">
        <v>131</v>
      </c>
      <c r="B132" s="14" t="inlineStr">
        <is>
          <t>273.pdf</t>
        </is>
      </c>
      <c r="C132" s="44" t="n">
        <v>46113</v>
      </c>
      <c r="D132" s="44" t="n">
        <v>46142</v>
      </c>
      <c r="E132" s="44" t="n">
        <v>46141</v>
      </c>
      <c r="F132" s="44" t="n">
        <v>46141</v>
      </c>
      <c r="G132" s="16" t="inlineStr">
        <is>
          <t>EBANK:WIB/1506 EBANK:WIB/1506085309/Edfs</t>
        </is>
      </c>
      <c r="H132" s="14" t="str"/>
      <c r="I132" s="14" t="inlineStr">
        <is>
          <t>Receipt</t>
        </is>
      </c>
      <c r="J132" s="43" t="n">
        <v>0</v>
      </c>
      <c r="K132" s="43" t="n">
        <v>93264</v>
      </c>
      <c r="L132" s="43" t="n">
        <v>93264</v>
      </c>
      <c r="M132" s="43" t="n">
        <v>-9790235.75</v>
      </c>
      <c r="N132" s="14" t="inlineStr">
        <is>
          <t>Recurring Transaction</t>
        </is>
      </c>
      <c r="O132" s="14" t="inlineStr">
        <is>
          <t>Yes</t>
        </is>
      </c>
      <c r="P132" s="14" t="inlineStr">
        <is>
          <t>EBANKWIB</t>
        </is>
      </c>
      <c r="Q132" s="14" t="n">
        <v>0</v>
      </c>
      <c r="R132" s="14" t="n">
        <v>1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4" t="n">
        <v>46141</v>
      </c>
    </row>
    <row r="133">
      <c r="A133" s="14" t="n">
        <v>132</v>
      </c>
      <c r="B133" s="14" t="inlineStr">
        <is>
          <t>273.pdf</t>
        </is>
      </c>
      <c r="C133" s="44" t="n">
        <v>46113</v>
      </c>
      <c r="D133" s="44" t="n">
        <v>46142</v>
      </c>
      <c r="E133" s="44" t="n">
        <v>46141</v>
      </c>
      <c r="F133" s="44" t="n">
        <v>46141</v>
      </c>
      <c r="G133" s="16" t="inlineStr">
        <is>
          <t>NEFT-BARBV2611 NEFT-BARBV26119745454-HINDUSTAN PETROLEUM CORPORAT</t>
        </is>
      </c>
      <c r="H133" s="14" t="str"/>
      <c r="I133" s="14" t="inlineStr">
        <is>
          <t>Payment</t>
        </is>
      </c>
      <c r="J133" s="43" t="n">
        <v>116500</v>
      </c>
      <c r="K133" s="43" t="n">
        <v>0</v>
      </c>
      <c r="L133" s="43" t="n">
        <v>116500</v>
      </c>
      <c r="M133" s="43" t="n">
        <v>-9906735.75</v>
      </c>
      <c r="N133" s="14" t="inlineStr">
        <is>
          <t>High Transaction</t>
        </is>
      </c>
      <c r="O133" s="14" t="inlineStr">
        <is>
          <t>No</t>
        </is>
      </c>
      <c r="P133" s="14" t="inlineStr">
        <is>
          <t>BARBV NEFT</t>
        </is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4" t="n">
        <v>46141</v>
      </c>
    </row>
    <row r="134">
      <c r="A134" s="14" t="n">
        <v>133</v>
      </c>
      <c r="B134" s="14" t="inlineStr">
        <is>
          <t>273.pdf</t>
        </is>
      </c>
      <c r="C134" s="44" t="n">
        <v>46113</v>
      </c>
      <c r="D134" s="44" t="n">
        <v>46142</v>
      </c>
      <c r="E134" s="44" t="n">
        <v>46141</v>
      </c>
      <c r="F134" s="44" t="n">
        <v>46141</v>
      </c>
      <c r="G134" s="16" t="inlineStr">
        <is>
          <t>EBANK:WIB/1506 EBANK:WIB/1506102762/Edfs</t>
        </is>
      </c>
      <c r="H134" s="14" t="str"/>
      <c r="I134" s="14" t="inlineStr">
        <is>
          <t>Receipt</t>
        </is>
      </c>
      <c r="J134" s="43" t="n">
        <v>0</v>
      </c>
      <c r="K134" s="43" t="n">
        <v>92240</v>
      </c>
      <c r="L134" s="43" t="n">
        <v>92240</v>
      </c>
      <c r="M134" s="43" t="n">
        <v>-9814495.75</v>
      </c>
      <c r="N134" s="14" t="inlineStr">
        <is>
          <t>Recurring Transaction</t>
        </is>
      </c>
      <c r="O134" s="14" t="inlineStr">
        <is>
          <t>Yes</t>
        </is>
      </c>
      <c r="P134" s="14" t="inlineStr">
        <is>
          <t>EBANKWIB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4" t="n">
        <v>46141</v>
      </c>
    </row>
    <row r="135">
      <c r="A135" s="14" t="n">
        <v>134</v>
      </c>
      <c r="B135" s="14" t="inlineStr">
        <is>
          <t>273.pdf</t>
        </is>
      </c>
      <c r="C135" s="44" t="n">
        <v>46113</v>
      </c>
      <c r="D135" s="44" t="n">
        <v>46142</v>
      </c>
      <c r="E135" s="44" t="n">
        <v>46142</v>
      </c>
      <c r="F135" s="44" t="n">
        <v>46142</v>
      </c>
      <c r="G135" s="16" t="inlineStr">
        <is>
          <t>EBANK:WIB/1506 EBANK:WIB/1506112730/Edfs</t>
        </is>
      </c>
      <c r="H135" s="14" t="str"/>
      <c r="I135" s="14" t="inlineStr">
        <is>
          <t>Receipt</t>
        </is>
      </c>
      <c r="J135" s="43" t="n">
        <v>0</v>
      </c>
      <c r="K135" s="43" t="n">
        <v>44070</v>
      </c>
      <c r="L135" s="43" t="n">
        <v>44070</v>
      </c>
      <c r="M135" s="43" t="n">
        <v>-9770425.75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EBANKWIB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4" t="n">
        <v>46142</v>
      </c>
    </row>
    <row r="136">
      <c r="A136" s="14" t="n">
        <v>135</v>
      </c>
      <c r="B136" s="14" t="inlineStr">
        <is>
          <t>273.pdf</t>
        </is>
      </c>
      <c r="C136" s="44" t="n">
        <v>46113</v>
      </c>
      <c r="D136" s="44" t="n">
        <v>46142</v>
      </c>
      <c r="E136" s="44" t="n">
        <v>46142</v>
      </c>
      <c r="F136" s="44" t="n">
        <v>46142</v>
      </c>
      <c r="G136" s="16" t="inlineStr">
        <is>
          <t>EBANK:WIB/1506 EBANK:WIB/1506112904/Edfs</t>
        </is>
      </c>
      <c r="H136" s="14" t="str"/>
      <c r="I136" s="14" t="inlineStr">
        <is>
          <t>Receipt</t>
        </is>
      </c>
      <c r="J136" s="43" t="n">
        <v>0</v>
      </c>
      <c r="K136" s="43" t="n">
        <v>429587.11</v>
      </c>
      <c r="L136" s="43" t="n">
        <v>429587.11</v>
      </c>
      <c r="M136" s="43" t="n">
        <v>-9340838.640000001</v>
      </c>
      <c r="N136" s="14" t="inlineStr">
        <is>
          <t>High Transaction; Recurring Transaction</t>
        </is>
      </c>
      <c r="O136" s="14" t="inlineStr">
        <is>
          <t>Yes</t>
        </is>
      </c>
      <c r="P136" s="14" t="inlineStr">
        <is>
          <t>EBANKWIB</t>
        </is>
      </c>
      <c r="Q136" s="14" t="n">
        <v>0</v>
      </c>
      <c r="R136" s="14" t="n">
        <v>1</v>
      </c>
      <c r="S136" s="14" t="n">
        <v>0</v>
      </c>
      <c r="T136" s="14" t="n">
        <v>0</v>
      </c>
      <c r="U136" s="14" t="n">
        <v>1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4" t="n">
        <v>46142</v>
      </c>
    </row>
    <row r="137">
      <c r="A137" s="14" t="n">
        <v>136</v>
      </c>
      <c r="B137" s="14" t="inlineStr">
        <is>
          <t>273.pdf</t>
        </is>
      </c>
      <c r="C137" s="44" t="n">
        <v>46113</v>
      </c>
      <c r="D137" s="44" t="n">
        <v>46142</v>
      </c>
      <c r="E137" s="44" t="n">
        <v>46142</v>
      </c>
      <c r="F137" s="44" t="n">
        <v>46142</v>
      </c>
      <c r="G137" s="16" t="inlineStr">
        <is>
          <t>NEFT-BARBX2612 NEFT-BARBX26120048957-HINDUSTAN PETROLEUM CORPORAT</t>
        </is>
      </c>
      <c r="H137" s="14" t="str"/>
      <c r="I137" s="14" t="inlineStr">
        <is>
          <t>Payment</t>
        </is>
      </c>
      <c r="J137" s="43" t="n">
        <v>93264</v>
      </c>
      <c r="K137" s="43" t="n">
        <v>0</v>
      </c>
      <c r="L137" s="43" t="n">
        <v>93264</v>
      </c>
      <c r="M137" s="43" t="n">
        <v>-9434102.640000001</v>
      </c>
      <c r="N137" s="14" t="inlineStr">
        <is>
          <t>Other</t>
        </is>
      </c>
      <c r="O137" s="14" t="inlineStr">
        <is>
          <t>No</t>
        </is>
      </c>
      <c r="P137" s="14" t="inlineStr">
        <is>
          <t>BARBX NEFT</t>
        </is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4" t="n">
        <v>46142</v>
      </c>
    </row>
    <row r="138">
      <c r="A138" s="14" t="n">
        <v>137</v>
      </c>
      <c r="B138" s="14" t="inlineStr">
        <is>
          <t>273.pdf</t>
        </is>
      </c>
      <c r="C138" s="44" t="n">
        <v>46113</v>
      </c>
      <c r="D138" s="44" t="n">
        <v>46142</v>
      </c>
      <c r="E138" s="44" t="n">
        <v>46142</v>
      </c>
      <c r="F138" s="44" t="n">
        <v>46142</v>
      </c>
      <c r="G138" s="16" t="inlineStr">
        <is>
          <t>RTGS-BARBR5202 RTGS-BARBR52026043000849921-HINDUSTAN PETROLEUM CO</t>
        </is>
      </c>
      <c r="H138" s="14" t="str"/>
      <c r="I138" s="14" t="inlineStr">
        <is>
          <t>Payment</t>
        </is>
      </c>
      <c r="J138" s="43" t="n">
        <v>229000</v>
      </c>
      <c r="K138" s="43" t="n">
        <v>0</v>
      </c>
      <c r="L138" s="43" t="n">
        <v>229000</v>
      </c>
      <c r="M138" s="43" t="n">
        <v>-9663102.640000001</v>
      </c>
      <c r="N138" s="14" t="inlineStr">
        <is>
          <t>High Transaction; Recurring Transaction</t>
        </is>
      </c>
      <c r="O138" s="14" t="inlineStr">
        <is>
          <t>Yes</t>
        </is>
      </c>
      <c r="P138" s="14" t="inlineStr">
        <is>
          <t>BARBR RTGS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1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4" t="n">
        <v>46142</v>
      </c>
    </row>
    <row r="139">
      <c r="A139" s="14" t="n">
        <v>138</v>
      </c>
      <c r="B139" s="14" t="inlineStr">
        <is>
          <t>273.pdf</t>
        </is>
      </c>
      <c r="C139" s="44" t="n">
        <v>46113</v>
      </c>
      <c r="D139" s="44" t="n">
        <v>46142</v>
      </c>
      <c r="E139" s="44" t="n">
        <v>46142</v>
      </c>
      <c r="F139" s="44" t="n">
        <v>46142</v>
      </c>
      <c r="G139" s="16" t="inlineStr">
        <is>
          <t>BY CASH BY CASH</t>
        </is>
      </c>
      <c r="H139" s="14" t="str"/>
      <c r="I139" s="14" t="inlineStr">
        <is>
          <t>Receipt</t>
        </is>
      </c>
      <c r="J139" s="43" t="n">
        <v>0</v>
      </c>
      <c r="K139" s="43" t="n">
        <v>273000</v>
      </c>
      <c r="L139" s="43" t="n">
        <v>273000</v>
      </c>
      <c r="M139" s="43" t="n">
        <v>-9390102.640000001</v>
      </c>
      <c r="N139" s="14" t="inlineStr">
        <is>
          <t>Cash; High Transaction; Recurring Transaction</t>
        </is>
      </c>
      <c r="O139" s="14" t="inlineStr">
        <is>
          <t>Yes</t>
        </is>
      </c>
      <c r="P139" s="14" t="inlineStr">
        <is>
          <t>BY CASH BY CASH</t>
        </is>
      </c>
      <c r="Q139" s="14" t="n">
        <v>1</v>
      </c>
      <c r="R139" s="14" t="n">
        <v>1</v>
      </c>
      <c r="S139" s="14" t="n">
        <v>0</v>
      </c>
      <c r="T139" s="14" t="n">
        <v>0</v>
      </c>
      <c r="U139" s="14" t="n">
        <v>1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4" t="n">
        <v>46142</v>
      </c>
    </row>
    <row r="140">
      <c r="A140" s="14" t="n">
        <v>139</v>
      </c>
      <c r="B140" s="14" t="inlineStr">
        <is>
          <t>273.pdf</t>
        </is>
      </c>
      <c r="C140" s="44" t="n">
        <v>46113</v>
      </c>
      <c r="D140" s="44" t="n">
        <v>46142</v>
      </c>
      <c r="E140" s="44" t="n">
        <v>46142</v>
      </c>
      <c r="F140" s="44" t="n">
        <v>46142</v>
      </c>
      <c r="G140" s="16" t="inlineStr">
        <is>
          <t>EBANK:WIB/1506 EBANK:WIB/1506237357/Edfs</t>
        </is>
      </c>
      <c r="H140" s="14" t="str"/>
      <c r="I140" s="14" t="inlineStr">
        <is>
          <t>Receipt</t>
        </is>
      </c>
      <c r="J140" s="43" t="n">
        <v>0</v>
      </c>
      <c r="K140" s="43" t="n">
        <v>307440.05</v>
      </c>
      <c r="L140" s="43" t="n">
        <v>307440.05</v>
      </c>
      <c r="M140" s="43" t="n">
        <v>-9082662.59</v>
      </c>
      <c r="N140" s="14" t="inlineStr">
        <is>
          <t>High Transaction; Recurring Transaction</t>
        </is>
      </c>
      <c r="O140" s="14" t="inlineStr">
        <is>
          <t>Yes</t>
        </is>
      </c>
      <c r="P140" s="14" t="inlineStr">
        <is>
          <t>EBANKWIB</t>
        </is>
      </c>
      <c r="Q140" s="14" t="n">
        <v>0</v>
      </c>
      <c r="R140" s="14" t="n">
        <v>1</v>
      </c>
      <c r="S140" s="14" t="n">
        <v>0</v>
      </c>
      <c r="T140" s="14" t="n">
        <v>0</v>
      </c>
      <c r="U140" s="14" t="n">
        <v>1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4" t="n">
        <v>46142</v>
      </c>
    </row>
    <row r="141">
      <c r="A141" s="14" t="n">
        <v>140</v>
      </c>
      <c r="B141" s="14" t="inlineStr">
        <is>
          <t>273.pdf</t>
        </is>
      </c>
      <c r="C141" s="44" t="n">
        <v>46113</v>
      </c>
      <c r="D141" s="44" t="n">
        <v>46142</v>
      </c>
      <c r="E141" s="44" t="n">
        <v>46142</v>
      </c>
      <c r="F141" s="44" t="n">
        <v>46142</v>
      </c>
      <c r="G141" s="16" t="inlineStr">
        <is>
          <t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t>
        </is>
      </c>
      <c r="H141" s="14" t="str"/>
      <c r="I141" s="14" t="inlineStr">
        <is>
          <t>Receipt</t>
        </is>
      </c>
      <c r="J141" s="43" t="n">
        <v>0</v>
      </c>
      <c r="K141" s="43" t="n">
        <v>128623.2</v>
      </c>
      <c r="L141" s="43" t="n">
        <v>128623.2</v>
      </c>
      <c r="M141" s="43" t="n">
        <v>-8954039.390000001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EBANKWIB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4" t="n">
        <v>46142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Total Transactions</t>
        </is>
      </c>
    </row>
    <row r="2">
      <c r="A2" s="33" t="inlineStr">
        <is>
          <t>Rows</t>
        </is>
      </c>
      <c r="B2" s="33" t="n">
        <v>140</v>
      </c>
      <c r="C2" s="33" t="inlineStr">
        <is>
          <t>Match</t>
        </is>
      </c>
      <c r="D2" s="33" t="inlineStr">
        <is>
          <t>All transactions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273.pdf</t>
        </is>
      </c>
      <c r="C5" s="44" t="n">
        <v>46113</v>
      </c>
      <c r="D5" s="44" t="n">
        <v>46142</v>
      </c>
      <c r="E5" s="44" t="n">
        <v>46114</v>
      </c>
      <c r="F5" s="44" t="n">
        <v>46114</v>
      </c>
      <c r="G5" s="16" t="inlineStr">
        <is>
          <t>EBANK:WIB/1502 EBANK:WIB/1502021829/Edfs</t>
        </is>
      </c>
      <c r="H5" s="14" t="str"/>
      <c r="I5" s="14" t="inlineStr">
        <is>
          <t>Receipt</t>
        </is>
      </c>
      <c r="J5" s="43" t="n">
        <v>0</v>
      </c>
      <c r="K5" s="43" t="n">
        <v>681881.6</v>
      </c>
      <c r="L5" s="43" t="n">
        <v>681881.6</v>
      </c>
      <c r="M5" s="43" t="n">
        <v>-9317737.199999999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EBANKWIB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4" t="n">
        <v>46114</v>
      </c>
      <c r="AB5" s="46">
        <f>HYPERLINK("#'Transactions'!A2", "View Source Row")</f>
        <v/>
      </c>
    </row>
    <row r="6">
      <c r="A6" s="14" t="n">
        <v>2</v>
      </c>
      <c r="B6" s="14" t="inlineStr">
        <is>
          <t>273.pdf</t>
        </is>
      </c>
      <c r="C6" s="44" t="n">
        <v>46113</v>
      </c>
      <c r="D6" s="44" t="n">
        <v>46142</v>
      </c>
      <c r="E6" s="44" t="n">
        <v>46114</v>
      </c>
      <c r="F6" s="44" t="n">
        <v>46114</v>
      </c>
      <c r="G6" s="16" t="inlineStr">
        <is>
          <t>AMBATT-CHENNAI INT260319DEAL6205053</t>
        </is>
      </c>
      <c r="H6" s="14" t="str"/>
      <c r="I6" s="14" t="inlineStr">
        <is>
          <t>Payment</t>
        </is>
      </c>
      <c r="J6" s="43" t="n">
        <v>5246.6</v>
      </c>
      <c r="K6" s="43" t="n">
        <v>0</v>
      </c>
      <c r="L6" s="43" t="n">
        <v>5246.6</v>
      </c>
      <c r="M6" s="43" t="n">
        <v>-9322983.800000001</v>
      </c>
      <c r="N6" s="14" t="inlineStr">
        <is>
          <t>Other</t>
        </is>
      </c>
      <c r="O6" s="14" t="inlineStr">
        <is>
          <t>No</t>
        </is>
      </c>
      <c r="P6" s="14" t="inlineStr">
        <is>
          <t>CHENNAI INTDEAL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4" t="n">
        <v>46114</v>
      </c>
      <c r="AB6" s="46">
        <f>HYPERLINK("#'Transactions'!A3", "View Source Row")</f>
        <v/>
      </c>
    </row>
    <row r="7">
      <c r="A7" s="14" t="n">
        <v>3</v>
      </c>
      <c r="B7" s="14" t="inlineStr">
        <is>
          <t>273.pdf</t>
        </is>
      </c>
      <c r="C7" s="44" t="n">
        <v>46113</v>
      </c>
      <c r="D7" s="44" t="n">
        <v>46142</v>
      </c>
      <c r="E7" s="44" t="n">
        <v>46114</v>
      </c>
      <c r="F7" s="44" t="n">
        <v>46114</v>
      </c>
      <c r="G7" s="16" t="inlineStr">
        <is>
          <t>EBANK:WIB/1502 EBANK:WIB/1502110539/Edfs</t>
        </is>
      </c>
      <c r="H7" s="14" t="str"/>
      <c r="I7" s="14" t="inlineStr">
        <is>
          <t>Receipt</t>
        </is>
      </c>
      <c r="J7" s="43" t="n">
        <v>0</v>
      </c>
      <c r="K7" s="43" t="n">
        <v>248340</v>
      </c>
      <c r="L7" s="43" t="n">
        <v>248340</v>
      </c>
      <c r="M7" s="43" t="n">
        <v>-9074643.800000001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EBANKWIB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4" t="n">
        <v>46114</v>
      </c>
      <c r="AB7" s="46">
        <f>HYPERLINK("#'Transactions'!A4", "View Source Row")</f>
        <v/>
      </c>
    </row>
    <row r="8">
      <c r="A8" s="14" t="n">
        <v>4</v>
      </c>
      <c r="B8" s="14" t="inlineStr">
        <is>
          <t>273.pdf</t>
        </is>
      </c>
      <c r="C8" s="44" t="n">
        <v>46113</v>
      </c>
      <c r="D8" s="44" t="n">
        <v>46142</v>
      </c>
      <c r="E8" s="44" t="n">
        <v>46114</v>
      </c>
      <c r="F8" s="44" t="n">
        <v>46114</v>
      </c>
      <c r="G8" s="16" t="inlineStr">
        <is>
          <t>BY CASH BY CASH</t>
        </is>
      </c>
      <c r="H8" s="14" t="str"/>
      <c r="I8" s="14" t="inlineStr">
        <is>
          <t>Receipt</t>
        </is>
      </c>
      <c r="J8" s="43" t="n">
        <v>0</v>
      </c>
      <c r="K8" s="43" t="n">
        <v>67500</v>
      </c>
      <c r="L8" s="43" t="n">
        <v>67500</v>
      </c>
      <c r="M8" s="43" t="n">
        <v>-9007143.800000001</v>
      </c>
      <c r="N8" s="14" t="inlineStr">
        <is>
          <t>Cash; Recurring Transaction</t>
        </is>
      </c>
      <c r="O8" s="14" t="inlineStr">
        <is>
          <t>Yes</t>
        </is>
      </c>
      <c r="P8" s="14" t="inlineStr">
        <is>
          <t>BY CASH BY CASH</t>
        </is>
      </c>
      <c r="Q8" s="14" t="n">
        <v>1</v>
      </c>
      <c r="R8" s="14" t="n">
        <v>1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4" t="n">
        <v>46114</v>
      </c>
      <c r="AB8" s="46">
        <f>HYPERLINK("#'Transactions'!A5", "View Source Row")</f>
        <v/>
      </c>
    </row>
    <row r="9">
      <c r="A9" s="14" t="n">
        <v>5</v>
      </c>
      <c r="B9" s="14" t="inlineStr">
        <is>
          <t>273.pdf</t>
        </is>
      </c>
      <c r="C9" s="44" t="n">
        <v>46113</v>
      </c>
      <c r="D9" s="44" t="n">
        <v>46142</v>
      </c>
      <c r="E9" s="44" t="n">
        <v>46114</v>
      </c>
      <c r="F9" s="44" t="n">
        <v>46114</v>
      </c>
      <c r="G9" s="16" t="inlineStr">
        <is>
          <t>VIRARW-THANE/B BY CASH</t>
        </is>
      </c>
      <c r="H9" s="14" t="str"/>
      <c r="I9" s="14" t="inlineStr">
        <is>
          <t>Receipt</t>
        </is>
      </c>
      <c r="J9" s="43" t="n">
        <v>0</v>
      </c>
      <c r="K9" s="43" t="n">
        <v>426000</v>
      </c>
      <c r="L9" s="43" t="n">
        <v>426000</v>
      </c>
      <c r="M9" s="43" t="n">
        <v>-8581143.800000001</v>
      </c>
      <c r="N9" s="14" t="inlineStr">
        <is>
          <t>Cash; High Transaction; Recurring Transaction</t>
        </is>
      </c>
      <c r="O9" s="14" t="inlineStr">
        <is>
          <t>Yes</t>
        </is>
      </c>
      <c r="P9" s="14" t="inlineStr">
        <is>
          <t>B BY CASH</t>
        </is>
      </c>
      <c r="Q9" s="14" t="n">
        <v>1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4" t="n">
        <v>46114</v>
      </c>
      <c r="AB9" s="46">
        <f>HYPERLINK("#'Transactions'!A6", "View Source Row")</f>
        <v/>
      </c>
    </row>
    <row r="10">
      <c r="A10" s="14" t="n">
        <v>6</v>
      </c>
      <c r="B10" s="14" t="inlineStr">
        <is>
          <t>273.pdf</t>
        </is>
      </c>
      <c r="C10" s="44" t="n">
        <v>46113</v>
      </c>
      <c r="D10" s="44" t="n">
        <v>46142</v>
      </c>
      <c r="E10" s="44" t="n">
        <v>46114</v>
      </c>
      <c r="F10" s="44" t="n">
        <v>46114</v>
      </c>
      <c r="G10" s="16" t="inlineStr">
        <is>
          <t>EBANK:WIB/1502 EBANK:WIB/1502234210/Edfs</t>
        </is>
      </c>
      <c r="H10" s="14" t="str"/>
      <c r="I10" s="14" t="inlineStr">
        <is>
          <t>Receipt</t>
        </is>
      </c>
      <c r="J10" s="43" t="n">
        <v>0</v>
      </c>
      <c r="K10" s="43" t="n">
        <v>791482.5</v>
      </c>
      <c r="L10" s="43" t="n">
        <v>791482.5</v>
      </c>
      <c r="M10" s="43" t="n">
        <v>-7789661.3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4" t="n">
        <v>46114</v>
      </c>
      <c r="AB10" s="46">
        <f>HYPERLINK("#'Transactions'!A7", "View Source Row")</f>
        <v/>
      </c>
    </row>
    <row r="11">
      <c r="A11" s="14" t="n">
        <v>7</v>
      </c>
      <c r="B11" s="14" t="inlineStr">
        <is>
          <t>273.pdf</t>
        </is>
      </c>
      <c r="C11" s="44" t="n">
        <v>46113</v>
      </c>
      <c r="D11" s="44" t="n">
        <v>46142</v>
      </c>
      <c r="E11" s="44" t="n">
        <v>46114</v>
      </c>
      <c r="F11" s="44" t="n">
        <v>46114</v>
      </c>
      <c r="G11" s="16" t="inlineStr">
        <is>
          <t>RTGS-BARBR5202 RTGS-BARBR52026040200930050-HINDUSTAN PETROLEUM CO</t>
        </is>
      </c>
      <c r="H11" s="14" t="str"/>
      <c r="I11" s="14" t="inlineStr">
        <is>
          <t>Payment</t>
        </is>
      </c>
      <c r="J11" s="43" t="n">
        <v>1410247.26</v>
      </c>
      <c r="K11" s="43" t="n">
        <v>0</v>
      </c>
      <c r="L11" s="43" t="n">
        <v>1410247.26</v>
      </c>
      <c r="M11" s="43" t="n">
        <v>-9199908.560000001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BARBR RTGS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4" t="n">
        <v>46114</v>
      </c>
      <c r="AB11" s="46">
        <f>HYPERLINK("#'Transactions'!A8", "View Source Row")</f>
        <v/>
      </c>
    </row>
    <row r="12">
      <c r="A12" s="14" t="n">
        <v>8</v>
      </c>
      <c r="B12" s="14" t="inlineStr">
        <is>
          <t>273.pdf</t>
        </is>
      </c>
      <c r="C12" s="44" t="n">
        <v>46113</v>
      </c>
      <c r="D12" s="44" t="n">
        <v>46142</v>
      </c>
      <c r="E12" s="44" t="n">
        <v>46115</v>
      </c>
      <c r="F12" s="44" t="n">
        <v>46115</v>
      </c>
      <c r="G12" s="16" t="inlineStr">
        <is>
          <t>EBANK:WIB/1502 EBANK:WIB/1502413595/Edfs</t>
        </is>
      </c>
      <c r="H12" s="14" t="str"/>
      <c r="I12" s="14" t="inlineStr">
        <is>
          <t>Receipt</t>
        </is>
      </c>
      <c r="J12" s="43" t="n">
        <v>0</v>
      </c>
      <c r="K12" s="43" t="n">
        <v>790104.58</v>
      </c>
      <c r="L12" s="43" t="n">
        <v>790104.58</v>
      </c>
      <c r="M12" s="43" t="n">
        <v>-8409803.98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EBANKWIB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4" t="n">
        <v>46115</v>
      </c>
      <c r="AB12" s="46">
        <f>HYPERLINK("#'Transactions'!A9", "View Source Row")</f>
        <v/>
      </c>
    </row>
    <row r="13">
      <c r="A13" s="14" t="n">
        <v>9</v>
      </c>
      <c r="B13" s="14" t="inlineStr">
        <is>
          <t>273.pdf</t>
        </is>
      </c>
      <c r="C13" s="44" t="n">
        <v>46113</v>
      </c>
      <c r="D13" s="44" t="n">
        <v>46142</v>
      </c>
      <c r="E13" s="44" t="n">
        <v>46116</v>
      </c>
      <c r="F13" s="44" t="n">
        <v>46116</v>
      </c>
      <c r="G13" s="16" t="inlineStr">
        <is>
          <t>0000-MUMBAI/IN INT260322DEAL6217382</t>
        </is>
      </c>
      <c r="H13" s="14" t="str"/>
      <c r="I13" s="14" t="inlineStr">
        <is>
          <t>Payment</t>
        </is>
      </c>
      <c r="J13" s="43" t="n">
        <v>5204.27</v>
      </c>
      <c r="K13" s="43" t="n">
        <v>0</v>
      </c>
      <c r="L13" s="43" t="n">
        <v>5204.27</v>
      </c>
      <c r="M13" s="43" t="n">
        <v>-8415008.25</v>
      </c>
      <c r="N13" s="14" t="inlineStr">
        <is>
          <t>Recurring Transaction</t>
        </is>
      </c>
      <c r="O13" s="14" t="inlineStr">
        <is>
          <t>Yes</t>
        </is>
      </c>
      <c r="P13" s="14" t="inlineStr">
        <is>
          <t>IN INTDEAL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4" t="n">
        <v>46116</v>
      </c>
      <c r="AB13" s="46">
        <f>HYPERLINK("#'Transactions'!A10", "View Source Row")</f>
        <v/>
      </c>
    </row>
    <row r="14">
      <c r="A14" s="14" t="n">
        <v>10</v>
      </c>
      <c r="B14" s="14" t="inlineStr">
        <is>
          <t>273.pdf</t>
        </is>
      </c>
      <c r="C14" s="44" t="n">
        <v>46113</v>
      </c>
      <c r="D14" s="44" t="n">
        <v>46142</v>
      </c>
      <c r="E14" s="44" t="n">
        <v>46116</v>
      </c>
      <c r="F14" s="44" t="n">
        <v>46116</v>
      </c>
      <c r="G14" s="16" t="inlineStr">
        <is>
          <t>MOGHBS-MOGHALS INT260323DEAL6218681</t>
        </is>
      </c>
      <c r="H14" s="14" t="str"/>
      <c r="I14" s="14" t="inlineStr">
        <is>
          <t>Payment</t>
        </is>
      </c>
      <c r="J14" s="43" t="n">
        <v>54.45</v>
      </c>
      <c r="K14" s="43" t="n">
        <v>0</v>
      </c>
      <c r="L14" s="43" t="n">
        <v>54.45</v>
      </c>
      <c r="M14" s="43" t="n">
        <v>-8415062.699999999</v>
      </c>
      <c r="N14" s="14" t="inlineStr">
        <is>
          <t>Other</t>
        </is>
      </c>
      <c r="O14" s="14" t="inlineStr">
        <is>
          <t>No</t>
        </is>
      </c>
      <c r="P14" s="14" t="inlineStr">
        <is>
          <t>MOGHALS INTDEAL</t>
        </is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4" t="n">
        <v>46116</v>
      </c>
      <c r="AB14" s="46">
        <f>HYPERLINK("#'Transactions'!A11", "View Source Row")</f>
        <v/>
      </c>
    </row>
    <row r="15">
      <c r="A15" s="14" t="n">
        <v>11</v>
      </c>
      <c r="B15" s="14" t="inlineStr">
        <is>
          <t>273.pdf</t>
        </is>
      </c>
      <c r="C15" s="44" t="n">
        <v>46113</v>
      </c>
      <c r="D15" s="44" t="n">
        <v>46142</v>
      </c>
      <c r="E15" s="44" t="n">
        <v>46116</v>
      </c>
      <c r="F15" s="44" t="n">
        <v>46116</v>
      </c>
      <c r="G15" s="16" t="inlineStr">
        <is>
          <t>EBANK:WIB/1502 EBANK:WIB/1502423934/Edfs</t>
        </is>
      </c>
      <c r="H15" s="14" t="str"/>
      <c r="I15" s="14" t="inlineStr">
        <is>
          <t>Receipt</t>
        </is>
      </c>
      <c r="J15" s="43" t="n">
        <v>0</v>
      </c>
      <c r="K15" s="43" t="n">
        <v>240091</v>
      </c>
      <c r="L15" s="43" t="n">
        <v>240091</v>
      </c>
      <c r="M15" s="43" t="n">
        <v>-8174971.7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EBANKWIB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4" t="n">
        <v>46116</v>
      </c>
      <c r="AB15" s="46">
        <f>HYPERLINK("#'Transactions'!A12", "View Source Row")</f>
        <v/>
      </c>
    </row>
    <row r="16">
      <c r="A16" s="14" t="n">
        <v>12</v>
      </c>
      <c r="B16" s="14" t="inlineStr">
        <is>
          <t>273.pdf</t>
        </is>
      </c>
      <c r="C16" s="44" t="n">
        <v>46113</v>
      </c>
      <c r="D16" s="44" t="n">
        <v>46142</v>
      </c>
      <c r="E16" s="44" t="n">
        <v>46116</v>
      </c>
      <c r="F16" s="44" t="n">
        <v>46116</v>
      </c>
      <c r="G16" s="16" t="inlineStr">
        <is>
          <t>BY CASH BY CASH</t>
        </is>
      </c>
      <c r="H16" s="14" t="str"/>
      <c r="I16" s="14" t="inlineStr">
        <is>
          <t>Receipt</t>
        </is>
      </c>
      <c r="J16" s="43" t="n">
        <v>0</v>
      </c>
      <c r="K16" s="43" t="n">
        <v>423500</v>
      </c>
      <c r="L16" s="43" t="n">
        <v>423500</v>
      </c>
      <c r="M16" s="43" t="n">
        <v>-7751471.7</v>
      </c>
      <c r="N16" s="14" t="inlineStr">
        <is>
          <t>Cash; High Transaction; Recurring Transaction</t>
        </is>
      </c>
      <c r="O16" s="14" t="inlineStr">
        <is>
          <t>Yes</t>
        </is>
      </c>
      <c r="P16" s="14" t="inlineStr">
        <is>
          <t>BY CASH BY CASH</t>
        </is>
      </c>
      <c r="Q16" s="14" t="n">
        <v>1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4" t="n">
        <v>46116</v>
      </c>
      <c r="AB16" s="46">
        <f>HYPERLINK("#'Transactions'!A13", "View Source Row")</f>
        <v/>
      </c>
    </row>
    <row r="17">
      <c r="A17" s="14" t="n">
        <v>13</v>
      </c>
      <c r="B17" s="14" t="inlineStr">
        <is>
          <t>273.pdf</t>
        </is>
      </c>
      <c r="C17" s="44" t="n">
        <v>46113</v>
      </c>
      <c r="D17" s="44" t="n">
        <v>46142</v>
      </c>
      <c r="E17" s="44" t="n">
        <v>46116</v>
      </c>
      <c r="F17" s="44" t="n">
        <v>46116</v>
      </c>
      <c r="G17" s="16" t="inlineStr">
        <is>
          <t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7" s="14" t="str"/>
      <c r="I17" s="14" t="inlineStr">
        <is>
          <t>Receipt</t>
        </is>
      </c>
      <c r="J17" s="43" t="n">
        <v>0</v>
      </c>
      <c r="K17" s="43" t="n">
        <v>120330.37</v>
      </c>
      <c r="L17" s="43" t="n">
        <v>120330.37</v>
      </c>
      <c r="M17" s="43" t="n">
        <v>-7631141.33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EBANKWIB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4" t="n">
        <v>46116</v>
      </c>
      <c r="AB17" s="46">
        <f>HYPERLINK("#'Transactions'!A14", "View Source Row")</f>
        <v/>
      </c>
    </row>
    <row r="18">
      <c r="A18" s="14" t="n">
        <v>14</v>
      </c>
      <c r="B18" s="14" t="inlineStr">
        <is>
          <t>273.pdf</t>
        </is>
      </c>
      <c r="C18" s="44" t="n">
        <v>46113</v>
      </c>
      <c r="D18" s="44" t="n">
        <v>46142</v>
      </c>
      <c r="E18" s="44" t="n">
        <v>46116</v>
      </c>
      <c r="F18" s="44" t="n">
        <v>46116</v>
      </c>
      <c r="G18" s="16" t="inlineStr">
        <is>
          <t>RTGS-BARBR5202 RTGS-BARBR52026040400789528-HINDUSTAN PETROLEUM CO</t>
        </is>
      </c>
      <c r="H18" s="14" t="str"/>
      <c r="I18" s="14" t="inlineStr">
        <is>
          <t>Payment</t>
        </is>
      </c>
      <c r="J18" s="43" t="n">
        <v>1854884.36</v>
      </c>
      <c r="K18" s="43" t="n">
        <v>0</v>
      </c>
      <c r="L18" s="43" t="n">
        <v>1854884.36</v>
      </c>
      <c r="M18" s="43" t="n">
        <v>-9486025.689999999</v>
      </c>
      <c r="N18" s="14" t="inlineStr">
        <is>
          <t>High Transaction; Recurring Transaction</t>
        </is>
      </c>
      <c r="O18" s="14" t="inlineStr">
        <is>
          <t>Yes</t>
        </is>
      </c>
      <c r="P18" s="14" t="inlineStr">
        <is>
          <t>BARBR RTGS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4" t="n">
        <v>46116</v>
      </c>
      <c r="AB18" s="46">
        <f>HYPERLINK("#'Transactions'!A15", "View Source Row")</f>
        <v/>
      </c>
    </row>
    <row r="19">
      <c r="A19" s="14" t="n">
        <v>15</v>
      </c>
      <c r="B19" s="14" t="inlineStr">
        <is>
          <t>273.pdf</t>
        </is>
      </c>
      <c r="C19" s="44" t="n">
        <v>46113</v>
      </c>
      <c r="D19" s="44" t="n">
        <v>46142</v>
      </c>
      <c r="E19" s="44" t="n">
        <v>46117</v>
      </c>
      <c r="F19" s="44" t="n">
        <v>46117</v>
      </c>
      <c r="G19" s="16" t="inlineStr">
        <is>
          <t>EBANK:WIB/1502 EBANK:WIB/1502577386/Edfs</t>
        </is>
      </c>
      <c r="H19" s="14" t="str"/>
      <c r="I19" s="14" t="inlineStr">
        <is>
          <t>Receipt</t>
        </is>
      </c>
      <c r="J19" s="43" t="n">
        <v>0</v>
      </c>
      <c r="K19" s="43" t="n">
        <v>300403.36</v>
      </c>
      <c r="L19" s="43" t="n">
        <v>300403.36</v>
      </c>
      <c r="M19" s="43" t="n">
        <v>-9185622.33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EBANKWIB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4" t="n">
        <v>46117</v>
      </c>
      <c r="AB19" s="46">
        <f>HYPERLINK("#'Transactions'!A16", "View Source Row")</f>
        <v/>
      </c>
    </row>
    <row r="20">
      <c r="A20" s="14" t="n">
        <v>16</v>
      </c>
      <c r="B20" s="14" t="inlineStr">
        <is>
          <t>273.pdf</t>
        </is>
      </c>
      <c r="C20" s="44" t="n">
        <v>46113</v>
      </c>
      <c r="D20" s="44" t="n">
        <v>46142</v>
      </c>
      <c r="E20" s="44" t="n">
        <v>46118</v>
      </c>
      <c r="F20" s="44" t="n">
        <v>46118</v>
      </c>
      <c r="G20" s="16" t="inlineStr">
        <is>
          <t>EBANK:WIB/1502 https://cbdrpt101.bankofbaroda.co.in:22000/finbranch/arjspmorph/INFENG/tran_rpt.jsp?... 04-05-2026 EBANK:WIB/1502642025/Edfs</t>
        </is>
      </c>
      <c r="H20" s="14" t="str"/>
      <c r="I20" s="14" t="inlineStr">
        <is>
          <t>Receipt</t>
        </is>
      </c>
      <c r="J20" s="43" t="n">
        <v>0</v>
      </c>
      <c r="K20" s="43" t="n">
        <v>365780.21</v>
      </c>
      <c r="L20" s="43" t="n">
        <v>365780.21</v>
      </c>
      <c r="M20" s="43" t="n">
        <v>-8819842.119999999</v>
      </c>
      <c r="N20" s="14" t="inlineStr">
        <is>
          <t>High Transaction; Recurring Transaction</t>
        </is>
      </c>
      <c r="O20" s="14" t="inlineStr">
        <is>
          <t>Yes</t>
        </is>
      </c>
      <c r="P20" s="14" t="inlineStr">
        <is>
          <t>EBANKWIB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4" t="n">
        <v>46118</v>
      </c>
      <c r="AB20" s="46">
        <f>HYPERLINK("#'Transactions'!A17", "View Source Row")</f>
        <v/>
      </c>
    </row>
    <row r="21">
      <c r="A21" s="14" t="n">
        <v>17</v>
      </c>
      <c r="B21" s="14" t="inlineStr">
        <is>
          <t>273.pdf</t>
        </is>
      </c>
      <c r="C21" s="44" t="n">
        <v>46113</v>
      </c>
      <c r="D21" s="44" t="n">
        <v>46142</v>
      </c>
      <c r="E21" s="44" t="n">
        <v>46118</v>
      </c>
      <c r="F21" s="44" t="n">
        <v>46118</v>
      </c>
      <c r="G21" s="16" t="inlineStr">
        <is>
          <t>BY CASH BY CASH</t>
        </is>
      </c>
      <c r="H21" s="14" t="str"/>
      <c r="I21" s="14" t="inlineStr">
        <is>
          <t>Receipt</t>
        </is>
      </c>
      <c r="J21" s="43" t="n">
        <v>0</v>
      </c>
      <c r="K21" s="43" t="n">
        <v>273000</v>
      </c>
      <c r="L21" s="43" t="n">
        <v>273000</v>
      </c>
      <c r="M21" s="43" t="n">
        <v>-8546842.119999999</v>
      </c>
      <c r="N21" s="14" t="inlineStr">
        <is>
          <t>Cash; High Transaction; Recurring Transaction</t>
        </is>
      </c>
      <c r="O21" s="14" t="inlineStr">
        <is>
          <t>Yes</t>
        </is>
      </c>
      <c r="P21" s="14" t="inlineStr">
        <is>
          <t>BY CASH BY CASH</t>
        </is>
      </c>
      <c r="Q21" s="14" t="n">
        <v>1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4" t="n">
        <v>46118</v>
      </c>
      <c r="AB21" s="46">
        <f>HYPERLINK("#'Transactions'!A18", "View Source Row")</f>
        <v/>
      </c>
    </row>
    <row r="22">
      <c r="A22" s="14" t="n">
        <v>18</v>
      </c>
      <c r="B22" s="14" t="inlineStr">
        <is>
          <t>273.pdf</t>
        </is>
      </c>
      <c r="C22" s="44" t="n">
        <v>46113</v>
      </c>
      <c r="D22" s="44" t="n">
        <v>46142</v>
      </c>
      <c r="E22" s="44" t="n">
        <v>46118</v>
      </c>
      <c r="F22" s="44" t="n">
        <v>46118</v>
      </c>
      <c r="G22" s="16" t="inlineStr">
        <is>
          <t>EBANK:WIB/1502 EBANK:WIB/1502790855/Edfs</t>
        </is>
      </c>
      <c r="H22" s="14" t="str"/>
      <c r="I22" s="14" t="inlineStr">
        <is>
          <t>Receipt</t>
        </is>
      </c>
      <c r="J22" s="43" t="n">
        <v>0</v>
      </c>
      <c r="K22" s="43" t="n">
        <v>198114</v>
      </c>
      <c r="L22" s="43" t="n">
        <v>198114</v>
      </c>
      <c r="M22" s="43" t="n">
        <v>-8348728.12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EBANKWIB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4" t="n">
        <v>46118</v>
      </c>
      <c r="AB22" s="46">
        <f>HYPERLINK("#'Transactions'!A19", "View Source Row")</f>
        <v/>
      </c>
    </row>
    <row r="23">
      <c r="A23" s="14" t="n">
        <v>19</v>
      </c>
      <c r="B23" s="14" t="inlineStr">
        <is>
          <t>273.pdf</t>
        </is>
      </c>
      <c r="C23" s="44" t="n">
        <v>46113</v>
      </c>
      <c r="D23" s="44" t="n">
        <v>46142</v>
      </c>
      <c r="E23" s="44" t="n">
        <v>46118</v>
      </c>
      <c r="F23" s="44" t="n">
        <v>46118</v>
      </c>
      <c r="G23" s="16" t="inlineStr">
        <is>
          <t>BASGUR-GURGAON INT260324DEAL6234708</t>
        </is>
      </c>
      <c r="H23" s="14" t="str"/>
      <c r="I23" s="14" t="inlineStr">
        <is>
          <t>Payment</t>
        </is>
      </c>
      <c r="J23" s="43" t="n">
        <v>5732.4</v>
      </c>
      <c r="K23" s="43" t="n">
        <v>0</v>
      </c>
      <c r="L23" s="43" t="n">
        <v>5732.4</v>
      </c>
      <c r="M23" s="43" t="n">
        <v>-8354460.52</v>
      </c>
      <c r="N23" s="14" t="inlineStr">
        <is>
          <t>Other</t>
        </is>
      </c>
      <c r="O23" s="14" t="inlineStr">
        <is>
          <t>No</t>
        </is>
      </c>
      <c r="P23" s="14" t="inlineStr">
        <is>
          <t>GURGAON INTDEAL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4" t="n">
        <v>46118</v>
      </c>
      <c r="AB23" s="46">
        <f>HYPERLINK("#'Transactions'!A20", "View Source Row")</f>
        <v/>
      </c>
    </row>
    <row r="24">
      <c r="A24" s="14" t="n">
        <v>20</v>
      </c>
      <c r="B24" s="14" t="inlineStr">
        <is>
          <t>273.pdf</t>
        </is>
      </c>
      <c r="C24" s="44" t="n">
        <v>46113</v>
      </c>
      <c r="D24" s="44" t="n">
        <v>46142</v>
      </c>
      <c r="E24" s="44" t="n">
        <v>46119</v>
      </c>
      <c r="F24" s="44" t="n">
        <v>46119</v>
      </c>
      <c r="G24" s="16" t="inlineStr">
        <is>
          <t>EBANK:WIB/1502 EBANK:WIB/1502821939/Edfs</t>
        </is>
      </c>
      <c r="H24" s="14" t="str"/>
      <c r="I24" s="14" t="inlineStr">
        <is>
          <t>Receipt</t>
        </is>
      </c>
      <c r="J24" s="43" t="n">
        <v>0</v>
      </c>
      <c r="K24" s="43" t="n">
        <v>330493.07</v>
      </c>
      <c r="L24" s="43" t="n">
        <v>330493.07</v>
      </c>
      <c r="M24" s="43" t="n">
        <v>-8023967.45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4" t="n">
        <v>46119</v>
      </c>
      <c r="AB24" s="46">
        <f>HYPERLINK("#'Transactions'!A21", "View Source Row")</f>
        <v/>
      </c>
    </row>
    <row r="25">
      <c r="A25" s="14" t="n">
        <v>21</v>
      </c>
      <c r="B25" s="14" t="inlineStr">
        <is>
          <t>273.pdf</t>
        </is>
      </c>
      <c r="C25" s="44" t="n">
        <v>46113</v>
      </c>
      <c r="D25" s="44" t="n">
        <v>46142</v>
      </c>
      <c r="E25" s="44" t="n">
        <v>46119</v>
      </c>
      <c r="F25" s="44" t="n">
        <v>46119</v>
      </c>
      <c r="G25" s="16" t="inlineStr">
        <is>
          <t>EBANK:WIB/1502 EBANK:WIB/1502986421/Edfs</t>
        </is>
      </c>
      <c r="H25" s="14" t="str"/>
      <c r="I25" s="14" t="inlineStr">
        <is>
          <t>Receipt</t>
        </is>
      </c>
      <c r="J25" s="43" t="n">
        <v>0</v>
      </c>
      <c r="K25" s="43" t="n">
        <v>137582.35</v>
      </c>
      <c r="L25" s="43" t="n">
        <v>137582.35</v>
      </c>
      <c r="M25" s="43" t="n">
        <v>-7886385.1</v>
      </c>
      <c r="N25" s="14" t="inlineStr">
        <is>
          <t>High Transaction; Recurring Transaction</t>
        </is>
      </c>
      <c r="O25" s="14" t="inlineStr">
        <is>
          <t>Yes</t>
        </is>
      </c>
      <c r="P25" s="14" t="inlineStr">
        <is>
          <t>EBANKWIB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4" t="n">
        <v>46119</v>
      </c>
      <c r="AB25" s="46">
        <f>HYPERLINK("#'Transactions'!A22", "View Source Row")</f>
        <v/>
      </c>
    </row>
    <row r="26">
      <c r="A26" s="14" t="n">
        <v>22</v>
      </c>
      <c r="B26" s="14" t="inlineStr">
        <is>
          <t>273.pdf</t>
        </is>
      </c>
      <c r="C26" s="44" t="n">
        <v>46113</v>
      </c>
      <c r="D26" s="44" t="n">
        <v>46142</v>
      </c>
      <c r="E26" s="44" t="n">
        <v>46119</v>
      </c>
      <c r="F26" s="44" t="n">
        <v>46119</v>
      </c>
      <c r="G26" s="16" t="inlineStr">
        <is>
          <t>RTGS-BARBR5202 RTGS-BARBR52026040700945156-HINDUSTAN PETROLEUM CO</t>
        </is>
      </c>
      <c r="H26" s="14" t="str"/>
      <c r="I26" s="14" t="inlineStr">
        <is>
          <t>Payment</t>
        </is>
      </c>
      <c r="J26" s="43" t="n">
        <v>1902609.28</v>
      </c>
      <c r="K26" s="43" t="n">
        <v>0</v>
      </c>
      <c r="L26" s="43" t="n">
        <v>1902609.28</v>
      </c>
      <c r="M26" s="43" t="n">
        <v>-9788994.380000001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BARBR RTGS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4" t="n">
        <v>46119</v>
      </c>
      <c r="AB26" s="46">
        <f>HYPERLINK("#'Transactions'!A23", "View Source Row")</f>
        <v/>
      </c>
    </row>
    <row r="27">
      <c r="A27" s="14" t="n">
        <v>23</v>
      </c>
      <c r="B27" s="14" t="inlineStr">
        <is>
          <t>273.pdf</t>
        </is>
      </c>
      <c r="C27" s="44" t="n">
        <v>46113</v>
      </c>
      <c r="D27" s="44" t="n">
        <v>46142</v>
      </c>
      <c r="E27" s="44" t="n">
        <v>46120</v>
      </c>
      <c r="F27" s="44" t="n">
        <v>46120</v>
      </c>
      <c r="G27" s="16" t="inlineStr">
        <is>
          <t>EBANK:WIB/1503 EBANK:WIB/1503050809/Edfs</t>
        </is>
      </c>
      <c r="H27" s="14" t="str"/>
      <c r="I27" s="14" t="inlineStr">
        <is>
          <t>Receipt</t>
        </is>
      </c>
      <c r="J27" s="43" t="n">
        <v>0</v>
      </c>
      <c r="K27" s="43" t="n">
        <v>381113</v>
      </c>
      <c r="L27" s="43" t="n">
        <v>381113</v>
      </c>
      <c r="M27" s="43" t="n">
        <v>-9407881.380000001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EBANKWIB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4" t="n">
        <v>46120</v>
      </c>
      <c r="AB27" s="46">
        <f>HYPERLINK("#'Transactions'!A24", "View Source Row")</f>
        <v/>
      </c>
    </row>
    <row r="28">
      <c r="A28" s="14" t="n">
        <v>24</v>
      </c>
      <c r="B28" s="14" t="inlineStr">
        <is>
          <t>273.pdf</t>
        </is>
      </c>
      <c r="C28" s="44" t="n">
        <v>46113</v>
      </c>
      <c r="D28" s="44" t="n">
        <v>46142</v>
      </c>
      <c r="E28" s="44" t="n">
        <v>46120</v>
      </c>
      <c r="F28" s="44" t="n">
        <v>46120</v>
      </c>
      <c r="G28" s="16" t="inlineStr">
        <is>
          <t>BY CASH BY CASH</t>
        </is>
      </c>
      <c r="H28" s="14" t="str"/>
      <c r="I28" s="14" t="inlineStr">
        <is>
          <t>Receipt</t>
        </is>
      </c>
      <c r="J28" s="43" t="n">
        <v>0</v>
      </c>
      <c r="K28" s="43" t="n">
        <v>115000</v>
      </c>
      <c r="L28" s="43" t="n">
        <v>115000</v>
      </c>
      <c r="M28" s="43" t="n">
        <v>-9292881.380000001</v>
      </c>
      <c r="N28" s="14" t="inlineStr">
        <is>
          <t>Cash; High Transaction; Recurring Transaction</t>
        </is>
      </c>
      <c r="O28" s="14" t="inlineStr">
        <is>
          <t>Yes</t>
        </is>
      </c>
      <c r="P28" s="14" t="inlineStr">
        <is>
          <t>BY CASH BY CASH</t>
        </is>
      </c>
      <c r="Q28" s="14" t="n">
        <v>1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4" t="n">
        <v>46120</v>
      </c>
      <c r="AB28" s="46">
        <f>HYPERLINK("#'Transactions'!A25", "View Source Row")</f>
        <v/>
      </c>
    </row>
    <row r="29">
      <c r="A29" s="14" t="n">
        <v>25</v>
      </c>
      <c r="B29" s="14" t="inlineStr">
        <is>
          <t>273.pdf</t>
        </is>
      </c>
      <c r="C29" s="44" t="n">
        <v>46113</v>
      </c>
      <c r="D29" s="44" t="n">
        <v>46142</v>
      </c>
      <c r="E29" s="44" t="n">
        <v>46120</v>
      </c>
      <c r="F29" s="44" t="n">
        <v>46120</v>
      </c>
      <c r="G29" s="16" t="inlineStr">
        <is>
          <t>EBANK:WIB/1503 EBANK:WIB/1503170712/Edfs</t>
        </is>
      </c>
      <c r="H29" s="14" t="str"/>
      <c r="I29" s="14" t="inlineStr">
        <is>
          <t>Receipt</t>
        </is>
      </c>
      <c r="J29" s="43" t="n">
        <v>0</v>
      </c>
      <c r="K29" s="43" t="n">
        <v>108620</v>
      </c>
      <c r="L29" s="43" t="n">
        <v>108620</v>
      </c>
      <c r="M29" s="43" t="n">
        <v>-9184261.380000001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EBANKWIB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4" t="n">
        <v>46120</v>
      </c>
      <c r="AB29" s="46">
        <f>HYPERLINK("#'Transactions'!A26", "View Source Row")</f>
        <v/>
      </c>
    </row>
    <row r="30">
      <c r="A30" s="14" t="n">
        <v>26</v>
      </c>
      <c r="B30" s="14" t="inlineStr">
        <is>
          <t>273.pdf</t>
        </is>
      </c>
      <c r="C30" s="44" t="n">
        <v>46113</v>
      </c>
      <c r="D30" s="44" t="n">
        <v>46142</v>
      </c>
      <c r="E30" s="44" t="n">
        <v>46121</v>
      </c>
      <c r="F30" s="44" t="n">
        <v>46121</v>
      </c>
      <c r="G30" s="16" t="inlineStr">
        <is>
          <t>0000-MUMBAI/IN INT260325DEAL6242558</t>
        </is>
      </c>
      <c r="H30" s="14" t="str"/>
      <c r="I30" s="14" t="inlineStr">
        <is>
          <t>Payment</t>
        </is>
      </c>
      <c r="J30" s="43" t="n">
        <v>5694.93</v>
      </c>
      <c r="K30" s="43" t="n">
        <v>0</v>
      </c>
      <c r="L30" s="43" t="n">
        <v>5694.93</v>
      </c>
      <c r="M30" s="43" t="n">
        <v>-9189956.310000001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IN INTDEAL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4" t="n">
        <v>46121</v>
      </c>
      <c r="AB30" s="46">
        <f>HYPERLINK("#'Transactions'!A27", "View Source Row")</f>
        <v/>
      </c>
    </row>
    <row r="31">
      <c r="A31" s="14" t="n">
        <v>27</v>
      </c>
      <c r="B31" s="14" t="inlineStr">
        <is>
          <t>273.pdf</t>
        </is>
      </c>
      <c r="C31" s="44" t="n">
        <v>46113</v>
      </c>
      <c r="D31" s="44" t="n">
        <v>46142</v>
      </c>
      <c r="E31" s="44" t="n">
        <v>46121</v>
      </c>
      <c r="F31" s="44" t="n">
        <v>46121</v>
      </c>
      <c r="G31" s="16" t="inlineStr">
        <is>
          <t>0000-MUMBAI/IN INT260325DEAL6242558</t>
        </is>
      </c>
      <c r="H31" s="14" t="str"/>
      <c r="I31" s="14" t="inlineStr">
        <is>
          <t>Receipt</t>
        </is>
      </c>
      <c r="J31" s="43" t="n">
        <v>0</v>
      </c>
      <c r="K31" s="43" t="n">
        <v>25.59</v>
      </c>
      <c r="L31" s="43" t="n">
        <v>25.59</v>
      </c>
      <c r="M31" s="43" t="n">
        <v>-9189930.720000001</v>
      </c>
      <c r="N31" s="14" t="inlineStr">
        <is>
          <t>Recurring Transaction</t>
        </is>
      </c>
      <c r="O31" s="14" t="inlineStr">
        <is>
          <t>Yes</t>
        </is>
      </c>
      <c r="P31" s="14" t="inlineStr">
        <is>
          <t>IN INTDEAL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4" t="n">
        <v>46121</v>
      </c>
      <c r="AB31" s="46">
        <f>HYPERLINK("#'Transactions'!A28", "View Source Row")</f>
        <v/>
      </c>
    </row>
    <row r="32">
      <c r="A32" s="14" t="n">
        <v>28</v>
      </c>
      <c r="B32" s="14" t="inlineStr">
        <is>
          <t>273.pdf</t>
        </is>
      </c>
      <c r="C32" s="44" t="n">
        <v>46113</v>
      </c>
      <c r="D32" s="44" t="n">
        <v>46142</v>
      </c>
      <c r="E32" s="44" t="n">
        <v>46121</v>
      </c>
      <c r="F32" s="44" t="n">
        <v>46121</v>
      </c>
      <c r="G32" s="16" t="inlineStr">
        <is>
          <t>BY CASH BY CASH</t>
        </is>
      </c>
      <c r="H32" s="14" t="str"/>
      <c r="I32" s="14" t="inlineStr">
        <is>
          <t>Receipt</t>
        </is>
      </c>
      <c r="J32" s="43" t="n">
        <v>0</v>
      </c>
      <c r="K32" s="43" t="n">
        <v>180000</v>
      </c>
      <c r="L32" s="43" t="n">
        <v>180000</v>
      </c>
      <c r="M32" s="43" t="n">
        <v>-9009930.720000001</v>
      </c>
      <c r="N32" s="14" t="inlineStr">
        <is>
          <t>Cash; High Transaction; Recurring Transaction</t>
        </is>
      </c>
      <c r="O32" s="14" t="inlineStr">
        <is>
          <t>Yes</t>
        </is>
      </c>
      <c r="P32" s="14" t="inlineStr">
        <is>
          <t>BY CASH BY CASH</t>
        </is>
      </c>
      <c r="Q32" s="14" t="n">
        <v>1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4" t="n">
        <v>46121</v>
      </c>
      <c r="AB32" s="46">
        <f>HYPERLINK("#'Transactions'!A29", "View Source Row")</f>
        <v/>
      </c>
    </row>
    <row r="33">
      <c r="A33" s="14" t="n">
        <v>29</v>
      </c>
      <c r="B33" s="14" t="inlineStr">
        <is>
          <t>273.pdf</t>
        </is>
      </c>
      <c r="C33" s="44" t="n">
        <v>46113</v>
      </c>
      <c r="D33" s="44" t="n">
        <v>46142</v>
      </c>
      <c r="E33" s="44" t="n">
        <v>46121</v>
      </c>
      <c r="F33" s="44" t="n">
        <v>46121</v>
      </c>
      <c r="G33" s="16" t="inlineStr">
        <is>
          <t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33" s="14" t="str"/>
      <c r="I33" s="14" t="inlineStr">
        <is>
          <t>Receipt</t>
        </is>
      </c>
      <c r="J33" s="43" t="n">
        <v>0</v>
      </c>
      <c r="K33" s="43" t="n">
        <v>380118</v>
      </c>
      <c r="L33" s="43" t="n">
        <v>380118</v>
      </c>
      <c r="M33" s="43" t="n">
        <v>-8629812.720000001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4" t="n">
        <v>46121</v>
      </c>
      <c r="AB33" s="46">
        <f>HYPERLINK("#'Transactions'!A30", "View Source Row")</f>
        <v/>
      </c>
    </row>
    <row r="34">
      <c r="A34" s="14" t="n">
        <v>30</v>
      </c>
      <c r="B34" s="14" t="inlineStr">
        <is>
          <t>273.pdf</t>
        </is>
      </c>
      <c r="C34" s="44" t="n">
        <v>46113</v>
      </c>
      <c r="D34" s="44" t="n">
        <v>46142</v>
      </c>
      <c r="E34" s="44" t="n">
        <v>46122</v>
      </c>
      <c r="F34" s="44" t="n">
        <v>46122</v>
      </c>
      <c r="G34" s="16" t="inlineStr">
        <is>
          <t>EBANK:WIB/1503 EBANK:WIB/1503339201/Edfs</t>
        </is>
      </c>
      <c r="H34" s="14" t="str"/>
      <c r="I34" s="14" t="inlineStr">
        <is>
          <t>Receipt</t>
        </is>
      </c>
      <c r="J34" s="43" t="n">
        <v>0</v>
      </c>
      <c r="K34" s="43" t="n">
        <v>432999</v>
      </c>
      <c r="L34" s="43" t="n">
        <v>432999</v>
      </c>
      <c r="M34" s="43" t="n">
        <v>-8196813.72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4" t="n">
        <v>46122</v>
      </c>
      <c r="AB34" s="46">
        <f>HYPERLINK("#'Transactions'!A31", "View Source Row")</f>
        <v/>
      </c>
    </row>
    <row r="35">
      <c r="A35" s="14" t="n">
        <v>31</v>
      </c>
      <c r="B35" s="14" t="inlineStr">
        <is>
          <t>273.pdf</t>
        </is>
      </c>
      <c r="C35" s="44" t="n">
        <v>46113</v>
      </c>
      <c r="D35" s="44" t="n">
        <v>46142</v>
      </c>
      <c r="E35" s="44" t="n">
        <v>46122</v>
      </c>
      <c r="F35" s="44" t="n">
        <v>46122</v>
      </c>
      <c r="G35" s="16" t="inlineStr">
        <is>
          <t>0000-MUMBAI/IN INT260326DEAL6244623</t>
        </is>
      </c>
      <c r="H35" s="14" t="str"/>
      <c r="I35" s="14" t="inlineStr">
        <is>
          <t>Payment</t>
        </is>
      </c>
      <c r="J35" s="43" t="n">
        <v>1193.25</v>
      </c>
      <c r="K35" s="43" t="n">
        <v>0</v>
      </c>
      <c r="L35" s="43" t="n">
        <v>1193.25</v>
      </c>
      <c r="M35" s="43" t="n">
        <v>-8198006.97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IN INTDEAL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4" t="n">
        <v>46122</v>
      </c>
      <c r="AB35" s="46">
        <f>HYPERLINK("#'Transactions'!A32", "View Source Row")</f>
        <v/>
      </c>
    </row>
    <row r="36">
      <c r="A36" s="14" t="n">
        <v>32</v>
      </c>
      <c r="B36" s="14" t="inlineStr">
        <is>
          <t>273.pdf</t>
        </is>
      </c>
      <c r="C36" s="44" t="n">
        <v>46113</v>
      </c>
      <c r="D36" s="44" t="n">
        <v>46142</v>
      </c>
      <c r="E36" s="44" t="n">
        <v>46122</v>
      </c>
      <c r="F36" s="44" t="n">
        <v>46122</v>
      </c>
      <c r="G36" s="16" t="inlineStr">
        <is>
          <t>RTGS-BARBR5202 RTGS-BARBR52026041000833640-HINDUSTAN PETROLEUM CO</t>
        </is>
      </c>
      <c r="H36" s="14" t="str"/>
      <c r="I36" s="14" t="inlineStr">
        <is>
          <t>Payment</t>
        </is>
      </c>
      <c r="J36" s="43" t="n">
        <v>1801993</v>
      </c>
      <c r="K36" s="43" t="n">
        <v>0</v>
      </c>
      <c r="L36" s="43" t="n">
        <v>1801993</v>
      </c>
      <c r="M36" s="43" t="n">
        <v>-9999999.970000001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BARBR RTGS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4" t="n">
        <v>46122</v>
      </c>
      <c r="AB36" s="46">
        <f>HYPERLINK("#'Transactions'!A33", "View Source Row")</f>
        <v/>
      </c>
    </row>
    <row r="37">
      <c r="A37" s="14" t="n">
        <v>33</v>
      </c>
      <c r="B37" s="14" t="inlineStr">
        <is>
          <t>273.pdf</t>
        </is>
      </c>
      <c r="C37" s="44" t="n">
        <v>46113</v>
      </c>
      <c r="D37" s="44" t="n">
        <v>46142</v>
      </c>
      <c r="E37" s="44" t="n">
        <v>46122</v>
      </c>
      <c r="F37" s="44" t="n">
        <v>46122</v>
      </c>
      <c r="G37" s="16" t="inlineStr">
        <is>
          <t>EBANK:WIB/1503 EBANK:WIB/1503385381/Edfs</t>
        </is>
      </c>
      <c r="H37" s="14" t="str"/>
      <c r="I37" s="14" t="inlineStr">
        <is>
          <t>Receipt</t>
        </is>
      </c>
      <c r="J37" s="43" t="n">
        <v>0</v>
      </c>
      <c r="K37" s="43" t="n">
        <v>49686</v>
      </c>
      <c r="L37" s="43" t="n">
        <v>49686</v>
      </c>
      <c r="M37" s="43" t="n">
        <v>-9950313.970000001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EBANKWIB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4" t="n">
        <v>46122</v>
      </c>
      <c r="AB37" s="46">
        <f>HYPERLINK("#'Transactions'!A34", "View Source Row")</f>
        <v/>
      </c>
    </row>
    <row r="38">
      <c r="A38" s="14" t="n">
        <v>34</v>
      </c>
      <c r="B38" s="14" t="inlineStr">
        <is>
          <t>273.pdf</t>
        </is>
      </c>
      <c r="C38" s="44" t="n">
        <v>46113</v>
      </c>
      <c r="D38" s="44" t="n">
        <v>46142</v>
      </c>
      <c r="E38" s="44" t="n">
        <v>46122</v>
      </c>
      <c r="F38" s="44" t="n">
        <v>46122</v>
      </c>
      <c r="G38" s="16" t="inlineStr">
        <is>
          <t>BY CASH BY CASH</t>
        </is>
      </c>
      <c r="H38" s="14" t="str"/>
      <c r="I38" s="14" t="inlineStr">
        <is>
          <t>Receipt</t>
        </is>
      </c>
      <c r="J38" s="43" t="n">
        <v>0</v>
      </c>
      <c r="K38" s="43" t="n">
        <v>171000</v>
      </c>
      <c r="L38" s="43" t="n">
        <v>171000</v>
      </c>
      <c r="M38" s="43" t="n">
        <v>-9779313.970000001</v>
      </c>
      <c r="N38" s="14" t="inlineStr">
        <is>
          <t>Cash; High Transaction; Recurring Transaction</t>
        </is>
      </c>
      <c r="O38" s="14" t="inlineStr">
        <is>
          <t>Yes</t>
        </is>
      </c>
      <c r="P38" s="14" t="inlineStr">
        <is>
          <t>BY CASH BY CASH</t>
        </is>
      </c>
      <c r="Q38" s="14" t="n">
        <v>1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4" t="n">
        <v>46122</v>
      </c>
      <c r="AB38" s="46">
        <f>HYPERLINK("#'Transactions'!A35", "View Source Row")</f>
        <v/>
      </c>
    </row>
    <row r="39">
      <c r="A39" s="14" t="n">
        <v>35</v>
      </c>
      <c r="B39" s="14" t="inlineStr">
        <is>
          <t>273.pdf</t>
        </is>
      </c>
      <c r="C39" s="44" t="n">
        <v>46113</v>
      </c>
      <c r="D39" s="44" t="n">
        <v>46142</v>
      </c>
      <c r="E39" s="44" t="n">
        <v>46122</v>
      </c>
      <c r="F39" s="44" t="n">
        <v>46122</v>
      </c>
      <c r="G39" s="16" t="inlineStr">
        <is>
          <t>NEFT-BARBQ2610 NEFT-BARBQ26100745025-HINDUSTAN PETROLEUM CORPORAT</t>
        </is>
      </c>
      <c r="H39" s="14" t="str"/>
      <c r="I39" s="14" t="inlineStr">
        <is>
          <t>Payment</t>
        </is>
      </c>
      <c r="J39" s="43" t="n">
        <v>20471.76</v>
      </c>
      <c r="K39" s="43" t="n">
        <v>0</v>
      </c>
      <c r="L39" s="43" t="n">
        <v>20471.76</v>
      </c>
      <c r="M39" s="43" t="n">
        <v>-9799785.73</v>
      </c>
      <c r="N39" s="14" t="inlineStr">
        <is>
          <t>Recurring Transaction</t>
        </is>
      </c>
      <c r="O39" s="14" t="inlineStr">
        <is>
          <t>Yes</t>
        </is>
      </c>
      <c r="P39" s="14" t="inlineStr">
        <is>
          <t>BARBQ NEFT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4" t="n">
        <v>46122</v>
      </c>
      <c r="AB39" s="46">
        <f>HYPERLINK("#'Transactions'!A36", "View Source Row")</f>
        <v/>
      </c>
    </row>
    <row r="40">
      <c r="A40" s="14" t="n">
        <v>36</v>
      </c>
      <c r="B40" s="14" t="inlineStr">
        <is>
          <t>273.pdf</t>
        </is>
      </c>
      <c r="C40" s="44" t="n">
        <v>46113</v>
      </c>
      <c r="D40" s="44" t="n">
        <v>46142</v>
      </c>
      <c r="E40" s="44" t="n">
        <v>46123</v>
      </c>
      <c r="F40" s="44" t="n">
        <v>46123</v>
      </c>
      <c r="G40" s="16" t="inlineStr">
        <is>
          <t>0000-MUMBAI/IN INT260327DEAL6258765</t>
        </is>
      </c>
      <c r="H40" s="14" t="str"/>
      <c r="I40" s="14" t="inlineStr">
        <is>
          <t>Payment</t>
        </is>
      </c>
      <c r="J40" s="43" t="n">
        <v>7076.83</v>
      </c>
      <c r="K40" s="43" t="n">
        <v>0</v>
      </c>
      <c r="L40" s="43" t="n">
        <v>7076.83</v>
      </c>
      <c r="M40" s="43" t="n">
        <v>-9806862.560000001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IN INTDEAL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4" t="n">
        <v>46123</v>
      </c>
      <c r="AB40" s="46">
        <f>HYPERLINK("#'Transactions'!A37", "View Source Row")</f>
        <v/>
      </c>
    </row>
    <row r="41">
      <c r="A41" s="14" t="n">
        <v>37</v>
      </c>
      <c r="B41" s="14" t="inlineStr">
        <is>
          <t>273.pdf</t>
        </is>
      </c>
      <c r="C41" s="44" t="n">
        <v>46113</v>
      </c>
      <c r="D41" s="44" t="n">
        <v>46142</v>
      </c>
      <c r="E41" s="44" t="n">
        <v>46123</v>
      </c>
      <c r="F41" s="44" t="n">
        <v>46123</v>
      </c>
      <c r="G41" s="16" t="inlineStr">
        <is>
          <t>0000-MUMBAI/IN INT260327DEAL6258950</t>
        </is>
      </c>
      <c r="H41" s="14" t="str"/>
      <c r="I41" s="14" t="inlineStr">
        <is>
          <t>Payment</t>
        </is>
      </c>
      <c r="J41" s="43" t="n">
        <v>350.17</v>
      </c>
      <c r="K41" s="43" t="n">
        <v>0</v>
      </c>
      <c r="L41" s="43" t="n">
        <v>350.17</v>
      </c>
      <c r="M41" s="43" t="n">
        <v>-9807212.73</v>
      </c>
      <c r="N41" s="14" t="inlineStr">
        <is>
          <t>Recurring Transaction</t>
        </is>
      </c>
      <c r="O41" s="14" t="inlineStr">
        <is>
          <t>Yes</t>
        </is>
      </c>
      <c r="P41" s="14" t="inlineStr">
        <is>
          <t>IN INTDEAL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4" t="n">
        <v>46123</v>
      </c>
      <c r="AB41" s="46">
        <f>HYPERLINK("#'Transactions'!A38", "View Source Row")</f>
        <v/>
      </c>
    </row>
    <row r="42">
      <c r="A42" s="14" t="n">
        <v>38</v>
      </c>
      <c r="B42" s="14" t="inlineStr">
        <is>
          <t>273.pdf</t>
        </is>
      </c>
      <c r="C42" s="44" t="n">
        <v>46113</v>
      </c>
      <c r="D42" s="44" t="n">
        <v>46142</v>
      </c>
      <c r="E42" s="44" t="n">
        <v>46123</v>
      </c>
      <c r="F42" s="44" t="n">
        <v>46123</v>
      </c>
      <c r="G42" s="16" t="inlineStr">
        <is>
          <t>EBANK:WIB/1503 EBANK:WIB/1503559058/Edfs</t>
        </is>
      </c>
      <c r="H42" s="14" t="str"/>
      <c r="I42" s="14" t="inlineStr">
        <is>
          <t>Receipt</t>
        </is>
      </c>
      <c r="J42" s="43" t="n">
        <v>0</v>
      </c>
      <c r="K42" s="43" t="n">
        <v>353767.15</v>
      </c>
      <c r="L42" s="43" t="n">
        <v>353767.15</v>
      </c>
      <c r="M42" s="43" t="n">
        <v>-9453445.58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4" t="n">
        <v>46123</v>
      </c>
      <c r="AB42" s="46">
        <f>HYPERLINK("#'Transactions'!A39", "View Source Row")</f>
        <v/>
      </c>
    </row>
    <row r="43">
      <c r="A43" s="14" t="n">
        <v>39</v>
      </c>
      <c r="B43" s="14" t="inlineStr">
        <is>
          <t>273.pdf</t>
        </is>
      </c>
      <c r="C43" s="44" t="n">
        <v>46113</v>
      </c>
      <c r="D43" s="44" t="n">
        <v>46142</v>
      </c>
      <c r="E43" s="44" t="n">
        <v>46124</v>
      </c>
      <c r="F43" s="44" t="n">
        <v>46124</v>
      </c>
      <c r="G43" s="16" t="inlineStr">
        <is>
          <t>EBANK:WIB/1503 EBANK:WIB/1503691094/Edfs</t>
        </is>
      </c>
      <c r="H43" s="14" t="str"/>
      <c r="I43" s="14" t="inlineStr">
        <is>
          <t>Receipt</t>
        </is>
      </c>
      <c r="J43" s="43" t="n">
        <v>0</v>
      </c>
      <c r="K43" s="43" t="n">
        <v>521281.39</v>
      </c>
      <c r="L43" s="43" t="n">
        <v>521281.39</v>
      </c>
      <c r="M43" s="43" t="n">
        <v>-8932164.189999999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EBANKWIB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4" t="n">
        <v>46124</v>
      </c>
      <c r="AB43" s="46">
        <f>HYPERLINK("#'Transactions'!A40", "View Source Row")</f>
        <v/>
      </c>
    </row>
    <row r="44">
      <c r="A44" s="14" t="n">
        <v>40</v>
      </c>
      <c r="B44" s="14" t="inlineStr">
        <is>
          <t>273.pdf</t>
        </is>
      </c>
      <c r="C44" s="44" t="n">
        <v>46113</v>
      </c>
      <c r="D44" s="44" t="n">
        <v>46142</v>
      </c>
      <c r="E44" s="44" t="n">
        <v>46125</v>
      </c>
      <c r="F44" s="44" t="n">
        <v>46125</v>
      </c>
      <c r="G44" s="16" t="inlineStr">
        <is>
          <t>0000-MUMBAI/IN INT260327DEAL6258765</t>
        </is>
      </c>
      <c r="H44" s="14" t="str"/>
      <c r="I44" s="14" t="inlineStr">
        <is>
          <t>Payment</t>
        </is>
      </c>
      <c r="J44" s="43" t="n">
        <v>305.5</v>
      </c>
      <c r="K44" s="43" t="n">
        <v>0</v>
      </c>
      <c r="L44" s="43" t="n">
        <v>305.5</v>
      </c>
      <c r="M44" s="43" t="n">
        <v>-8932469.689999999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IN INTDEAL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4" t="n">
        <v>46125</v>
      </c>
      <c r="AB44" s="46">
        <f>HYPERLINK("#'Transactions'!A41", "View Source Row")</f>
        <v/>
      </c>
    </row>
    <row r="45">
      <c r="A45" s="14" t="n">
        <v>41</v>
      </c>
      <c r="B45" s="14" t="inlineStr">
        <is>
          <t>273.pdf</t>
        </is>
      </c>
      <c r="C45" s="44" t="n">
        <v>46113</v>
      </c>
      <c r="D45" s="44" t="n">
        <v>46142</v>
      </c>
      <c r="E45" s="44" t="n">
        <v>46125</v>
      </c>
      <c r="F45" s="44" t="n">
        <v>46125</v>
      </c>
      <c r="G45" s="16" t="inlineStr">
        <is>
          <t>VIRARW-THANE/B https://cbdrpt101.bankofbaroda.co.in:22000/finbranch/arjspmorph/INFENG/tran_rpt.jsp?... 04-05-2026 BY CASH</t>
        </is>
      </c>
      <c r="H45" s="14" t="str"/>
      <c r="I45" s="14" t="inlineStr">
        <is>
          <t>Receipt</t>
        </is>
      </c>
      <c r="J45" s="43" t="n">
        <v>0</v>
      </c>
      <c r="K45" s="43" t="n">
        <v>439000</v>
      </c>
      <c r="L45" s="43" t="n">
        <v>439000</v>
      </c>
      <c r="M45" s="43" t="n">
        <v>-8493469.689999999</v>
      </c>
      <c r="N45" s="14" t="inlineStr">
        <is>
          <t>Cash; High Transaction</t>
        </is>
      </c>
      <c r="O45" s="14" t="inlineStr">
        <is>
          <t>No</t>
        </is>
      </c>
      <c r="P45" s="14" t="inlineStr">
        <is>
          <t>CBDRPTBANKOFBARODACOIN</t>
        </is>
      </c>
      <c r="Q45" s="14" t="n">
        <v>1</v>
      </c>
      <c r="R45" s="14" t="n">
        <v>0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4" t="n">
        <v>46125</v>
      </c>
      <c r="AB45" s="46">
        <f>HYPERLINK("#'Transactions'!A42", "View Source Row")</f>
        <v/>
      </c>
    </row>
    <row r="46">
      <c r="A46" s="14" t="n">
        <v>42</v>
      </c>
      <c r="B46" s="14" t="inlineStr">
        <is>
          <t>273.pdf</t>
        </is>
      </c>
      <c r="C46" s="44" t="n">
        <v>46113</v>
      </c>
      <c r="D46" s="44" t="n">
        <v>46142</v>
      </c>
      <c r="E46" s="44" t="n">
        <v>46125</v>
      </c>
      <c r="F46" s="44" t="n">
        <v>46125</v>
      </c>
      <c r="G46" s="16" t="inlineStr">
        <is>
          <t>DIGITA-MUMBAI/ INT260327DEAL6258765</t>
        </is>
      </c>
      <c r="H46" s="14" t="str"/>
      <c r="I46" s="14" t="inlineStr">
        <is>
          <t>Payment</t>
        </is>
      </c>
      <c r="J46" s="43" t="n">
        <v>182.75</v>
      </c>
      <c r="K46" s="43" t="n">
        <v>0</v>
      </c>
      <c r="L46" s="43" t="n">
        <v>182.75</v>
      </c>
      <c r="M46" s="43" t="n">
        <v>-8493652.439999999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DIGITA-MUMBAI/ INT#DEAL#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4" t="n">
        <v>46125</v>
      </c>
      <c r="AB46" s="46">
        <f>HYPERLINK("#'Transactions'!A43", "View Source Row")</f>
        <v/>
      </c>
    </row>
    <row r="47">
      <c r="A47" s="14" t="n">
        <v>43</v>
      </c>
      <c r="B47" s="14" t="inlineStr">
        <is>
          <t>273.pdf</t>
        </is>
      </c>
      <c r="C47" s="44" t="n">
        <v>46113</v>
      </c>
      <c r="D47" s="44" t="n">
        <v>46142</v>
      </c>
      <c r="E47" s="44" t="n">
        <v>46125</v>
      </c>
      <c r="F47" s="44" t="n">
        <v>46125</v>
      </c>
      <c r="G47" s="16" t="inlineStr">
        <is>
          <t>EBANK:WIB/1503 EBANK:WIB/1503777187/Edfs</t>
        </is>
      </c>
      <c r="H47" s="14" t="str"/>
      <c r="I47" s="14" t="inlineStr">
        <is>
          <t>Receipt</t>
        </is>
      </c>
      <c r="J47" s="43" t="n">
        <v>0</v>
      </c>
      <c r="K47" s="43" t="n">
        <v>610444.28</v>
      </c>
      <c r="L47" s="43" t="n">
        <v>610444.28</v>
      </c>
      <c r="M47" s="43" t="n">
        <v>-7883208.16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EBANKWIB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4" t="n">
        <v>46125</v>
      </c>
      <c r="AB47" s="46">
        <f>HYPERLINK("#'Transactions'!A44", "View Source Row")</f>
        <v/>
      </c>
    </row>
    <row r="48">
      <c r="A48" s="14" t="n">
        <v>44</v>
      </c>
      <c r="B48" s="14" t="inlineStr">
        <is>
          <t>273.pdf</t>
        </is>
      </c>
      <c r="C48" s="44" t="n">
        <v>46113</v>
      </c>
      <c r="D48" s="44" t="n">
        <v>46142</v>
      </c>
      <c r="E48" s="44" t="n">
        <v>46125</v>
      </c>
      <c r="F48" s="44" t="n">
        <v>46125</v>
      </c>
      <c r="G48" s="16" t="inlineStr">
        <is>
          <t>DIGITA-MUMBAI/ INT260327DEAL6258950</t>
        </is>
      </c>
      <c r="H48" s="14" t="str"/>
      <c r="I48" s="14" t="inlineStr">
        <is>
          <t>Payment</t>
        </is>
      </c>
      <c r="J48" s="43" t="n">
        <v>46.82</v>
      </c>
      <c r="K48" s="43" t="n">
        <v>0</v>
      </c>
      <c r="L48" s="43" t="n">
        <v>46.82</v>
      </c>
      <c r="M48" s="43" t="n">
        <v>-7883254.98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DIGITA-MUMBAI/ INT#DEAL#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4" t="n">
        <v>46125</v>
      </c>
      <c r="AB48" s="46">
        <f>HYPERLINK("#'Transactions'!A45", "View Source Row")</f>
        <v/>
      </c>
    </row>
    <row r="49">
      <c r="A49" s="14" t="n">
        <v>45</v>
      </c>
      <c r="B49" s="14" t="inlineStr">
        <is>
          <t>273.pdf</t>
        </is>
      </c>
      <c r="C49" s="44" t="n">
        <v>46113</v>
      </c>
      <c r="D49" s="44" t="n">
        <v>46142</v>
      </c>
      <c r="E49" s="44" t="n">
        <v>46125</v>
      </c>
      <c r="F49" s="44" t="n">
        <v>46125</v>
      </c>
      <c r="G49" s="16" t="inlineStr">
        <is>
          <t>BY CASH BY CASH</t>
        </is>
      </c>
      <c r="H49" s="14" t="str"/>
      <c r="I49" s="14" t="inlineStr">
        <is>
          <t>Receipt</t>
        </is>
      </c>
      <c r="J49" s="43" t="n">
        <v>0</v>
      </c>
      <c r="K49" s="43" t="n">
        <v>78500</v>
      </c>
      <c r="L49" s="43" t="n">
        <v>78500</v>
      </c>
      <c r="M49" s="43" t="n">
        <v>-7804754.98</v>
      </c>
      <c r="N49" s="14" t="inlineStr">
        <is>
          <t>Cash; Recurring Transaction</t>
        </is>
      </c>
      <c r="O49" s="14" t="inlineStr">
        <is>
          <t>Yes</t>
        </is>
      </c>
      <c r="P49" s="14" t="inlineStr">
        <is>
          <t>BY CASH BY CASH</t>
        </is>
      </c>
      <c r="Q49" s="14" t="n">
        <v>1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4" t="n">
        <v>46125</v>
      </c>
      <c r="AB49" s="46">
        <f>HYPERLINK("#'Transactions'!A46", "View Source Row")</f>
        <v/>
      </c>
    </row>
    <row r="50">
      <c r="A50" s="14" t="n">
        <v>46</v>
      </c>
      <c r="B50" s="14" t="inlineStr">
        <is>
          <t>273.pdf</t>
        </is>
      </c>
      <c r="C50" s="44" t="n">
        <v>46113</v>
      </c>
      <c r="D50" s="44" t="n">
        <v>46142</v>
      </c>
      <c r="E50" s="44" t="n">
        <v>46125</v>
      </c>
      <c r="F50" s="44" t="n">
        <v>46125</v>
      </c>
      <c r="G50" s="16" t="inlineStr">
        <is>
          <t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50" s="14" t="str"/>
      <c r="I50" s="14" t="inlineStr">
        <is>
          <t>Receipt</t>
        </is>
      </c>
      <c r="J50" s="43" t="n">
        <v>0</v>
      </c>
      <c r="K50" s="43" t="n">
        <v>107993.78</v>
      </c>
      <c r="L50" s="43" t="n">
        <v>107993.78</v>
      </c>
      <c r="M50" s="43" t="n">
        <v>-7696761.2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EBANKWIB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4" t="n">
        <v>46125</v>
      </c>
      <c r="AB50" s="46">
        <f>HYPERLINK("#'Transactions'!A47", "View Source Row")</f>
        <v/>
      </c>
    </row>
    <row r="51">
      <c r="A51" s="14" t="n">
        <v>47</v>
      </c>
      <c r="B51" s="14" t="inlineStr">
        <is>
          <t>273.pdf</t>
        </is>
      </c>
      <c r="C51" s="44" t="n">
        <v>46113</v>
      </c>
      <c r="D51" s="44" t="n">
        <v>46142</v>
      </c>
      <c r="E51" s="44" t="n">
        <v>46125</v>
      </c>
      <c r="F51" s="44" t="n">
        <v>46125</v>
      </c>
      <c r="G51" s="16" t="inlineStr">
        <is>
          <t>RTGS-BARBR5202 RTGS-BARBR52026041300983458-HINDUSTAN PETROLEUM CO</t>
        </is>
      </c>
      <c r="H51" s="14" t="str"/>
      <c r="I51" s="14" t="inlineStr">
        <is>
          <t>Payment</t>
        </is>
      </c>
      <c r="J51" s="43" t="n">
        <v>1962976.51</v>
      </c>
      <c r="K51" s="43" t="n">
        <v>0</v>
      </c>
      <c r="L51" s="43" t="n">
        <v>1962976.51</v>
      </c>
      <c r="M51" s="43" t="n">
        <v>-9659737.710000001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BARBR RTGS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4" t="n">
        <v>46125</v>
      </c>
      <c r="AB51" s="46">
        <f>HYPERLINK("#'Transactions'!A48", "View Source Row")</f>
        <v/>
      </c>
    </row>
    <row r="52">
      <c r="A52" s="14" t="n">
        <v>48</v>
      </c>
      <c r="B52" s="14" t="inlineStr">
        <is>
          <t>273.pdf</t>
        </is>
      </c>
      <c r="C52" s="44" t="n">
        <v>46113</v>
      </c>
      <c r="D52" s="44" t="n">
        <v>46142</v>
      </c>
      <c r="E52" s="44" t="n">
        <v>46126</v>
      </c>
      <c r="F52" s="44" t="n">
        <v>46126</v>
      </c>
      <c r="G52" s="16" t="inlineStr">
        <is>
          <t>0000-MUMBAI/IN INT260330DEAL6270027</t>
        </is>
      </c>
      <c r="H52" s="14" t="str"/>
      <c r="I52" s="14" t="inlineStr">
        <is>
          <t>Payment</t>
        </is>
      </c>
      <c r="J52" s="43" t="n">
        <v>7127.18</v>
      </c>
      <c r="K52" s="43" t="n">
        <v>0</v>
      </c>
      <c r="L52" s="43" t="n">
        <v>7127.18</v>
      </c>
      <c r="M52" s="43" t="n">
        <v>-9666864.890000001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IN INTDEAL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4" t="n">
        <v>46126</v>
      </c>
      <c r="AB52" s="46">
        <f>HYPERLINK("#'Transactions'!A49", "View Source Row")</f>
        <v/>
      </c>
    </row>
    <row r="53">
      <c r="A53" s="14" t="n">
        <v>49</v>
      </c>
      <c r="B53" s="14" t="inlineStr">
        <is>
          <t>273.pdf</t>
        </is>
      </c>
      <c r="C53" s="44" t="n">
        <v>46113</v>
      </c>
      <c r="D53" s="44" t="n">
        <v>46142</v>
      </c>
      <c r="E53" s="44" t="n">
        <v>46126</v>
      </c>
      <c r="F53" s="44" t="n">
        <v>46126</v>
      </c>
      <c r="G53" s="16" t="inlineStr">
        <is>
          <t>EBANK:WIB/1503 EBANK:WIB/1503879023/Edfs</t>
        </is>
      </c>
      <c r="H53" s="14" t="str"/>
      <c r="I53" s="14" t="inlineStr">
        <is>
          <t>Receipt</t>
        </is>
      </c>
      <c r="J53" s="43" t="n">
        <v>0</v>
      </c>
      <c r="K53" s="43" t="n">
        <v>421121.65</v>
      </c>
      <c r="L53" s="43" t="n">
        <v>421121.65</v>
      </c>
      <c r="M53" s="43" t="n">
        <v>-9245743.24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4" t="n">
        <v>46126</v>
      </c>
      <c r="AB53" s="46">
        <f>HYPERLINK("#'Transactions'!A50", "View Source Row")</f>
        <v/>
      </c>
    </row>
    <row r="54">
      <c r="A54" s="14" t="n">
        <v>50</v>
      </c>
      <c r="B54" s="14" t="inlineStr">
        <is>
          <t>273.pdf</t>
        </is>
      </c>
      <c r="C54" s="44" t="n">
        <v>46113</v>
      </c>
      <c r="D54" s="44" t="n">
        <v>46142</v>
      </c>
      <c r="E54" s="44" t="n">
        <v>46126</v>
      </c>
      <c r="F54" s="44" t="n">
        <v>46126</v>
      </c>
      <c r="G54" s="16" t="inlineStr">
        <is>
          <t>EBANK:WIB/1504 EBANK:WIB/1504010401/Edfs</t>
        </is>
      </c>
      <c r="H54" s="14" t="str"/>
      <c r="I54" s="14" t="inlineStr">
        <is>
          <t>Receipt</t>
        </is>
      </c>
      <c r="J54" s="43" t="n">
        <v>0</v>
      </c>
      <c r="K54" s="43" t="n">
        <v>240000</v>
      </c>
      <c r="L54" s="43" t="n">
        <v>240000</v>
      </c>
      <c r="M54" s="43" t="n">
        <v>-9005743.24</v>
      </c>
      <c r="N54" s="14" t="inlineStr">
        <is>
          <t>High Transaction; Recurring Transaction</t>
        </is>
      </c>
      <c r="O54" s="14" t="inlineStr">
        <is>
          <t>Yes</t>
        </is>
      </c>
      <c r="P54" s="14" t="inlineStr">
        <is>
          <t>EBANKWIB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4" t="n">
        <v>46126</v>
      </c>
      <c r="AB54" s="46">
        <f>HYPERLINK("#'Transactions'!A51", "View Source Row")</f>
        <v/>
      </c>
    </row>
    <row r="55">
      <c r="A55" s="14" t="n">
        <v>51</v>
      </c>
      <c r="B55" s="14" t="inlineStr">
        <is>
          <t>273.pdf</t>
        </is>
      </c>
      <c r="C55" s="44" t="n">
        <v>46113</v>
      </c>
      <c r="D55" s="44" t="n">
        <v>46142</v>
      </c>
      <c r="E55" s="44" t="n">
        <v>46127</v>
      </c>
      <c r="F55" s="44" t="n">
        <v>46127</v>
      </c>
      <c r="G55" s="16" t="inlineStr">
        <is>
          <t>0000-MUMBAI/IN INT260331DEAL6279575</t>
        </is>
      </c>
      <c r="H55" s="14" t="str"/>
      <c r="I55" s="14" t="inlineStr">
        <is>
          <t>Payment</t>
        </is>
      </c>
      <c r="J55" s="43" t="n">
        <v>1795.79</v>
      </c>
      <c r="K55" s="43" t="n">
        <v>0</v>
      </c>
      <c r="L55" s="43" t="n">
        <v>1795.79</v>
      </c>
      <c r="M55" s="43" t="n">
        <v>-9007539.029999999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IN INTDEAL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4" t="n">
        <v>46127</v>
      </c>
      <c r="AB55" s="46">
        <f>HYPERLINK("#'Transactions'!A52", "View Source Row")</f>
        <v/>
      </c>
    </row>
    <row r="56">
      <c r="A56" s="14" t="n">
        <v>52</v>
      </c>
      <c r="B56" s="14" t="inlineStr">
        <is>
          <t>273.pdf</t>
        </is>
      </c>
      <c r="C56" s="44" t="n">
        <v>46113</v>
      </c>
      <c r="D56" s="44" t="n">
        <v>46142</v>
      </c>
      <c r="E56" s="44" t="n">
        <v>46127</v>
      </c>
      <c r="F56" s="44" t="n">
        <v>46127</v>
      </c>
      <c r="G56" s="16" t="inlineStr">
        <is>
          <t>EBANK:WIB/1504 EBANK:WIB/1504019959/Edfs</t>
        </is>
      </c>
      <c r="H56" s="14" t="str"/>
      <c r="I56" s="14" t="inlineStr">
        <is>
          <t>Receipt</t>
        </is>
      </c>
      <c r="J56" s="43" t="n">
        <v>0</v>
      </c>
      <c r="K56" s="43" t="n">
        <v>401141.57</v>
      </c>
      <c r="L56" s="43" t="n">
        <v>401141.57</v>
      </c>
      <c r="M56" s="43" t="n">
        <v>-8606397.460000001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4" t="n">
        <v>46127</v>
      </c>
      <c r="AB56" s="46">
        <f>HYPERLINK("#'Transactions'!A53", "View Source Row")</f>
        <v/>
      </c>
    </row>
    <row r="57">
      <c r="A57" s="14" t="n">
        <v>53</v>
      </c>
      <c r="B57" s="14" t="inlineStr">
        <is>
          <t>273.pdf</t>
        </is>
      </c>
      <c r="C57" s="44" t="n">
        <v>46113</v>
      </c>
      <c r="D57" s="44" t="n">
        <v>46142</v>
      </c>
      <c r="E57" s="44" t="n">
        <v>46127</v>
      </c>
      <c r="F57" s="44" t="n">
        <v>46127</v>
      </c>
      <c r="G57" s="16" t="inlineStr">
        <is>
          <t>BANTWA-BANTWAL INT260330DEAL6270027</t>
        </is>
      </c>
      <c r="H57" s="14" t="str"/>
      <c r="I57" s="14" t="inlineStr">
        <is>
          <t>Payment</t>
        </is>
      </c>
      <c r="J57" s="43" t="n">
        <v>241.53</v>
      </c>
      <c r="K57" s="43" t="n">
        <v>0</v>
      </c>
      <c r="L57" s="43" t="n">
        <v>241.53</v>
      </c>
      <c r="M57" s="43" t="n">
        <v>-8606638.99</v>
      </c>
      <c r="N57" s="14" t="inlineStr">
        <is>
          <t>Other</t>
        </is>
      </c>
      <c r="O57" s="14" t="inlineStr">
        <is>
          <t>No</t>
        </is>
      </c>
      <c r="P57" s="14" t="inlineStr">
        <is>
          <t>BANTWAL INTDEAL</t>
        </is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4" t="n">
        <v>46127</v>
      </c>
      <c r="AB57" s="46">
        <f>HYPERLINK("#'Transactions'!A54", "View Source Row")</f>
        <v/>
      </c>
    </row>
    <row r="58">
      <c r="A58" s="14" t="n">
        <v>54</v>
      </c>
      <c r="B58" s="14" t="inlineStr">
        <is>
          <t>273.pdf</t>
        </is>
      </c>
      <c r="C58" s="44" t="n">
        <v>46113</v>
      </c>
      <c r="D58" s="44" t="n">
        <v>46142</v>
      </c>
      <c r="E58" s="44" t="n">
        <v>46127</v>
      </c>
      <c r="F58" s="44" t="n">
        <v>46127</v>
      </c>
      <c r="G58" s="16" t="inlineStr">
        <is>
          <t>EBANK:WIB/1504 EBANK:WIB/1504096201/Edfs</t>
        </is>
      </c>
      <c r="H58" s="14" t="str"/>
      <c r="I58" s="14" t="inlineStr">
        <is>
          <t>Receipt</t>
        </is>
      </c>
      <c r="J58" s="43" t="n">
        <v>0</v>
      </c>
      <c r="K58" s="43" t="n">
        <v>125424</v>
      </c>
      <c r="L58" s="43" t="n">
        <v>125424</v>
      </c>
      <c r="M58" s="43" t="n">
        <v>-8481214.99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EBANKWIB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4" t="n">
        <v>46127</v>
      </c>
      <c r="AB58" s="46">
        <f>HYPERLINK("#'Transactions'!A55", "View Source Row")</f>
        <v/>
      </c>
    </row>
    <row r="59">
      <c r="A59" s="14" t="n">
        <v>55</v>
      </c>
      <c r="B59" s="14" t="inlineStr">
        <is>
          <t>273.pdf</t>
        </is>
      </c>
      <c r="C59" s="44" t="n">
        <v>46113</v>
      </c>
      <c r="D59" s="44" t="n">
        <v>46142</v>
      </c>
      <c r="E59" s="44" t="n">
        <v>46127</v>
      </c>
      <c r="F59" s="44" t="n">
        <v>46127</v>
      </c>
      <c r="G59" s="16" t="inlineStr">
        <is>
          <t>BY CASH BY CASH</t>
        </is>
      </c>
      <c r="H59" s="14" t="str"/>
      <c r="I59" s="14" t="inlineStr">
        <is>
          <t>Receipt</t>
        </is>
      </c>
      <c r="J59" s="43" t="n">
        <v>0</v>
      </c>
      <c r="K59" s="43" t="n">
        <v>371000</v>
      </c>
      <c r="L59" s="43" t="n">
        <v>371000</v>
      </c>
      <c r="M59" s="43" t="n">
        <v>-8110214.99</v>
      </c>
      <c r="N59" s="14" t="inlineStr">
        <is>
          <t>Cash; High Transaction; Recurring Transaction</t>
        </is>
      </c>
      <c r="O59" s="14" t="inlineStr">
        <is>
          <t>Yes</t>
        </is>
      </c>
      <c r="P59" s="14" t="inlineStr">
        <is>
          <t>BY CASH BY CASH</t>
        </is>
      </c>
      <c r="Q59" s="14" t="n">
        <v>1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4" t="n">
        <v>46127</v>
      </c>
      <c r="AB59" s="46">
        <f>HYPERLINK("#'Transactions'!A56", "View Source Row")</f>
        <v/>
      </c>
    </row>
    <row r="60">
      <c r="A60" s="14" t="n">
        <v>56</v>
      </c>
      <c r="B60" s="14" t="inlineStr">
        <is>
          <t>273.pdf</t>
        </is>
      </c>
      <c r="C60" s="44" t="n">
        <v>46113</v>
      </c>
      <c r="D60" s="44" t="n">
        <v>46142</v>
      </c>
      <c r="E60" s="44" t="n">
        <v>46127</v>
      </c>
      <c r="F60" s="44" t="n">
        <v>46127</v>
      </c>
      <c r="G60" s="16" t="inlineStr">
        <is>
          <t>EBANK:WIB/1504 EBANK:WIB/1504156827/Edfs</t>
        </is>
      </c>
      <c r="H60" s="14" t="str"/>
      <c r="I60" s="14" t="inlineStr">
        <is>
          <t>Receipt</t>
        </is>
      </c>
      <c r="J60" s="43" t="n">
        <v>0</v>
      </c>
      <c r="K60" s="43" t="n">
        <v>13736</v>
      </c>
      <c r="L60" s="43" t="n">
        <v>13736</v>
      </c>
      <c r="M60" s="43" t="n">
        <v>-8096478.99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EBANKWIB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4" t="n">
        <v>46127</v>
      </c>
      <c r="AB60" s="46">
        <f>HYPERLINK("#'Transactions'!A57", "View Source Row")</f>
        <v/>
      </c>
    </row>
    <row r="61">
      <c r="A61" s="14" t="n">
        <v>57</v>
      </c>
      <c r="B61" s="14" t="inlineStr">
        <is>
          <t>273.pdf</t>
        </is>
      </c>
      <c r="C61" s="44" t="n">
        <v>46113</v>
      </c>
      <c r="D61" s="44" t="n">
        <v>46142</v>
      </c>
      <c r="E61" s="44" t="n">
        <v>46127</v>
      </c>
      <c r="F61" s="44" t="n">
        <v>46127</v>
      </c>
      <c r="G61" s="16" t="inlineStr">
        <is>
          <t>RTGS-BARBR5202 RTGS-BARBR52026041500840540-HINDUSTAN PETROLEUM CO</t>
        </is>
      </c>
      <c r="H61" s="14" t="str"/>
      <c r="I61" s="14" t="inlineStr">
        <is>
          <t>Payment</t>
        </is>
      </c>
      <c r="J61" s="43" t="n">
        <v>1889785</v>
      </c>
      <c r="K61" s="43" t="n">
        <v>0</v>
      </c>
      <c r="L61" s="43" t="n">
        <v>1889785</v>
      </c>
      <c r="M61" s="43" t="n">
        <v>-9986263.99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BARBR RTGS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4" t="n">
        <v>46127</v>
      </c>
      <c r="AB61" s="46">
        <f>HYPERLINK("#'Transactions'!A58", "View Source Row")</f>
        <v/>
      </c>
    </row>
    <row r="62">
      <c r="A62" s="14" t="n">
        <v>58</v>
      </c>
      <c r="B62" s="14" t="inlineStr">
        <is>
          <t>273.pdf</t>
        </is>
      </c>
      <c r="C62" s="44" t="n">
        <v>46113</v>
      </c>
      <c r="D62" s="44" t="n">
        <v>46142</v>
      </c>
      <c r="E62" s="44" t="n">
        <v>46127</v>
      </c>
      <c r="F62" s="44" t="n">
        <v>46127</v>
      </c>
      <c r="G62" s="16" t="inlineStr">
        <is>
          <t>EBANK:WIB/1504 EBANK:WIB/1504160264/Edfs</t>
        </is>
      </c>
      <c r="H62" s="14" t="str"/>
      <c r="I62" s="14" t="inlineStr">
        <is>
          <t>Receipt</t>
        </is>
      </c>
      <c r="J62" s="43" t="n">
        <v>0</v>
      </c>
      <c r="K62" s="43" t="n">
        <v>54252.8</v>
      </c>
      <c r="L62" s="43" t="n">
        <v>54252.8</v>
      </c>
      <c r="M62" s="43" t="n">
        <v>-9932011.189999999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EBANKWIB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4" t="n">
        <v>46127</v>
      </c>
      <c r="AB62" s="46">
        <f>HYPERLINK("#'Transactions'!A59", "View Source Row")</f>
        <v/>
      </c>
    </row>
    <row r="63">
      <c r="A63" s="14" t="n">
        <v>59</v>
      </c>
      <c r="B63" s="14" t="inlineStr">
        <is>
          <t>273.pdf</t>
        </is>
      </c>
      <c r="C63" s="44" t="n">
        <v>46113</v>
      </c>
      <c r="D63" s="44" t="n">
        <v>46142</v>
      </c>
      <c r="E63" s="44" t="n">
        <v>46127</v>
      </c>
      <c r="F63" s="44" t="n">
        <v>46127</v>
      </c>
      <c r="G63" s="16" t="inlineStr">
        <is>
          <t>NEFT-BARBQ2610 NEFT-BARBQ26105757267-HINDUSTAN PETROLEUM CORPORAT</t>
        </is>
      </c>
      <c r="H63" s="14" t="str"/>
      <c r="I63" s="14" t="inlineStr">
        <is>
          <t>Payment</t>
        </is>
      </c>
      <c r="J63" s="43" t="n">
        <v>67988</v>
      </c>
      <c r="K63" s="43" t="n">
        <v>0</v>
      </c>
      <c r="L63" s="43" t="n">
        <v>67988</v>
      </c>
      <c r="M63" s="43" t="n">
        <v>-9999999.189999999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BARBQ NEFT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4" t="n">
        <v>46127</v>
      </c>
      <c r="AB63" s="46">
        <f>HYPERLINK("#'Transactions'!A60", "View Source Row")</f>
        <v/>
      </c>
    </row>
    <row r="64">
      <c r="A64" s="14" t="n">
        <v>60</v>
      </c>
      <c r="B64" s="14" t="inlineStr">
        <is>
          <t>273.pdf</t>
        </is>
      </c>
      <c r="C64" s="44" t="n">
        <v>46113</v>
      </c>
      <c r="D64" s="44" t="n">
        <v>46142</v>
      </c>
      <c r="E64" s="44" t="n">
        <v>46127</v>
      </c>
      <c r="F64" s="44" t="n">
        <v>46127</v>
      </c>
      <c r="G64" s="16" t="inlineStr">
        <is>
          <t>EBANK:WIB/1504 EBANK:WIB/1504165308/Edfs</t>
        </is>
      </c>
      <c r="H64" s="14" t="str"/>
      <c r="I64" s="14" t="inlineStr">
        <is>
          <t>Receipt</t>
        </is>
      </c>
      <c r="J64" s="43" t="n">
        <v>0</v>
      </c>
      <c r="K64" s="43" t="n">
        <v>44496</v>
      </c>
      <c r="L64" s="43" t="n">
        <v>44496</v>
      </c>
      <c r="M64" s="43" t="n">
        <v>-9955503.189999999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EBANKWIB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4" t="n">
        <v>46127</v>
      </c>
      <c r="AB64" s="46">
        <f>HYPERLINK("#'Transactions'!A61", "View Source Row")</f>
        <v/>
      </c>
    </row>
    <row r="65">
      <c r="A65" s="14" t="n">
        <v>61</v>
      </c>
      <c r="B65" s="14" t="inlineStr">
        <is>
          <t>273.pdf</t>
        </is>
      </c>
      <c r="C65" s="44" t="n">
        <v>46113</v>
      </c>
      <c r="D65" s="44" t="n">
        <v>46142</v>
      </c>
      <c r="E65" s="44" t="n">
        <v>46128</v>
      </c>
      <c r="F65" s="44" t="n">
        <v>46128</v>
      </c>
      <c r="G65" s="16" t="inlineStr">
        <is>
          <t>NEFT-BARBS2610 NEFT-BARBS26106083004-HINDUSTAN PETROLEUM CORPORAT</t>
        </is>
      </c>
      <c r="H65" s="14" t="str"/>
      <c r="I65" s="14" t="inlineStr">
        <is>
          <t>Payment</t>
        </is>
      </c>
      <c r="J65" s="43" t="n">
        <v>40692.24</v>
      </c>
      <c r="K65" s="43" t="n">
        <v>0</v>
      </c>
      <c r="L65" s="43" t="n">
        <v>40692.24</v>
      </c>
      <c r="M65" s="43" t="n">
        <v>-9996195.43</v>
      </c>
      <c r="N65" s="14" t="inlineStr">
        <is>
          <t>Other</t>
        </is>
      </c>
      <c r="O65" s="14" t="inlineStr">
        <is>
          <t>No</t>
        </is>
      </c>
      <c r="P65" s="14" t="inlineStr">
        <is>
          <t>BARBS NEFT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4" t="n">
        <v>46128</v>
      </c>
      <c r="AB65" s="46">
        <f>HYPERLINK("#'Transactions'!A62", "View Source Row")</f>
        <v/>
      </c>
    </row>
    <row r="66">
      <c r="A66" s="14" t="n">
        <v>62</v>
      </c>
      <c r="B66" s="14" t="inlineStr">
        <is>
          <t>273.pdf</t>
        </is>
      </c>
      <c r="C66" s="44" t="n">
        <v>46113</v>
      </c>
      <c r="D66" s="44" t="n">
        <v>46142</v>
      </c>
      <c r="E66" s="44" t="n">
        <v>46128</v>
      </c>
      <c r="F66" s="44" t="n">
        <v>46128</v>
      </c>
      <c r="G66" s="16" t="inlineStr">
        <is>
          <t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66" s="14" t="str"/>
      <c r="I66" s="14" t="inlineStr">
        <is>
          <t>Receipt</t>
        </is>
      </c>
      <c r="J66" s="43" t="n">
        <v>0</v>
      </c>
      <c r="K66" s="43" t="n">
        <v>898173.78</v>
      </c>
      <c r="L66" s="43" t="n">
        <v>898173.78</v>
      </c>
      <c r="M66" s="43" t="n">
        <v>-9098021.65</v>
      </c>
      <c r="N66" s="14" t="inlineStr">
        <is>
          <t>High Transaction; Recurring Transaction</t>
        </is>
      </c>
      <c r="O66" s="14" t="inlineStr">
        <is>
          <t>Yes</t>
        </is>
      </c>
      <c r="P66" s="14" t="inlineStr">
        <is>
          <t>EBANKWIB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1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4" t="n">
        <v>46128</v>
      </c>
      <c r="AB66" s="46">
        <f>HYPERLINK("#'Transactions'!A63", "View Source Row")</f>
        <v/>
      </c>
    </row>
    <row r="67">
      <c r="A67" s="14" t="n">
        <v>63</v>
      </c>
      <c r="B67" s="14" t="inlineStr">
        <is>
          <t>273.pdf</t>
        </is>
      </c>
      <c r="C67" s="44" t="n">
        <v>46113</v>
      </c>
      <c r="D67" s="44" t="n">
        <v>46142</v>
      </c>
      <c r="E67" s="44" t="n">
        <v>46128</v>
      </c>
      <c r="F67" s="44" t="n">
        <v>46128</v>
      </c>
      <c r="G67" s="16" t="inlineStr">
        <is>
          <t>BY CASH BY CASH</t>
        </is>
      </c>
      <c r="H67" s="14" t="str"/>
      <c r="I67" s="14" t="inlineStr">
        <is>
          <t>Receipt</t>
        </is>
      </c>
      <c r="J67" s="43" t="n">
        <v>0</v>
      </c>
      <c r="K67" s="43" t="n">
        <v>166000</v>
      </c>
      <c r="L67" s="43" t="n">
        <v>166000</v>
      </c>
      <c r="M67" s="43" t="n">
        <v>-8932021.65</v>
      </c>
      <c r="N67" s="14" t="inlineStr">
        <is>
          <t>Cash; High Transaction; Recurring Transaction</t>
        </is>
      </c>
      <c r="O67" s="14" t="inlineStr">
        <is>
          <t>Yes</t>
        </is>
      </c>
      <c r="P67" s="14" t="inlineStr">
        <is>
          <t>BY CASH BY CASH</t>
        </is>
      </c>
      <c r="Q67" s="14" t="n">
        <v>1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4" t="n">
        <v>46128</v>
      </c>
      <c r="AB67" s="46">
        <f>HYPERLINK("#'Transactions'!A64", "View Source Row")</f>
        <v/>
      </c>
    </row>
    <row r="68">
      <c r="A68" s="14" t="n">
        <v>64</v>
      </c>
      <c r="B68" s="14" t="inlineStr">
        <is>
          <t>273.pdf</t>
        </is>
      </c>
      <c r="C68" s="44" t="n">
        <v>46113</v>
      </c>
      <c r="D68" s="44" t="n">
        <v>46142</v>
      </c>
      <c r="E68" s="44" t="n">
        <v>46128</v>
      </c>
      <c r="F68" s="44" t="n">
        <v>46128</v>
      </c>
      <c r="G68" s="16" t="inlineStr">
        <is>
          <t>DIGITA-MUMBAI/ INT260330DEAL6270027</t>
        </is>
      </c>
      <c r="H68" s="14" t="str"/>
      <c r="I68" s="14" t="inlineStr">
        <is>
          <t>Payment</t>
        </is>
      </c>
      <c r="J68" s="43" t="n">
        <v>3.6</v>
      </c>
      <c r="K68" s="43" t="n">
        <v>0</v>
      </c>
      <c r="L68" s="43" t="n">
        <v>3.6</v>
      </c>
      <c r="M68" s="43" t="n">
        <v>-8932025.25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DIGITA-MUMBAI/ INT#DEAL#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4" t="n">
        <v>46128</v>
      </c>
      <c r="AB68" s="46">
        <f>HYPERLINK("#'Transactions'!A65", "View Source Row")</f>
        <v/>
      </c>
    </row>
    <row r="69">
      <c r="A69" s="14" t="n">
        <v>65</v>
      </c>
      <c r="B69" s="14" t="inlineStr">
        <is>
          <t>273.pdf</t>
        </is>
      </c>
      <c r="C69" s="44" t="n">
        <v>46113</v>
      </c>
      <c r="D69" s="44" t="n">
        <v>46142</v>
      </c>
      <c r="E69" s="44" t="n">
        <v>46128</v>
      </c>
      <c r="F69" s="44" t="n">
        <v>46128</v>
      </c>
      <c r="G69" s="16" t="inlineStr">
        <is>
          <t>VJSOLU-SOLUR/I INT260331DEAL6279575</t>
        </is>
      </c>
      <c r="H69" s="14" t="str"/>
      <c r="I69" s="14" t="inlineStr">
        <is>
          <t>Payment</t>
        </is>
      </c>
      <c r="J69" s="43" t="n">
        <v>120.12</v>
      </c>
      <c r="K69" s="43" t="n">
        <v>0</v>
      </c>
      <c r="L69" s="43" t="n">
        <v>120.12</v>
      </c>
      <c r="M69" s="43" t="n">
        <v>-8932145.369999999</v>
      </c>
      <c r="N69" s="14" t="inlineStr">
        <is>
          <t>Other</t>
        </is>
      </c>
      <c r="O69" s="14" t="inlineStr">
        <is>
          <t>No</t>
        </is>
      </c>
      <c r="P69" s="14" t="inlineStr">
        <is>
          <t>I INTDEAL</t>
        </is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4" t="n">
        <v>46128</v>
      </c>
      <c r="AB69" s="46">
        <f>HYPERLINK("#'Transactions'!A66", "View Source Row")</f>
        <v/>
      </c>
    </row>
    <row r="70">
      <c r="A70" s="14" t="n">
        <v>66</v>
      </c>
      <c r="B70" s="14" t="inlineStr">
        <is>
          <t>273.pdf</t>
        </is>
      </c>
      <c r="C70" s="44" t="n">
        <v>46113</v>
      </c>
      <c r="D70" s="44" t="n">
        <v>46142</v>
      </c>
      <c r="E70" s="44" t="n">
        <v>46129</v>
      </c>
      <c r="F70" s="44" t="n">
        <v>46129</v>
      </c>
      <c r="G70" s="16" t="inlineStr">
        <is>
          <t>EBANK:WIB/1504 EBANK:WIB/1504347697/Edfs</t>
        </is>
      </c>
      <c r="H70" s="14" t="str"/>
      <c r="I70" s="14" t="inlineStr">
        <is>
          <t>Receipt</t>
        </is>
      </c>
      <c r="J70" s="43" t="n">
        <v>0</v>
      </c>
      <c r="K70" s="43" t="n">
        <v>328514.76</v>
      </c>
      <c r="L70" s="43" t="n">
        <v>328514.76</v>
      </c>
      <c r="M70" s="43" t="n">
        <v>-8603630.609999999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EBANKWIB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4" t="n">
        <v>46129</v>
      </c>
      <c r="AB70" s="46">
        <f>HYPERLINK("#'Transactions'!A67", "View Source Row")</f>
        <v/>
      </c>
    </row>
    <row r="71">
      <c r="A71" s="14" t="n">
        <v>67</v>
      </c>
      <c r="B71" s="14" t="inlineStr">
        <is>
          <t>273.pdf</t>
        </is>
      </c>
      <c r="C71" s="44" t="n">
        <v>46113</v>
      </c>
      <c r="D71" s="44" t="n">
        <v>46142</v>
      </c>
      <c r="E71" s="44" t="n">
        <v>46129</v>
      </c>
      <c r="F71" s="44" t="n">
        <v>46129</v>
      </c>
      <c r="G71" s="16" t="inlineStr">
        <is>
          <t>0000-MUMBAI/IN INT260402DEAL6291634</t>
        </is>
      </c>
      <c r="H71" s="14" t="str"/>
      <c r="I71" s="14" t="inlineStr">
        <is>
          <t>Payment</t>
        </is>
      </c>
      <c r="J71" s="43" t="n">
        <v>4857.17</v>
      </c>
      <c r="K71" s="43" t="n">
        <v>0</v>
      </c>
      <c r="L71" s="43" t="n">
        <v>4857.17</v>
      </c>
      <c r="M71" s="43" t="n">
        <v>-8608487.779999999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IN INTDEAL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4" t="n">
        <v>46129</v>
      </c>
      <c r="AB71" s="46">
        <f>HYPERLINK("#'Transactions'!A68", "View Source Row")</f>
        <v/>
      </c>
    </row>
    <row r="72">
      <c r="A72" s="14" t="n">
        <v>68</v>
      </c>
      <c r="B72" s="14" t="inlineStr">
        <is>
          <t>273.pdf</t>
        </is>
      </c>
      <c r="C72" s="44" t="n">
        <v>46113</v>
      </c>
      <c r="D72" s="44" t="n">
        <v>46142</v>
      </c>
      <c r="E72" s="44" t="n">
        <v>46129</v>
      </c>
      <c r="F72" s="44" t="n">
        <v>46129</v>
      </c>
      <c r="G72" s="16" t="inlineStr">
        <is>
          <t>EBANK:WIB/1504 EBANK:WIB/1504424773/Edfs</t>
        </is>
      </c>
      <c r="H72" s="14" t="str"/>
      <c r="I72" s="14" t="inlineStr">
        <is>
          <t>Receipt</t>
        </is>
      </c>
      <c r="J72" s="43" t="n">
        <v>0</v>
      </c>
      <c r="K72" s="43" t="n">
        <v>150000</v>
      </c>
      <c r="L72" s="43" t="n">
        <v>150000</v>
      </c>
      <c r="M72" s="43" t="n">
        <v>-8458487.779999999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4" t="n">
        <v>46129</v>
      </c>
      <c r="AB72" s="46">
        <f>HYPERLINK("#'Transactions'!A69", "View Source Row")</f>
        <v/>
      </c>
    </row>
    <row r="73">
      <c r="A73" s="14" t="n">
        <v>69</v>
      </c>
      <c r="B73" s="14" t="inlineStr">
        <is>
          <t>273.pdf</t>
        </is>
      </c>
      <c r="C73" s="44" t="n">
        <v>46113</v>
      </c>
      <c r="D73" s="44" t="n">
        <v>46142</v>
      </c>
      <c r="E73" s="44" t="n">
        <v>46130</v>
      </c>
      <c r="F73" s="44" t="n">
        <v>46130</v>
      </c>
      <c r="G73" s="16" t="inlineStr">
        <is>
          <t>0000-MUMBAI/IN INT260404DEAL6301802</t>
        </is>
      </c>
      <c r="H73" s="14" t="str"/>
      <c r="I73" s="14" t="inlineStr">
        <is>
          <t>Payment</t>
        </is>
      </c>
      <c r="J73" s="43" t="n">
        <v>6118.58</v>
      </c>
      <c r="K73" s="43" t="n">
        <v>0</v>
      </c>
      <c r="L73" s="43" t="n">
        <v>6118.58</v>
      </c>
      <c r="M73" s="43" t="n">
        <v>-8464606.359999999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IN INTDEAL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4" t="n">
        <v>46130</v>
      </c>
      <c r="AB73" s="46">
        <f>HYPERLINK("#'Transactions'!A70", "View Source Row")</f>
        <v/>
      </c>
    </row>
    <row r="74">
      <c r="A74" s="14" t="n">
        <v>70</v>
      </c>
      <c r="B74" s="14" t="inlineStr">
        <is>
          <t>273.pdf</t>
        </is>
      </c>
      <c r="C74" s="44" t="n">
        <v>46113</v>
      </c>
      <c r="D74" s="44" t="n">
        <v>46142</v>
      </c>
      <c r="E74" s="44" t="n">
        <v>46130</v>
      </c>
      <c r="F74" s="44" t="n">
        <v>46130</v>
      </c>
      <c r="G74" s="16" t="inlineStr">
        <is>
          <t>BY CASH BY CASH</t>
        </is>
      </c>
      <c r="H74" s="14" t="str"/>
      <c r="I74" s="14" t="inlineStr">
        <is>
          <t>Receipt</t>
        </is>
      </c>
      <c r="J74" s="43" t="n">
        <v>0</v>
      </c>
      <c r="K74" s="43" t="n">
        <v>394500</v>
      </c>
      <c r="L74" s="43" t="n">
        <v>394500</v>
      </c>
      <c r="M74" s="43" t="n">
        <v>-8070106.36</v>
      </c>
      <c r="N74" s="14" t="inlineStr">
        <is>
          <t>Cash; High Transaction; Recurring Transaction</t>
        </is>
      </c>
      <c r="O74" s="14" t="inlineStr">
        <is>
          <t>Yes</t>
        </is>
      </c>
      <c r="P74" s="14" t="inlineStr">
        <is>
          <t>BY CASH BY CASH</t>
        </is>
      </c>
      <c r="Q74" s="14" t="n">
        <v>1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4" t="n">
        <v>46130</v>
      </c>
      <c r="AB74" s="46">
        <f>HYPERLINK("#'Transactions'!A71", "View Source Row")</f>
        <v/>
      </c>
    </row>
    <row r="75">
      <c r="A75" s="14" t="n">
        <v>71</v>
      </c>
      <c r="B75" s="14" t="inlineStr">
        <is>
          <t>273.pdf</t>
        </is>
      </c>
      <c r="C75" s="44" t="n">
        <v>46113</v>
      </c>
      <c r="D75" s="44" t="n">
        <v>46142</v>
      </c>
      <c r="E75" s="44" t="n">
        <v>46130</v>
      </c>
      <c r="F75" s="44" t="n">
        <v>46130</v>
      </c>
      <c r="G75" s="16" t="inlineStr">
        <is>
          <t>DBUTRA-LUCKNOW INT260402DEAL6291634</t>
        </is>
      </c>
      <c r="H75" s="14" t="str"/>
      <c r="I75" s="14" t="inlineStr">
        <is>
          <t>Payment</t>
        </is>
      </c>
      <c r="J75" s="43" t="n">
        <v>93.69</v>
      </c>
      <c r="K75" s="43" t="n">
        <v>0</v>
      </c>
      <c r="L75" s="43" t="n">
        <v>93.69</v>
      </c>
      <c r="M75" s="43" t="n">
        <v>-8070200.05</v>
      </c>
      <c r="N75" s="14" t="inlineStr">
        <is>
          <t>Other</t>
        </is>
      </c>
      <c r="O75" s="14" t="inlineStr">
        <is>
          <t>No</t>
        </is>
      </c>
      <c r="P75" s="14" t="inlineStr">
        <is>
          <t>LUCKNOW INTDEAL</t>
        </is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4" t="n">
        <v>46130</v>
      </c>
      <c r="AB75" s="46">
        <f>HYPERLINK("#'Transactions'!A72", "View Source Row")</f>
        <v/>
      </c>
    </row>
    <row r="76">
      <c r="A76" s="14" t="n">
        <v>72</v>
      </c>
      <c r="B76" s="14" t="inlineStr">
        <is>
          <t>273.pdf</t>
        </is>
      </c>
      <c r="C76" s="44" t="n">
        <v>46113</v>
      </c>
      <c r="D76" s="44" t="n">
        <v>46142</v>
      </c>
      <c r="E76" s="44" t="n">
        <v>46130</v>
      </c>
      <c r="F76" s="44" t="n">
        <v>46130</v>
      </c>
      <c r="G76" s="16" t="inlineStr">
        <is>
          <t>EBANK:WIB/1504 EBANK:WIB/1504650433/Edfs</t>
        </is>
      </c>
      <c r="H76" s="14" t="str"/>
      <c r="I76" s="14" t="inlineStr">
        <is>
          <t>Receipt</t>
        </is>
      </c>
      <c r="J76" s="43" t="n">
        <v>0</v>
      </c>
      <c r="K76" s="43" t="n">
        <v>480667.28</v>
      </c>
      <c r="L76" s="43" t="n">
        <v>480667.28</v>
      </c>
      <c r="M76" s="43" t="n">
        <v>-7589532.77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EBANKWIB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4" t="n">
        <v>46130</v>
      </c>
      <c r="AB76" s="46">
        <f>HYPERLINK("#'Transactions'!A73", "View Source Row")</f>
        <v/>
      </c>
    </row>
    <row r="77">
      <c r="A77" s="14" t="n">
        <v>73</v>
      </c>
      <c r="B77" s="14" t="inlineStr">
        <is>
          <t>273.pdf</t>
        </is>
      </c>
      <c r="C77" s="44" t="n">
        <v>46113</v>
      </c>
      <c r="D77" s="44" t="n">
        <v>46142</v>
      </c>
      <c r="E77" s="44" t="n">
        <v>46131</v>
      </c>
      <c r="F77" s="44" t="n">
        <v>46131</v>
      </c>
      <c r="G77" s="16" t="inlineStr">
        <is>
          <t>EBANK:WIB/1504 EBANK:WIB/1504657570/Edfs</t>
        </is>
      </c>
      <c r="H77" s="14" t="str"/>
      <c r="I77" s="14" t="inlineStr">
        <is>
          <t>Receipt</t>
        </is>
      </c>
      <c r="J77" s="43" t="n">
        <v>0</v>
      </c>
      <c r="K77" s="43" t="n">
        <v>259433</v>
      </c>
      <c r="L77" s="43" t="n">
        <v>259433</v>
      </c>
      <c r="M77" s="43" t="n">
        <v>-7330099.77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EBANKWIB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4" t="n">
        <v>46131</v>
      </c>
      <c r="AB77" s="46">
        <f>HYPERLINK("#'Transactions'!A74", "View Source Row")</f>
        <v/>
      </c>
    </row>
    <row r="78">
      <c r="A78" s="14" t="n">
        <v>74</v>
      </c>
      <c r="B78" s="14" t="inlineStr">
        <is>
          <t>273.pdf</t>
        </is>
      </c>
      <c r="C78" s="44" t="n">
        <v>46113</v>
      </c>
      <c r="D78" s="44" t="n">
        <v>46142</v>
      </c>
      <c r="E78" s="44" t="n">
        <v>46131</v>
      </c>
      <c r="F78" s="44" t="n">
        <v>46131</v>
      </c>
      <c r="G78" s="16" t="inlineStr">
        <is>
          <t>RTGS-BARBR5202 RTGS-BARBR52026041900792985-HINDUSTAN PETROLEUM CO</t>
        </is>
      </c>
      <c r="H78" s="14" t="str"/>
      <c r="I78" s="14" t="inlineStr">
        <is>
          <t>Payment</t>
        </is>
      </c>
      <c r="J78" s="43" t="n">
        <v>1933014</v>
      </c>
      <c r="K78" s="43" t="n">
        <v>0</v>
      </c>
      <c r="L78" s="43" t="n">
        <v>1933014</v>
      </c>
      <c r="M78" s="43" t="n">
        <v>-9263113.77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BARBR RTGS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4" t="n">
        <v>46131</v>
      </c>
      <c r="AB78" s="46">
        <f>HYPERLINK("#'Transactions'!A75", "View Source Row")</f>
        <v/>
      </c>
    </row>
    <row r="79">
      <c r="A79" s="14" t="n">
        <v>75</v>
      </c>
      <c r="B79" s="14" t="inlineStr">
        <is>
          <t>273.pdf</t>
        </is>
      </c>
      <c r="C79" s="44" t="n">
        <v>46113</v>
      </c>
      <c r="D79" s="44" t="n">
        <v>46142</v>
      </c>
      <c r="E79" s="44" t="n">
        <v>46131</v>
      </c>
      <c r="F79" s="44" t="n">
        <v>46131</v>
      </c>
      <c r="G79" s="16" t="inlineStr">
        <is>
          <t>SASRAM-SASARAM INT260404DEAL6301802</t>
        </is>
      </c>
      <c r="H79" s="14" t="str"/>
      <c r="I79" s="14" t="inlineStr">
        <is>
          <t>Payment</t>
        </is>
      </c>
      <c r="J79" s="43" t="n">
        <v>325.99</v>
      </c>
      <c r="K79" s="43" t="n">
        <v>0</v>
      </c>
      <c r="L79" s="43" t="n">
        <v>325.99</v>
      </c>
      <c r="M79" s="43" t="n">
        <v>-9263439.76</v>
      </c>
      <c r="N79" s="14" t="inlineStr">
        <is>
          <t>Other</t>
        </is>
      </c>
      <c r="O79" s="14" t="inlineStr">
        <is>
          <t>No</t>
        </is>
      </c>
      <c r="P79" s="14" t="inlineStr">
        <is>
          <t>SASARAM INTDEAL</t>
        </is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4" t="n">
        <v>46131</v>
      </c>
      <c r="AB79" s="46">
        <f>HYPERLINK("#'Transactions'!A76", "View Source Row")</f>
        <v/>
      </c>
    </row>
    <row r="80">
      <c r="A80" s="14" t="n">
        <v>76</v>
      </c>
      <c r="B80" s="14" t="inlineStr">
        <is>
          <t>273.pdf</t>
        </is>
      </c>
      <c r="C80" s="44" t="n">
        <v>46113</v>
      </c>
      <c r="D80" s="44" t="n">
        <v>46142</v>
      </c>
      <c r="E80" s="44" t="n">
        <v>46131</v>
      </c>
      <c r="F80" s="44" t="n">
        <v>46131</v>
      </c>
      <c r="G80" s="16" t="inlineStr">
        <is>
          <t>EBANK:WIB/1504 EBANK:WIB/1504707135/Edfs</t>
        </is>
      </c>
      <c r="H80" s="14" t="str"/>
      <c r="I80" s="14" t="inlineStr">
        <is>
          <t>Receipt</t>
        </is>
      </c>
      <c r="J80" s="43" t="n">
        <v>0</v>
      </c>
      <c r="K80" s="43" t="n">
        <v>211310.53</v>
      </c>
      <c r="L80" s="43" t="n">
        <v>211310.53</v>
      </c>
      <c r="M80" s="43" t="n">
        <v>-9052129.23</v>
      </c>
      <c r="N80" s="14" t="inlineStr">
        <is>
          <t>High Transaction; Recurring Transaction</t>
        </is>
      </c>
      <c r="O80" s="14" t="inlineStr">
        <is>
          <t>Yes</t>
        </is>
      </c>
      <c r="P80" s="14" t="inlineStr">
        <is>
          <t>EBANKWIB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4" t="n">
        <v>46131</v>
      </c>
      <c r="AB80" s="46">
        <f>HYPERLINK("#'Transactions'!A77", "View Source Row")</f>
        <v/>
      </c>
    </row>
    <row r="81">
      <c r="A81" s="14" t="n">
        <v>77</v>
      </c>
      <c r="B81" s="14" t="inlineStr">
        <is>
          <t>273.pdf</t>
        </is>
      </c>
      <c r="C81" s="44" t="n">
        <v>46113</v>
      </c>
      <c r="D81" s="44" t="n">
        <v>46142</v>
      </c>
      <c r="E81" s="44" t="n">
        <v>46132</v>
      </c>
      <c r="F81" s="44" t="n">
        <v>46132</v>
      </c>
      <c r="G81" s="16" t="inlineStr">
        <is>
          <t>EBANK:WIB/1504 EBANK:WIB/1504717278/Edfs</t>
        </is>
      </c>
      <c r="H81" s="14" t="str"/>
      <c r="I81" s="14" t="inlineStr">
        <is>
          <t>Receipt</t>
        </is>
      </c>
      <c r="J81" s="43" t="n">
        <v>0</v>
      </c>
      <c r="K81" s="43" t="n">
        <v>260572.52</v>
      </c>
      <c r="L81" s="43" t="n">
        <v>260572.52</v>
      </c>
      <c r="M81" s="43" t="n">
        <v>-8791556.710000001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EBANKWIB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4" t="n">
        <v>46132</v>
      </c>
      <c r="AB81" s="46">
        <f>HYPERLINK("#'Transactions'!A78", "View Source Row")</f>
        <v/>
      </c>
    </row>
    <row r="82">
      <c r="A82" s="14" t="n">
        <v>78</v>
      </c>
      <c r="B82" s="14" t="inlineStr">
        <is>
          <t>273.pdf</t>
        </is>
      </c>
      <c r="C82" s="44" t="n">
        <v>46113</v>
      </c>
      <c r="D82" s="44" t="n">
        <v>46142</v>
      </c>
      <c r="E82" s="44" t="n">
        <v>46132</v>
      </c>
      <c r="F82" s="44" t="n">
        <v>46132</v>
      </c>
      <c r="G82" s="16" t="inlineStr">
        <is>
          <t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82" s="14" t="str"/>
      <c r="I82" s="14" t="inlineStr">
        <is>
          <t>Payment</t>
        </is>
      </c>
      <c r="J82" s="43" t="n">
        <v>215.15</v>
      </c>
      <c r="K82" s="43" t="n">
        <v>0</v>
      </c>
      <c r="L82" s="43" t="n">
        <v>215.15</v>
      </c>
      <c r="M82" s="43" t="n">
        <v>-8791771.859999999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PAGE TOTAL   DR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4" t="n">
        <v>46132</v>
      </c>
      <c r="AB82" s="46">
        <f>HYPERLINK("#'Transactions'!A79", "View Source Row")</f>
        <v/>
      </c>
    </row>
    <row r="83">
      <c r="A83" s="14" t="n">
        <v>79</v>
      </c>
      <c r="B83" s="14" t="inlineStr">
        <is>
          <t>273.pdf</t>
        </is>
      </c>
      <c r="C83" s="44" t="n">
        <v>46113</v>
      </c>
      <c r="D83" s="44" t="n">
        <v>46142</v>
      </c>
      <c r="E83" s="44" t="n">
        <v>46132</v>
      </c>
      <c r="F83" s="44" t="n">
        <v>46132</v>
      </c>
      <c r="G83" s="16" t="inlineStr">
        <is>
          <t>BY CASH BY CASH</t>
        </is>
      </c>
      <c r="H83" s="14" t="str"/>
      <c r="I83" s="14" t="inlineStr">
        <is>
          <t>Receipt</t>
        </is>
      </c>
      <c r="J83" s="43" t="n">
        <v>0</v>
      </c>
      <c r="K83" s="43" t="n">
        <v>336500</v>
      </c>
      <c r="L83" s="43" t="n">
        <v>336500</v>
      </c>
      <c r="M83" s="43" t="n">
        <v>-8455271.859999999</v>
      </c>
      <c r="N83" s="14" t="inlineStr">
        <is>
          <t>Cash; High Transaction; Recurring Transaction</t>
        </is>
      </c>
      <c r="O83" s="14" t="inlineStr">
        <is>
          <t>Yes</t>
        </is>
      </c>
      <c r="P83" s="14" t="inlineStr">
        <is>
          <t>BY CASH BY CASH</t>
        </is>
      </c>
      <c r="Q83" s="14" t="n">
        <v>1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4" t="n">
        <v>46132</v>
      </c>
      <c r="AB83" s="46">
        <f>HYPERLINK("#'Transactions'!A80", "View Source Row")</f>
        <v/>
      </c>
    </row>
    <row r="84">
      <c r="A84" s="14" t="n">
        <v>80</v>
      </c>
      <c r="B84" s="14" t="inlineStr">
        <is>
          <t>273.pdf</t>
        </is>
      </c>
      <c r="C84" s="44" t="n">
        <v>46113</v>
      </c>
      <c r="D84" s="44" t="n">
        <v>46142</v>
      </c>
      <c r="E84" s="44" t="n">
        <v>46132</v>
      </c>
      <c r="F84" s="44" t="n">
        <v>46132</v>
      </c>
      <c r="G84" s="16" t="inlineStr">
        <is>
          <t>EBANK:WIB/1504 EBANK:WIB/1504868004/Edfs</t>
        </is>
      </c>
      <c r="H84" s="14" t="str"/>
      <c r="I84" s="14" t="inlineStr">
        <is>
          <t>Receipt</t>
        </is>
      </c>
      <c r="J84" s="43" t="n">
        <v>0</v>
      </c>
      <c r="K84" s="43" t="n">
        <v>287084.78</v>
      </c>
      <c r="L84" s="43" t="n">
        <v>287084.78</v>
      </c>
      <c r="M84" s="43" t="n">
        <v>-8168187.08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EBANKWIB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4" t="n">
        <v>46132</v>
      </c>
      <c r="AB84" s="46">
        <f>HYPERLINK("#'Transactions'!A81", "View Source Row")</f>
        <v/>
      </c>
    </row>
    <row r="85">
      <c r="A85" s="14" t="n">
        <v>81</v>
      </c>
      <c r="B85" s="14" t="inlineStr">
        <is>
          <t>273.pdf</t>
        </is>
      </c>
      <c r="C85" s="44" t="n">
        <v>46113</v>
      </c>
      <c r="D85" s="44" t="n">
        <v>46142</v>
      </c>
      <c r="E85" s="44" t="n">
        <v>46133</v>
      </c>
      <c r="F85" s="44" t="n">
        <v>46133</v>
      </c>
      <c r="G85" s="16" t="inlineStr">
        <is>
          <t>EBANK:WIB/1504 EBANK:WIB/1504892301/Edfs</t>
        </is>
      </c>
      <c r="H85" s="14" t="str"/>
      <c r="I85" s="14" t="inlineStr">
        <is>
          <t>Receipt</t>
        </is>
      </c>
      <c r="J85" s="43" t="n">
        <v>0</v>
      </c>
      <c r="K85" s="43" t="n">
        <v>333445.92</v>
      </c>
      <c r="L85" s="43" t="n">
        <v>333445.92</v>
      </c>
      <c r="M85" s="43" t="n">
        <v>-7834741.16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4" t="n">
        <v>46133</v>
      </c>
      <c r="AB85" s="46">
        <f>HYPERLINK("#'Transactions'!A82", "View Source Row")</f>
        <v/>
      </c>
    </row>
    <row r="86">
      <c r="A86" s="14" t="n">
        <v>82</v>
      </c>
      <c r="B86" s="14" t="inlineStr">
        <is>
          <t>273.pdf</t>
        </is>
      </c>
      <c r="C86" s="44" t="n">
        <v>46113</v>
      </c>
      <c r="D86" s="44" t="n">
        <v>46142</v>
      </c>
      <c r="E86" s="44" t="n">
        <v>46133</v>
      </c>
      <c r="F86" s="44" t="n">
        <v>46133</v>
      </c>
      <c r="G86" s="16" t="inlineStr">
        <is>
          <t>MANNAG-NAGPUR/ INT260404DEAL6301802 https://cbdrpt101.bankofbaroda.co.in:22000/finbranch/arjspmorph/INFENG/tran_rpt.jsp?... 04-05-2026</t>
        </is>
      </c>
      <c r="H86" s="14" t="str"/>
      <c r="I86" s="14" t="inlineStr">
        <is>
          <t>Payment</t>
        </is>
      </c>
      <c r="J86" s="43" t="n">
        <v>6.88</v>
      </c>
      <c r="K86" s="43" t="n">
        <v>0</v>
      </c>
      <c r="L86" s="43" t="n">
        <v>6.88</v>
      </c>
      <c r="M86" s="43" t="n">
        <v>-7834748.04</v>
      </c>
      <c r="N86" s="14" t="inlineStr">
        <is>
          <t>Other</t>
        </is>
      </c>
      <c r="O86" s="14" t="inlineStr">
        <is>
          <t>No</t>
        </is>
      </c>
      <c r="P86" s="14" t="inlineStr">
        <is>
          <t>INTDEAL HTTPS</t>
        </is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4" t="n">
        <v>46133</v>
      </c>
      <c r="AB86" s="46">
        <f>HYPERLINK("#'Transactions'!A83", "View Source Row")</f>
        <v/>
      </c>
    </row>
    <row r="87">
      <c r="A87" s="14" t="n">
        <v>83</v>
      </c>
      <c r="B87" s="14" t="inlineStr">
        <is>
          <t>273.pdf</t>
        </is>
      </c>
      <c r="C87" s="44" t="n">
        <v>46113</v>
      </c>
      <c r="D87" s="44" t="n">
        <v>46142</v>
      </c>
      <c r="E87" s="44" t="n">
        <v>46133</v>
      </c>
      <c r="F87" s="44" t="n">
        <v>46133</v>
      </c>
      <c r="G87" s="16" t="inlineStr">
        <is>
          <t>RTGS-BARBR5202 RTGS-BARBR52026042100866436-HINDUSTAN PETROLEUM CO</t>
        </is>
      </c>
      <c r="H87" s="14" t="str"/>
      <c r="I87" s="14" t="inlineStr">
        <is>
          <t>Payment</t>
        </is>
      </c>
      <c r="J87" s="43" t="n">
        <v>2042157.6</v>
      </c>
      <c r="K87" s="43" t="n">
        <v>0</v>
      </c>
      <c r="L87" s="43" t="n">
        <v>2042157.6</v>
      </c>
      <c r="M87" s="43" t="n">
        <v>-9876905.640000001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BARBR RTGS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4" t="n">
        <v>46133</v>
      </c>
      <c r="AB87" s="46">
        <f>HYPERLINK("#'Transactions'!A84", "View Source Row")</f>
        <v/>
      </c>
    </row>
    <row r="88">
      <c r="A88" s="14" t="n">
        <v>84</v>
      </c>
      <c r="B88" s="14" t="inlineStr">
        <is>
          <t>273.pdf</t>
        </is>
      </c>
      <c r="C88" s="44" t="n">
        <v>46113</v>
      </c>
      <c r="D88" s="44" t="n">
        <v>46142</v>
      </c>
      <c r="E88" s="44" t="n">
        <v>46133</v>
      </c>
      <c r="F88" s="44" t="n">
        <v>46133</v>
      </c>
      <c r="G88" s="16" t="inlineStr">
        <is>
          <t>BY CASH BY CASH</t>
        </is>
      </c>
      <c r="H88" s="14" t="str"/>
      <c r="I88" s="14" t="inlineStr">
        <is>
          <t>Receipt</t>
        </is>
      </c>
      <c r="J88" s="43" t="n">
        <v>0</v>
      </c>
      <c r="K88" s="43" t="n">
        <v>150500</v>
      </c>
      <c r="L88" s="43" t="n">
        <v>150500</v>
      </c>
      <c r="M88" s="43" t="n">
        <v>-9726405.640000001</v>
      </c>
      <c r="N88" s="14" t="inlineStr">
        <is>
          <t>Cash; High Transaction; Recurring Transaction</t>
        </is>
      </c>
      <c r="O88" s="14" t="inlineStr">
        <is>
          <t>Yes</t>
        </is>
      </c>
      <c r="P88" s="14" t="inlineStr">
        <is>
          <t>BY CASH BY CASH</t>
        </is>
      </c>
      <c r="Q88" s="14" t="n">
        <v>1</v>
      </c>
      <c r="R88" s="14" t="n">
        <v>1</v>
      </c>
      <c r="S88" s="14" t="n">
        <v>0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4" t="n">
        <v>46133</v>
      </c>
      <c r="AB88" s="46">
        <f>HYPERLINK("#'Transactions'!A85", "View Source Row")</f>
        <v/>
      </c>
    </row>
    <row r="89">
      <c r="A89" s="14" t="n">
        <v>85</v>
      </c>
      <c r="B89" s="14" t="inlineStr">
        <is>
          <t>273.pdf</t>
        </is>
      </c>
      <c r="C89" s="44" t="n">
        <v>46113</v>
      </c>
      <c r="D89" s="44" t="n">
        <v>46142</v>
      </c>
      <c r="E89" s="44" t="n">
        <v>46133</v>
      </c>
      <c r="F89" s="44" t="n">
        <v>46133</v>
      </c>
      <c r="G89" s="16" t="inlineStr">
        <is>
          <t>EBANK:WIB/1505 EBANK:WIB/1505043394/Edfs</t>
        </is>
      </c>
      <c r="H89" s="14" t="str"/>
      <c r="I89" s="14" t="inlineStr">
        <is>
          <t>Receipt</t>
        </is>
      </c>
      <c r="J89" s="43" t="n">
        <v>0</v>
      </c>
      <c r="K89" s="43" t="n">
        <v>108963.7</v>
      </c>
      <c r="L89" s="43" t="n">
        <v>108963.7</v>
      </c>
      <c r="M89" s="43" t="n">
        <v>-9617441.939999999</v>
      </c>
      <c r="N89" s="14" t="inlineStr">
        <is>
          <t>High Transaction; Recurring Transaction</t>
        </is>
      </c>
      <c r="O89" s="14" t="inlineStr">
        <is>
          <t>Yes</t>
        </is>
      </c>
      <c r="P89" s="14" t="inlineStr">
        <is>
          <t>EBANKWIB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4" t="n">
        <v>46133</v>
      </c>
      <c r="AB89" s="46">
        <f>HYPERLINK("#'Transactions'!A86", "View Source Row")</f>
        <v/>
      </c>
    </row>
    <row r="90">
      <c r="A90" s="14" t="n">
        <v>86</v>
      </c>
      <c r="B90" s="14" t="inlineStr">
        <is>
          <t>273.pdf</t>
        </is>
      </c>
      <c r="C90" s="44" t="n">
        <v>46113</v>
      </c>
      <c r="D90" s="44" t="n">
        <v>46142</v>
      </c>
      <c r="E90" s="44" t="n">
        <v>46134</v>
      </c>
      <c r="F90" s="44" t="n">
        <v>46134</v>
      </c>
      <c r="G90" s="16" t="inlineStr">
        <is>
          <t>0000-MUMBAI/IN INT260407DEAL6316451</t>
        </is>
      </c>
      <c r="H90" s="14" t="str"/>
      <c r="I90" s="14" t="inlineStr">
        <is>
          <t>Payment</t>
        </is>
      </c>
      <c r="J90" s="43" t="n">
        <v>6617.14</v>
      </c>
      <c r="K90" s="43" t="n">
        <v>0</v>
      </c>
      <c r="L90" s="43" t="n">
        <v>6617.14</v>
      </c>
      <c r="M90" s="43" t="n">
        <v>-9624059.08</v>
      </c>
      <c r="N90" s="14" t="inlineStr">
        <is>
          <t>Recurring Transaction</t>
        </is>
      </c>
      <c r="O90" s="14" t="inlineStr">
        <is>
          <t>Yes</t>
        </is>
      </c>
      <c r="P90" s="14" t="inlineStr">
        <is>
          <t>IN INTDEAL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4" t="n">
        <v>46134</v>
      </c>
      <c r="AB90" s="46">
        <f>HYPERLINK("#'Transactions'!A87", "View Source Row")</f>
        <v/>
      </c>
    </row>
    <row r="91">
      <c r="A91" s="14" t="n">
        <v>87</v>
      </c>
      <c r="B91" s="14" t="inlineStr">
        <is>
          <t>273.pdf</t>
        </is>
      </c>
      <c r="C91" s="44" t="n">
        <v>46113</v>
      </c>
      <c r="D91" s="44" t="n">
        <v>46142</v>
      </c>
      <c r="E91" s="44" t="n">
        <v>46134</v>
      </c>
      <c r="F91" s="44" t="n">
        <v>46134</v>
      </c>
      <c r="G91" s="16" t="inlineStr">
        <is>
          <t>EBANK:WIB/1505 EBANK:WIB/1505048812/Edfs</t>
        </is>
      </c>
      <c r="H91" s="14" t="str"/>
      <c r="I91" s="14" t="inlineStr">
        <is>
          <t>Receipt</t>
        </is>
      </c>
      <c r="J91" s="43" t="n">
        <v>0</v>
      </c>
      <c r="K91" s="43" t="n">
        <v>259307.24</v>
      </c>
      <c r="L91" s="43" t="n">
        <v>259307.24</v>
      </c>
      <c r="M91" s="43" t="n">
        <v>-9364751.84</v>
      </c>
      <c r="N91" s="14" t="inlineStr">
        <is>
          <t>High Transaction; Recurring Transaction</t>
        </is>
      </c>
      <c r="O91" s="14" t="inlineStr">
        <is>
          <t>Yes</t>
        </is>
      </c>
      <c r="P91" s="14" t="inlineStr">
        <is>
          <t>EBANKWIB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4" t="n">
        <v>46134</v>
      </c>
      <c r="AB91" s="46">
        <f>HYPERLINK("#'Transactions'!A88", "View Source Row")</f>
        <v/>
      </c>
    </row>
    <row r="92">
      <c r="A92" s="14" t="n">
        <v>88</v>
      </c>
      <c r="B92" s="14" t="inlineStr">
        <is>
          <t>273.pdf</t>
        </is>
      </c>
      <c r="C92" s="44" t="n">
        <v>46113</v>
      </c>
      <c r="D92" s="44" t="n">
        <v>46142</v>
      </c>
      <c r="E92" s="44" t="n">
        <v>46134</v>
      </c>
      <c r="F92" s="44" t="n">
        <v>46134</v>
      </c>
      <c r="G92" s="16" t="inlineStr">
        <is>
          <t>0000-MUMBAI/IN INT260407DEAL6316451</t>
        </is>
      </c>
      <c r="H92" s="14" t="str"/>
      <c r="I92" s="14" t="inlineStr">
        <is>
          <t>Receipt</t>
        </is>
      </c>
      <c r="J92" s="43" t="n">
        <v>0</v>
      </c>
      <c r="K92" s="43" t="n">
        <v>25.67</v>
      </c>
      <c r="L92" s="43" t="n">
        <v>25.67</v>
      </c>
      <c r="M92" s="43" t="n">
        <v>-9364726.17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IN INTDEAL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4" t="n">
        <v>46134</v>
      </c>
      <c r="AB92" s="46">
        <f>HYPERLINK("#'Transactions'!A89", "View Source Row")</f>
        <v/>
      </c>
    </row>
    <row r="93">
      <c r="A93" s="14" t="n">
        <v>89</v>
      </c>
      <c r="B93" s="14" t="inlineStr">
        <is>
          <t>273.pdf</t>
        </is>
      </c>
      <c r="C93" s="44" t="n">
        <v>46113</v>
      </c>
      <c r="D93" s="44" t="n">
        <v>46142</v>
      </c>
      <c r="E93" s="44" t="n">
        <v>46134</v>
      </c>
      <c r="F93" s="44" t="n">
        <v>46134</v>
      </c>
      <c r="G93" s="16" t="inlineStr">
        <is>
          <t>BY CASH BY CASH</t>
        </is>
      </c>
      <c r="H93" s="14" t="str"/>
      <c r="I93" s="14" t="inlineStr">
        <is>
          <t>Receipt</t>
        </is>
      </c>
      <c r="J93" s="43" t="n">
        <v>0</v>
      </c>
      <c r="K93" s="43" t="n">
        <v>609000</v>
      </c>
      <c r="L93" s="43" t="n">
        <v>609000</v>
      </c>
      <c r="M93" s="43" t="n">
        <v>-8755726.17</v>
      </c>
      <c r="N93" s="14" t="inlineStr">
        <is>
          <t>Cash; High Transaction; Recurring Transaction</t>
        </is>
      </c>
      <c r="O93" s="14" t="inlineStr">
        <is>
          <t>Yes</t>
        </is>
      </c>
      <c r="P93" s="14" t="inlineStr">
        <is>
          <t>BY CASH BY CASH</t>
        </is>
      </c>
      <c r="Q93" s="14" t="n">
        <v>1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4" t="n">
        <v>46134</v>
      </c>
      <c r="AB93" s="46">
        <f>HYPERLINK("#'Transactions'!A90", "View Source Row")</f>
        <v/>
      </c>
    </row>
    <row r="94">
      <c r="A94" s="14" t="n">
        <v>90</v>
      </c>
      <c r="B94" s="14" t="inlineStr">
        <is>
          <t>273.pdf</t>
        </is>
      </c>
      <c r="C94" s="44" t="n">
        <v>46113</v>
      </c>
      <c r="D94" s="44" t="n">
        <v>46142</v>
      </c>
      <c r="E94" s="44" t="n">
        <v>46134</v>
      </c>
      <c r="F94" s="44" t="n">
        <v>46134</v>
      </c>
      <c r="G94" s="16" t="inlineStr">
        <is>
          <t>EBANK:WIB/1505 EBANK:WIB/1505171210/Edfs</t>
        </is>
      </c>
      <c r="H94" s="14" t="str"/>
      <c r="I94" s="14" t="inlineStr">
        <is>
          <t>Receipt</t>
        </is>
      </c>
      <c r="J94" s="43" t="n">
        <v>0</v>
      </c>
      <c r="K94" s="43" t="n">
        <v>356256.8</v>
      </c>
      <c r="L94" s="43" t="n">
        <v>356256.8</v>
      </c>
      <c r="M94" s="43" t="n">
        <v>-8399469.369999999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EBANKWIB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4" t="n">
        <v>46134</v>
      </c>
      <c r="AB94" s="46">
        <f>HYPERLINK("#'Transactions'!A91", "View Source Row")</f>
        <v/>
      </c>
    </row>
    <row r="95">
      <c r="A95" s="14" t="n">
        <v>91</v>
      </c>
      <c r="B95" s="14" t="inlineStr">
        <is>
          <t>273.pdf</t>
        </is>
      </c>
      <c r="C95" s="44" t="n">
        <v>46113</v>
      </c>
      <c r="D95" s="44" t="n">
        <v>46142</v>
      </c>
      <c r="E95" s="44" t="n">
        <v>46134</v>
      </c>
      <c r="F95" s="44" t="n">
        <v>46134</v>
      </c>
      <c r="G95" s="16" t="inlineStr">
        <is>
          <t>RTGS-BARBR5202 RTGS-BARBR52026042200989175-HINDUSTAN PETROLEUM CO</t>
        </is>
      </c>
      <c r="H95" s="14" t="str"/>
      <c r="I95" s="14" t="inlineStr">
        <is>
          <t>Payment</t>
        </is>
      </c>
      <c r="J95" s="43" t="n">
        <v>1600530</v>
      </c>
      <c r="K95" s="43" t="n">
        <v>0</v>
      </c>
      <c r="L95" s="43" t="n">
        <v>1600530</v>
      </c>
      <c r="M95" s="43" t="n">
        <v>-9999999.369999999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BARBR RTGS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4" t="n">
        <v>46134</v>
      </c>
      <c r="AB95" s="46">
        <f>HYPERLINK("#'Transactions'!A92", "View Source Row")</f>
        <v/>
      </c>
    </row>
    <row r="96">
      <c r="A96" s="14" t="n">
        <v>92</v>
      </c>
      <c r="B96" s="14" t="inlineStr">
        <is>
          <t>273.pdf</t>
        </is>
      </c>
      <c r="C96" s="44" t="n">
        <v>46113</v>
      </c>
      <c r="D96" s="44" t="n">
        <v>46142</v>
      </c>
      <c r="E96" s="44" t="n">
        <v>46134</v>
      </c>
      <c r="F96" s="44" t="n">
        <v>46134</v>
      </c>
      <c r="G96" s="16" t="inlineStr">
        <is>
          <t>EBANK:WIB/1505 EBANK:WIB/1505187993/Edfs</t>
        </is>
      </c>
      <c r="H96" s="14" t="str"/>
      <c r="I96" s="14" t="inlineStr">
        <is>
          <t>Receipt</t>
        </is>
      </c>
      <c r="J96" s="43" t="n">
        <v>0</v>
      </c>
      <c r="K96" s="43" t="n">
        <v>50000</v>
      </c>
      <c r="L96" s="43" t="n">
        <v>50000</v>
      </c>
      <c r="M96" s="43" t="n">
        <v>-9949999.369999999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EBANKWIB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4" t="n">
        <v>46134</v>
      </c>
      <c r="AB96" s="46">
        <f>HYPERLINK("#'Transactions'!A93", "View Source Row")</f>
        <v/>
      </c>
    </row>
    <row r="97">
      <c r="A97" s="14" t="n">
        <v>93</v>
      </c>
      <c r="B97" s="14" t="inlineStr">
        <is>
          <t>273.pdf</t>
        </is>
      </c>
      <c r="C97" s="44" t="n">
        <v>46113</v>
      </c>
      <c r="D97" s="44" t="n">
        <v>46142</v>
      </c>
      <c r="E97" s="44" t="n">
        <v>46135</v>
      </c>
      <c r="F97" s="44" t="n">
        <v>46135</v>
      </c>
      <c r="G97" s="16" t="inlineStr">
        <is>
          <t>EBANK:WIB/1505 EBANK:WIB/1505193929/Edfs</t>
        </is>
      </c>
      <c r="H97" s="14" t="str"/>
      <c r="I97" s="14" t="inlineStr">
        <is>
          <t>Receipt</t>
        </is>
      </c>
      <c r="J97" s="43" t="n">
        <v>0</v>
      </c>
      <c r="K97" s="43" t="n">
        <v>224683</v>
      </c>
      <c r="L97" s="43" t="n">
        <v>224683</v>
      </c>
      <c r="M97" s="43" t="n">
        <v>-9725316.369999999</v>
      </c>
      <c r="N97" s="14" t="inlineStr">
        <is>
          <t>High Transaction; Recurring Transaction</t>
        </is>
      </c>
      <c r="O97" s="14" t="inlineStr">
        <is>
          <t>Yes</t>
        </is>
      </c>
      <c r="P97" s="14" t="inlineStr">
        <is>
          <t>EBANKWIB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4" t="n">
        <v>46135</v>
      </c>
      <c r="AB97" s="46">
        <f>HYPERLINK("#'Transactions'!A94", "View Source Row")</f>
        <v/>
      </c>
    </row>
    <row r="98">
      <c r="A98" s="14" t="n">
        <v>94</v>
      </c>
      <c r="B98" s="14" t="inlineStr">
        <is>
          <t>273.pdf</t>
        </is>
      </c>
      <c r="C98" s="44" t="n">
        <v>46113</v>
      </c>
      <c r="D98" s="44" t="n">
        <v>46142</v>
      </c>
      <c r="E98" s="44" t="n">
        <v>46135</v>
      </c>
      <c r="F98" s="44" t="n">
        <v>46135</v>
      </c>
      <c r="G98" s="16" t="inlineStr">
        <is>
          <t>EBANK:WIB/1505 EBANK:WIB/1505194002/Edfs</t>
        </is>
      </c>
      <c r="H98" s="14" t="str"/>
      <c r="I98" s="14" t="inlineStr">
        <is>
          <t>Receipt</t>
        </is>
      </c>
      <c r="J98" s="43" t="n">
        <v>0</v>
      </c>
      <c r="K98" s="43" t="n">
        <v>82795.52</v>
      </c>
      <c r="L98" s="43" t="n">
        <v>82795.52</v>
      </c>
      <c r="M98" s="43" t="n">
        <v>-9642520.85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4" t="n">
        <v>46135</v>
      </c>
      <c r="AB98" s="46">
        <f>HYPERLINK("#'Transactions'!A95", "View Source Row")</f>
        <v/>
      </c>
    </row>
    <row r="99">
      <c r="A99" s="14" t="n">
        <v>95</v>
      </c>
      <c r="B99" s="14" t="inlineStr">
        <is>
          <t>273.pdf</t>
        </is>
      </c>
      <c r="C99" s="44" t="n">
        <v>46113</v>
      </c>
      <c r="D99" s="44" t="n">
        <v>46142</v>
      </c>
      <c r="E99" s="44" t="n">
        <v>46135</v>
      </c>
      <c r="F99" s="44" t="n">
        <v>46135</v>
      </c>
      <c r="G99" s="16" t="inlineStr">
        <is>
          <t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99" s="14" t="str"/>
      <c r="I99" s="14" t="inlineStr">
        <is>
          <t>Payment</t>
        </is>
      </c>
      <c r="J99" s="43" t="n">
        <v>16.71</v>
      </c>
      <c r="K99" s="43" t="n">
        <v>0</v>
      </c>
      <c r="L99" s="43" t="n">
        <v>16.71</v>
      </c>
      <c r="M99" s="43" t="n">
        <v>-9642537.560000001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PAGE TOTAL   DR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4" t="n">
        <v>46135</v>
      </c>
      <c r="AB99" s="46">
        <f>HYPERLINK("#'Transactions'!A96", "View Source Row")</f>
        <v/>
      </c>
    </row>
    <row r="100">
      <c r="A100" s="14" t="n">
        <v>96</v>
      </c>
      <c r="B100" s="14" t="inlineStr">
        <is>
          <t>273.pdf</t>
        </is>
      </c>
      <c r="C100" s="44" t="n">
        <v>46113</v>
      </c>
      <c r="D100" s="44" t="n">
        <v>46142</v>
      </c>
      <c r="E100" s="44" t="n">
        <v>46135</v>
      </c>
      <c r="F100" s="44" t="n">
        <v>46135</v>
      </c>
      <c r="G100" s="16" t="inlineStr">
        <is>
          <t>EBANK:WIB/1505 EBANK:WIB/1505205959/Edfs</t>
        </is>
      </c>
      <c r="H100" s="14" t="str"/>
      <c r="I100" s="14" t="inlineStr">
        <is>
          <t>Receipt</t>
        </is>
      </c>
      <c r="J100" s="43" t="n">
        <v>0</v>
      </c>
      <c r="K100" s="43" t="n">
        <v>269000</v>
      </c>
      <c r="L100" s="43" t="n">
        <v>269000</v>
      </c>
      <c r="M100" s="43" t="n">
        <v>-9373537.560000001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EBANKWIB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4" t="n">
        <v>46135</v>
      </c>
      <c r="AB100" s="46">
        <f>HYPERLINK("#'Transactions'!A97", "View Source Row")</f>
        <v/>
      </c>
    </row>
    <row r="101">
      <c r="A101" s="14" t="n">
        <v>97</v>
      </c>
      <c r="B101" s="14" t="inlineStr">
        <is>
          <t>273.pdf</t>
        </is>
      </c>
      <c r="C101" s="44" t="n">
        <v>46113</v>
      </c>
      <c r="D101" s="44" t="n">
        <v>46142</v>
      </c>
      <c r="E101" s="44" t="n">
        <v>46135</v>
      </c>
      <c r="F101" s="44" t="n">
        <v>46135</v>
      </c>
      <c r="G101" s="16" t="inlineStr">
        <is>
          <t>RTGS-BARBR5202 RTGS-BARBR52026042300993365-HINDUSTAN PETROLEUM CO</t>
        </is>
      </c>
      <c r="H101" s="14" t="str"/>
      <c r="I101" s="14" t="inlineStr">
        <is>
          <t>Payment</t>
        </is>
      </c>
      <c r="J101" s="43" t="n">
        <v>428234.82</v>
      </c>
      <c r="K101" s="43" t="n">
        <v>0</v>
      </c>
      <c r="L101" s="43" t="n">
        <v>428234.82</v>
      </c>
      <c r="M101" s="43" t="n">
        <v>-9801772.380000001</v>
      </c>
      <c r="N101" s="14" t="inlineStr">
        <is>
          <t>High Transaction; Recurring Transaction</t>
        </is>
      </c>
      <c r="O101" s="14" t="inlineStr">
        <is>
          <t>Yes</t>
        </is>
      </c>
      <c r="P101" s="14" t="inlineStr">
        <is>
          <t>BARBR RTGS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4" t="n">
        <v>46135</v>
      </c>
      <c r="AB101" s="46">
        <f>HYPERLINK("#'Transactions'!A98", "View Source Row")</f>
        <v/>
      </c>
    </row>
    <row r="102">
      <c r="A102" s="14" t="n">
        <v>98</v>
      </c>
      <c r="B102" s="14" t="inlineStr">
        <is>
          <t>273.pdf</t>
        </is>
      </c>
      <c r="C102" s="44" t="n">
        <v>46113</v>
      </c>
      <c r="D102" s="44" t="n">
        <v>46142</v>
      </c>
      <c r="E102" s="44" t="n">
        <v>46135</v>
      </c>
      <c r="F102" s="44" t="n">
        <v>46135</v>
      </c>
      <c r="G102" s="16" t="inlineStr">
        <is>
          <t>BY CASH BY CASH</t>
        </is>
      </c>
      <c r="H102" s="14" t="str"/>
      <c r="I102" s="14" t="inlineStr">
        <is>
          <t>Receipt</t>
        </is>
      </c>
      <c r="J102" s="43" t="n">
        <v>0</v>
      </c>
      <c r="K102" s="43" t="n">
        <v>253500</v>
      </c>
      <c r="L102" s="43" t="n">
        <v>253500</v>
      </c>
      <c r="M102" s="43" t="n">
        <v>-9548272.380000001</v>
      </c>
      <c r="N102" s="14" t="inlineStr">
        <is>
          <t>Cash; High Transaction; Recurring Transaction</t>
        </is>
      </c>
      <c r="O102" s="14" t="inlineStr">
        <is>
          <t>Yes</t>
        </is>
      </c>
      <c r="P102" s="14" t="inlineStr">
        <is>
          <t>BY CASH BY CASH</t>
        </is>
      </c>
      <c r="Q102" s="14" t="n">
        <v>1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4" t="n">
        <v>46135</v>
      </c>
      <c r="AB102" s="46">
        <f>HYPERLINK("#'Transactions'!A99", "View Source Row")</f>
        <v/>
      </c>
    </row>
    <row r="103">
      <c r="A103" s="14" t="n">
        <v>99</v>
      </c>
      <c r="B103" s="14" t="inlineStr">
        <is>
          <t>273.pdf</t>
        </is>
      </c>
      <c r="C103" s="44" t="n">
        <v>46113</v>
      </c>
      <c r="D103" s="44" t="n">
        <v>46142</v>
      </c>
      <c r="E103" s="44" t="n">
        <v>46135</v>
      </c>
      <c r="F103" s="44" t="n">
        <v>46135</v>
      </c>
      <c r="G103" s="16" t="inlineStr">
        <is>
          <t>RTGS-BARBR5202 RTGS-BARBR52026042300772587-HINDUSTAN PETROLEUM CO</t>
        </is>
      </c>
      <c r="H103" s="14" t="str"/>
      <c r="I103" s="14" t="inlineStr">
        <is>
          <t>Payment</t>
        </is>
      </c>
      <c r="J103" s="43" t="n">
        <v>451000</v>
      </c>
      <c r="K103" s="43" t="n">
        <v>0</v>
      </c>
      <c r="L103" s="43" t="n">
        <v>451000</v>
      </c>
      <c r="M103" s="43" t="n">
        <v>-9999272.380000001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BARBR RTGS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4" t="n">
        <v>46135</v>
      </c>
      <c r="AB103" s="46">
        <f>HYPERLINK("#'Transactions'!A100", "View Source Row")</f>
        <v/>
      </c>
    </row>
    <row r="104">
      <c r="A104" s="14" t="n">
        <v>100</v>
      </c>
      <c r="B104" s="14" t="inlineStr">
        <is>
          <t>273.pdf</t>
        </is>
      </c>
      <c r="C104" s="44" t="n">
        <v>46113</v>
      </c>
      <c r="D104" s="44" t="n">
        <v>46142</v>
      </c>
      <c r="E104" s="44" t="n">
        <v>46135</v>
      </c>
      <c r="F104" s="44" t="n">
        <v>46135</v>
      </c>
      <c r="G104" s="16" t="inlineStr">
        <is>
          <t>EBANK:WIB/1505 EBANK:WIB/1505315722/Edfs</t>
        </is>
      </c>
      <c r="H104" s="14" t="str"/>
      <c r="I104" s="14" t="inlineStr">
        <is>
          <t>Receipt</t>
        </is>
      </c>
      <c r="J104" s="43" t="n">
        <v>0</v>
      </c>
      <c r="K104" s="43" t="n">
        <v>222635.35</v>
      </c>
      <c r="L104" s="43" t="n">
        <v>222635.35</v>
      </c>
      <c r="M104" s="43" t="n">
        <v>-9776637.029999999</v>
      </c>
      <c r="N104" s="14" t="inlineStr">
        <is>
          <t>High Transaction; Recurring Transaction</t>
        </is>
      </c>
      <c r="O104" s="14" t="inlineStr">
        <is>
          <t>Yes</t>
        </is>
      </c>
      <c r="P104" s="14" t="inlineStr">
        <is>
          <t>EBANKWIB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4" t="n">
        <v>46135</v>
      </c>
      <c r="AB104" s="46">
        <f>HYPERLINK("#'Transactions'!A101", "View Source Row")</f>
        <v/>
      </c>
    </row>
    <row r="105">
      <c r="A105" s="14" t="n">
        <v>101</v>
      </c>
      <c r="B105" s="14" t="inlineStr">
        <is>
          <t>273.pdf</t>
        </is>
      </c>
      <c r="C105" s="44" t="n">
        <v>46113</v>
      </c>
      <c r="D105" s="44" t="n">
        <v>46142</v>
      </c>
      <c r="E105" s="44" t="n">
        <v>46136</v>
      </c>
      <c r="F105" s="44" t="n">
        <v>46136</v>
      </c>
      <c r="G105" s="16" t="inlineStr">
        <is>
          <t>EBANK:WIB/1505 EBANK:WIB/1505337172/Edfs</t>
        </is>
      </c>
      <c r="H105" s="14" t="str"/>
      <c r="I105" s="14" t="inlineStr">
        <is>
          <t>Receipt</t>
        </is>
      </c>
      <c r="J105" s="43" t="n">
        <v>0</v>
      </c>
      <c r="K105" s="43" t="n">
        <v>400403</v>
      </c>
      <c r="L105" s="43" t="n">
        <v>400403</v>
      </c>
      <c r="M105" s="43" t="n">
        <v>-9376234.029999999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EBANKWIB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4" t="n">
        <v>46136</v>
      </c>
      <c r="AB105" s="46">
        <f>HYPERLINK("#'Transactions'!A102", "View Source Row")</f>
        <v/>
      </c>
    </row>
    <row r="106">
      <c r="A106" s="14" t="n">
        <v>102</v>
      </c>
      <c r="B106" s="14" t="inlineStr">
        <is>
          <t>273.pdf</t>
        </is>
      </c>
      <c r="C106" s="44" t="n">
        <v>46113</v>
      </c>
      <c r="D106" s="44" t="n">
        <v>46142</v>
      </c>
      <c r="E106" s="44" t="n">
        <v>46136</v>
      </c>
      <c r="F106" s="44" t="n">
        <v>46136</v>
      </c>
      <c r="G106" s="16" t="inlineStr">
        <is>
          <t>BY CASH BY CASH</t>
        </is>
      </c>
      <c r="H106" s="14" t="str"/>
      <c r="I106" s="14" t="inlineStr">
        <is>
          <t>Receipt</t>
        </is>
      </c>
      <c r="J106" s="43" t="n">
        <v>0</v>
      </c>
      <c r="K106" s="43" t="n">
        <v>281000</v>
      </c>
      <c r="L106" s="43" t="n">
        <v>281000</v>
      </c>
      <c r="M106" s="43" t="n">
        <v>-9095234.029999999</v>
      </c>
      <c r="N106" s="14" t="inlineStr">
        <is>
          <t>Cash; High Transaction; Recurring Transaction</t>
        </is>
      </c>
      <c r="O106" s="14" t="inlineStr">
        <is>
          <t>Yes</t>
        </is>
      </c>
      <c r="P106" s="14" t="inlineStr">
        <is>
          <t>BY CASH BY CASH</t>
        </is>
      </c>
      <c r="Q106" s="14" t="n">
        <v>1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4" t="n">
        <v>46136</v>
      </c>
      <c r="AB106" s="46">
        <f>HYPERLINK("#'Transactions'!A103", "View Source Row")</f>
        <v/>
      </c>
    </row>
    <row r="107">
      <c r="A107" s="14" t="n">
        <v>103</v>
      </c>
      <c r="B107" s="14" t="inlineStr">
        <is>
          <t>273.pdf</t>
        </is>
      </c>
      <c r="C107" s="44" t="n">
        <v>46113</v>
      </c>
      <c r="D107" s="44" t="n">
        <v>46142</v>
      </c>
      <c r="E107" s="44" t="n">
        <v>46136</v>
      </c>
      <c r="F107" s="44" t="n">
        <v>46136</v>
      </c>
      <c r="G107" s="16" t="inlineStr">
        <is>
          <t>VIRARW-THANE/B BY CASH</t>
        </is>
      </c>
      <c r="H107" s="14" t="str"/>
      <c r="I107" s="14" t="inlineStr">
        <is>
          <t>Receipt</t>
        </is>
      </c>
      <c r="J107" s="43" t="n">
        <v>0</v>
      </c>
      <c r="K107" s="43" t="n">
        <v>250000</v>
      </c>
      <c r="L107" s="43" t="n">
        <v>250000</v>
      </c>
      <c r="M107" s="43" t="n">
        <v>-8845234.029999999</v>
      </c>
      <c r="N107" s="14" t="inlineStr">
        <is>
          <t>Cash; High Transaction; Recurring Transaction</t>
        </is>
      </c>
      <c r="O107" s="14" t="inlineStr">
        <is>
          <t>Yes</t>
        </is>
      </c>
      <c r="P107" s="14" t="inlineStr">
        <is>
          <t>B BY CASH</t>
        </is>
      </c>
      <c r="Q107" s="14" t="n">
        <v>1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4" t="n">
        <v>46136</v>
      </c>
      <c r="AB107" s="46">
        <f>HYPERLINK("#'Transactions'!A104", "View Source Row")</f>
        <v/>
      </c>
    </row>
    <row r="108">
      <c r="A108" s="14" t="n">
        <v>104</v>
      </c>
      <c r="B108" s="14" t="inlineStr">
        <is>
          <t>273.pdf</t>
        </is>
      </c>
      <c r="C108" s="44" t="n">
        <v>46113</v>
      </c>
      <c r="D108" s="44" t="n">
        <v>46142</v>
      </c>
      <c r="E108" s="44" t="n">
        <v>46136</v>
      </c>
      <c r="F108" s="44" t="n">
        <v>46136</v>
      </c>
      <c r="G108" s="16" t="inlineStr">
        <is>
          <t>BAGBAH-BAGBAHR INT260410DEAL6330158</t>
        </is>
      </c>
      <c r="H108" s="14" t="str"/>
      <c r="I108" s="14" t="inlineStr">
        <is>
          <t>Payment</t>
        </is>
      </c>
      <c r="J108" s="43" t="n">
        <v>5712.82</v>
      </c>
      <c r="K108" s="43" t="n">
        <v>0</v>
      </c>
      <c r="L108" s="43" t="n">
        <v>5712.82</v>
      </c>
      <c r="M108" s="43" t="n">
        <v>-8850946.85</v>
      </c>
      <c r="N108" s="14" t="inlineStr">
        <is>
          <t>Other</t>
        </is>
      </c>
      <c r="O108" s="14" t="inlineStr">
        <is>
          <t>No</t>
        </is>
      </c>
      <c r="P108" s="14" t="inlineStr">
        <is>
          <t>BAGBAHR INTDEAL</t>
        </is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4" t="n">
        <v>46136</v>
      </c>
      <c r="AB108" s="46">
        <f>HYPERLINK("#'Transactions'!A105", "View Source Row")</f>
        <v/>
      </c>
    </row>
    <row r="109">
      <c r="A109" s="14" t="n">
        <v>105</v>
      </c>
      <c r="B109" s="14" t="inlineStr">
        <is>
          <t>273.pdf</t>
        </is>
      </c>
      <c r="C109" s="44" t="n">
        <v>46113</v>
      </c>
      <c r="D109" s="44" t="n">
        <v>46142</v>
      </c>
      <c r="E109" s="44" t="n">
        <v>46136</v>
      </c>
      <c r="F109" s="44" t="n">
        <v>46136</v>
      </c>
      <c r="G109" s="16" t="inlineStr">
        <is>
          <t>VJARDI-ARDI,KA INT260410DEAL6333836</t>
        </is>
      </c>
      <c r="H109" s="14" t="str"/>
      <c r="I109" s="14" t="inlineStr">
        <is>
          <t>Payment</t>
        </is>
      </c>
      <c r="J109" s="43" t="n">
        <v>67.48</v>
      </c>
      <c r="K109" s="43" t="n">
        <v>0</v>
      </c>
      <c r="L109" s="43" t="n">
        <v>67.48</v>
      </c>
      <c r="M109" s="43" t="n">
        <v>-8851014.33</v>
      </c>
      <c r="N109" s="14" t="inlineStr">
        <is>
          <t>Other</t>
        </is>
      </c>
      <c r="O109" s="14" t="inlineStr">
        <is>
          <t>No</t>
        </is>
      </c>
      <c r="P109" s="14" t="inlineStr">
        <is>
          <t>ARDIKA INTDEAL</t>
        </is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4" t="n">
        <v>46136</v>
      </c>
      <c r="AB109" s="46">
        <f>HYPERLINK("#'Transactions'!A106", "View Source Row")</f>
        <v/>
      </c>
    </row>
    <row r="110">
      <c r="A110" s="14" t="n">
        <v>106</v>
      </c>
      <c r="B110" s="14" t="inlineStr">
        <is>
          <t>273.pdf</t>
        </is>
      </c>
      <c r="C110" s="44" t="n">
        <v>46113</v>
      </c>
      <c r="D110" s="44" t="n">
        <v>46142</v>
      </c>
      <c r="E110" s="44" t="n">
        <v>46136</v>
      </c>
      <c r="F110" s="44" t="n">
        <v>46136</v>
      </c>
      <c r="G110" s="16" t="inlineStr">
        <is>
          <t>RTGS-BARBR5202 RTGS-BARBR52026042400851908-HINDUSTAN PETROLEUM CO</t>
        </is>
      </c>
      <c r="H110" s="14" t="str"/>
      <c r="I110" s="14" t="inlineStr">
        <is>
          <t>Payment</t>
        </is>
      </c>
      <c r="J110" s="43" t="n">
        <v>1148985</v>
      </c>
      <c r="K110" s="43" t="n">
        <v>0</v>
      </c>
      <c r="L110" s="43" t="n">
        <v>1148985</v>
      </c>
      <c r="M110" s="43" t="n">
        <v>-9999999.33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BARBR RTGS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4" t="n">
        <v>46136</v>
      </c>
      <c r="AB110" s="46">
        <f>HYPERLINK("#'Transactions'!A107", "View Source Row")</f>
        <v/>
      </c>
    </row>
    <row r="111">
      <c r="A111" s="14" t="n">
        <v>107</v>
      </c>
      <c r="B111" s="14" t="inlineStr">
        <is>
          <t>273.pdf</t>
        </is>
      </c>
      <c r="C111" s="44" t="n">
        <v>46113</v>
      </c>
      <c r="D111" s="44" t="n">
        <v>46142</v>
      </c>
      <c r="E111" s="44" t="n">
        <v>46136</v>
      </c>
      <c r="F111" s="44" t="n">
        <v>46136</v>
      </c>
      <c r="G111" s="16" t="inlineStr">
        <is>
          <t>EBANK:WIB/1505 EBANK:WIB/1505452714/Edfs https://cbdrpt101.bankofbaroda.co.in:22000/finbranch/arjspmorph/INFENG/tran_rpt.jsp?... 04-05-2026</t>
        </is>
      </c>
      <c r="H111" s="14" t="str"/>
      <c r="I111" s="14" t="inlineStr">
        <is>
          <t>Receipt</t>
        </is>
      </c>
      <c r="J111" s="43" t="n">
        <v>0</v>
      </c>
      <c r="K111" s="43" t="n">
        <v>115069</v>
      </c>
      <c r="L111" s="43" t="n">
        <v>115069</v>
      </c>
      <c r="M111" s="43" t="n">
        <v>-9884930.33</v>
      </c>
      <c r="N111" s="14" t="inlineStr">
        <is>
          <t>High Transaction; Recurring Transaction</t>
        </is>
      </c>
      <c r="O111" s="14" t="inlineStr">
        <is>
          <t>Yes</t>
        </is>
      </c>
      <c r="P111" s="14" t="inlineStr">
        <is>
          <t>EBANKWIB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1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4" t="n">
        <v>46136</v>
      </c>
      <c r="AB111" s="46">
        <f>HYPERLINK("#'Transactions'!A108", "View Source Row")</f>
        <v/>
      </c>
    </row>
    <row r="112">
      <c r="A112" s="14" t="n">
        <v>108</v>
      </c>
      <c r="B112" s="14" t="inlineStr">
        <is>
          <t>273.pdf</t>
        </is>
      </c>
      <c r="C112" s="44" t="n">
        <v>46113</v>
      </c>
      <c r="D112" s="44" t="n">
        <v>46142</v>
      </c>
      <c r="E112" s="44" t="n">
        <v>46136</v>
      </c>
      <c r="F112" s="44" t="n">
        <v>46136</v>
      </c>
      <c r="G112" s="16" t="inlineStr">
        <is>
          <t>NEFT-BARBY2611 NEFT-BARBY26114821805-HINDUSTAN PETROLEUM CORPORAT</t>
        </is>
      </c>
      <c r="H112" s="14" t="str"/>
      <c r="I112" s="14" t="inlineStr">
        <is>
          <t>Payment</t>
        </is>
      </c>
      <c r="J112" s="43" t="n">
        <v>115069</v>
      </c>
      <c r="K112" s="43" t="n">
        <v>0</v>
      </c>
      <c r="L112" s="43" t="n">
        <v>115069</v>
      </c>
      <c r="M112" s="43" t="n">
        <v>-9999999.33</v>
      </c>
      <c r="N112" s="14" t="inlineStr">
        <is>
          <t>High Transaction</t>
        </is>
      </c>
      <c r="O112" s="14" t="inlineStr">
        <is>
          <t>No</t>
        </is>
      </c>
      <c r="P112" s="14" t="inlineStr">
        <is>
          <t>BARBY NEFT</t>
        </is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4" t="n">
        <v>46136</v>
      </c>
      <c r="AB112" s="46">
        <f>HYPERLINK("#'Transactions'!A109", "View Source Row")</f>
        <v/>
      </c>
    </row>
    <row r="113">
      <c r="A113" s="14" t="n">
        <v>109</v>
      </c>
      <c r="B113" s="14" t="inlineStr">
        <is>
          <t>273.pdf</t>
        </is>
      </c>
      <c r="C113" s="44" t="n">
        <v>46113</v>
      </c>
      <c r="D113" s="44" t="n">
        <v>46142</v>
      </c>
      <c r="E113" s="44" t="n">
        <v>46137</v>
      </c>
      <c r="F113" s="44" t="n">
        <v>46137</v>
      </c>
      <c r="G113" s="16" t="inlineStr">
        <is>
          <t>EBANK:WIB/1505 EBANK:WIB/1505471306/Edfs</t>
        </is>
      </c>
      <c r="H113" s="14" t="str"/>
      <c r="I113" s="14" t="inlineStr">
        <is>
          <t>Receipt</t>
        </is>
      </c>
      <c r="J113" s="43" t="n">
        <v>0</v>
      </c>
      <c r="K113" s="43" t="n">
        <v>273418</v>
      </c>
      <c r="L113" s="43" t="n">
        <v>273418</v>
      </c>
      <c r="M113" s="43" t="n">
        <v>-9726581.33</v>
      </c>
      <c r="N113" s="14" t="inlineStr">
        <is>
          <t>High Transaction; Recurring Transaction</t>
        </is>
      </c>
      <c r="O113" s="14" t="inlineStr">
        <is>
          <t>Yes</t>
        </is>
      </c>
      <c r="P113" s="14" t="inlineStr">
        <is>
          <t>EBANKWIB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4" t="n">
        <v>46137</v>
      </c>
      <c r="AB113" s="46">
        <f>HYPERLINK("#'Transactions'!A110", "View Source Row")</f>
        <v/>
      </c>
    </row>
    <row r="114">
      <c r="A114" s="14" t="n">
        <v>110</v>
      </c>
      <c r="B114" s="14" t="inlineStr">
        <is>
          <t>273.pdf</t>
        </is>
      </c>
      <c r="C114" s="44" t="n">
        <v>46113</v>
      </c>
      <c r="D114" s="44" t="n">
        <v>46142</v>
      </c>
      <c r="E114" s="44" t="n">
        <v>46137</v>
      </c>
      <c r="F114" s="44" t="n">
        <v>46137</v>
      </c>
      <c r="G114" s="16" t="inlineStr">
        <is>
          <t>EBANK:WIB/1505 EBANK:WIB/1505471386/Edfs</t>
        </is>
      </c>
      <c r="H114" s="14" t="str"/>
      <c r="I114" s="14" t="inlineStr">
        <is>
          <t>Receipt</t>
        </is>
      </c>
      <c r="J114" s="43" t="n">
        <v>0</v>
      </c>
      <c r="K114" s="43" t="n">
        <v>72545.92999999999</v>
      </c>
      <c r="L114" s="43" t="n">
        <v>72545.92999999999</v>
      </c>
      <c r="M114" s="43" t="n">
        <v>-9654035.4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4" t="n">
        <v>46137</v>
      </c>
      <c r="AB114" s="46">
        <f>HYPERLINK("#'Transactions'!A111", "View Source Row")</f>
        <v/>
      </c>
    </row>
    <row r="115">
      <c r="A115" s="14" t="n">
        <v>111</v>
      </c>
      <c r="B115" s="14" t="inlineStr">
        <is>
          <t>273.pdf</t>
        </is>
      </c>
      <c r="C115" s="44" t="n">
        <v>46113</v>
      </c>
      <c r="D115" s="44" t="n">
        <v>46142</v>
      </c>
      <c r="E115" s="44" t="n">
        <v>46137</v>
      </c>
      <c r="F115" s="44" t="n">
        <v>46137</v>
      </c>
      <c r="G115" s="16" t="inlineStr">
        <is>
          <t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15" s="14" t="str"/>
      <c r="I115" s="14" t="inlineStr">
        <is>
          <t>Payment</t>
        </is>
      </c>
      <c r="J115" s="43" t="n">
        <v>329650</v>
      </c>
      <c r="K115" s="43" t="n">
        <v>0</v>
      </c>
      <c r="L115" s="43" t="n">
        <v>329650</v>
      </c>
      <c r="M115" s="43" t="n">
        <v>-9983685.4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PAGE TOTAL   DR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4" t="n">
        <v>46137</v>
      </c>
      <c r="AB115" s="46">
        <f>HYPERLINK("#'Transactions'!A112", "View Source Row")</f>
        <v/>
      </c>
    </row>
    <row r="116">
      <c r="A116" s="14" t="n">
        <v>112</v>
      </c>
      <c r="B116" s="14" t="inlineStr">
        <is>
          <t>273.pdf</t>
        </is>
      </c>
      <c r="C116" s="44" t="n">
        <v>46113</v>
      </c>
      <c r="D116" s="44" t="n">
        <v>46142</v>
      </c>
      <c r="E116" s="44" t="n">
        <v>46137</v>
      </c>
      <c r="F116" s="44" t="n">
        <v>46137</v>
      </c>
      <c r="G116" s="16" t="inlineStr">
        <is>
          <t>EBANK:WIB/1505 EBANK:WIB/1505585919/Edfs</t>
        </is>
      </c>
      <c r="H116" s="14" t="str"/>
      <c r="I116" s="14" t="inlineStr">
        <is>
          <t>Receipt</t>
        </is>
      </c>
      <c r="J116" s="43" t="n">
        <v>0</v>
      </c>
      <c r="K116" s="43" t="n">
        <v>172247.15</v>
      </c>
      <c r="L116" s="43" t="n">
        <v>172247.15</v>
      </c>
      <c r="M116" s="43" t="n">
        <v>-9811438.25</v>
      </c>
      <c r="N116" s="14" t="inlineStr">
        <is>
          <t>High Transaction; Recurring Transaction</t>
        </is>
      </c>
      <c r="O116" s="14" t="inlineStr">
        <is>
          <t>Yes</t>
        </is>
      </c>
      <c r="P116" s="14" t="inlineStr">
        <is>
          <t>EBANKWIB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4" t="n">
        <v>46137</v>
      </c>
      <c r="AB116" s="46">
        <f>HYPERLINK("#'Transactions'!A113", "View Source Row")</f>
        <v/>
      </c>
    </row>
    <row r="117">
      <c r="A117" s="14" t="n">
        <v>113</v>
      </c>
      <c r="B117" s="14" t="inlineStr">
        <is>
          <t>273.pdf</t>
        </is>
      </c>
      <c r="C117" s="44" t="n">
        <v>46113</v>
      </c>
      <c r="D117" s="44" t="n">
        <v>46142</v>
      </c>
      <c r="E117" s="44" t="n">
        <v>46138</v>
      </c>
      <c r="F117" s="44" t="n">
        <v>46138</v>
      </c>
      <c r="G117" s="16" t="inlineStr">
        <is>
          <t>EBANK:WIB/1505 EBANK:WIB/1505590344/Edfs</t>
        </is>
      </c>
      <c r="H117" s="14" t="str"/>
      <c r="I117" s="14" t="inlineStr">
        <is>
          <t>Receipt</t>
        </is>
      </c>
      <c r="J117" s="43" t="n">
        <v>0</v>
      </c>
      <c r="K117" s="43" t="n">
        <v>300990.79</v>
      </c>
      <c r="L117" s="43" t="n">
        <v>300990.79</v>
      </c>
      <c r="M117" s="43" t="n">
        <v>-9510447.460000001</v>
      </c>
      <c r="N117" s="14" t="inlineStr">
        <is>
          <t>High Transaction; Recurring Transaction</t>
        </is>
      </c>
      <c r="O117" s="14" t="inlineStr">
        <is>
          <t>Yes</t>
        </is>
      </c>
      <c r="P117" s="14" t="inlineStr">
        <is>
          <t>EBANKWIB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1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4" t="n">
        <v>46138</v>
      </c>
      <c r="AB117" s="46">
        <f>HYPERLINK("#'Transactions'!A114", "View Source Row")</f>
        <v/>
      </c>
    </row>
    <row r="118">
      <c r="A118" s="14" t="n">
        <v>114</v>
      </c>
      <c r="B118" s="14" t="inlineStr">
        <is>
          <t>273.pdf</t>
        </is>
      </c>
      <c r="C118" s="44" t="n">
        <v>46113</v>
      </c>
      <c r="D118" s="44" t="n">
        <v>46142</v>
      </c>
      <c r="E118" s="44" t="n">
        <v>46138</v>
      </c>
      <c r="F118" s="44" t="n">
        <v>46138</v>
      </c>
      <c r="G118" s="16" t="inlineStr">
        <is>
          <t>EBANK:WIB/1505 EBANK:WIB/1505633295/Edfs</t>
        </is>
      </c>
      <c r="H118" s="14" t="str"/>
      <c r="I118" s="14" t="inlineStr">
        <is>
          <t>Receipt</t>
        </is>
      </c>
      <c r="J118" s="43" t="n">
        <v>0</v>
      </c>
      <c r="K118" s="43" t="n">
        <v>114728</v>
      </c>
      <c r="L118" s="43" t="n">
        <v>114728</v>
      </c>
      <c r="M118" s="43" t="n">
        <v>-9395719.460000001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EBANKWIB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4" t="n">
        <v>46138</v>
      </c>
      <c r="AB118" s="46">
        <f>HYPERLINK("#'Transactions'!A115", "View Source Row")</f>
        <v/>
      </c>
    </row>
    <row r="119">
      <c r="A119" s="14" t="n">
        <v>115</v>
      </c>
      <c r="B119" s="14" t="inlineStr">
        <is>
          <t>273.pdf</t>
        </is>
      </c>
      <c r="C119" s="44" t="n">
        <v>46113</v>
      </c>
      <c r="D119" s="44" t="n">
        <v>46142</v>
      </c>
      <c r="E119" s="44" t="n">
        <v>46139</v>
      </c>
      <c r="F119" s="44" t="n">
        <v>46139</v>
      </c>
      <c r="G119" s="16" t="inlineStr">
        <is>
          <t>EBANK:WIB/1505 EBANK:WIB/1505672686/Edfs</t>
        </is>
      </c>
      <c r="H119" s="14" t="str"/>
      <c r="I119" s="14" t="inlineStr">
        <is>
          <t>Receipt</t>
        </is>
      </c>
      <c r="J119" s="43" t="n">
        <v>0</v>
      </c>
      <c r="K119" s="43" t="n">
        <v>460000.8</v>
      </c>
      <c r="L119" s="43" t="n">
        <v>460000.8</v>
      </c>
      <c r="M119" s="43" t="n">
        <v>-8935718.66</v>
      </c>
      <c r="N119" s="14" t="inlineStr">
        <is>
          <t>High Transaction; Recurring Transaction</t>
        </is>
      </c>
      <c r="O119" s="14" t="inlineStr">
        <is>
          <t>Yes</t>
        </is>
      </c>
      <c r="P119" s="14" t="inlineStr">
        <is>
          <t>EBANKWIB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1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4" t="n">
        <v>46139</v>
      </c>
      <c r="AB119" s="46">
        <f>HYPERLINK("#'Transactions'!A116", "View Source Row")</f>
        <v/>
      </c>
    </row>
    <row r="120">
      <c r="A120" s="14" t="n">
        <v>116</v>
      </c>
      <c r="B120" s="14" t="inlineStr">
        <is>
          <t>273.pdf</t>
        </is>
      </c>
      <c r="C120" s="44" t="n">
        <v>46113</v>
      </c>
      <c r="D120" s="44" t="n">
        <v>46142</v>
      </c>
      <c r="E120" s="44" t="n">
        <v>46139</v>
      </c>
      <c r="F120" s="44" t="n">
        <v>46139</v>
      </c>
      <c r="G120" s="16" t="inlineStr">
        <is>
          <t>BY CASH BY CASH</t>
        </is>
      </c>
      <c r="H120" s="14" t="str"/>
      <c r="I120" s="14" t="inlineStr">
        <is>
          <t>Receipt</t>
        </is>
      </c>
      <c r="J120" s="43" t="n">
        <v>0</v>
      </c>
      <c r="K120" s="43" t="n">
        <v>774500</v>
      </c>
      <c r="L120" s="43" t="n">
        <v>774500</v>
      </c>
      <c r="M120" s="43" t="n">
        <v>-8161218.66</v>
      </c>
      <c r="N120" s="14" t="inlineStr">
        <is>
          <t>Cash; High Transaction; Recurring Transaction</t>
        </is>
      </c>
      <c r="O120" s="14" t="inlineStr">
        <is>
          <t>Yes</t>
        </is>
      </c>
      <c r="P120" s="14" t="inlineStr">
        <is>
          <t>BY CASH BY CASH</t>
        </is>
      </c>
      <c r="Q120" s="14" t="n">
        <v>1</v>
      </c>
      <c r="R120" s="14" t="n">
        <v>1</v>
      </c>
      <c r="S120" s="14" t="n">
        <v>0</v>
      </c>
      <c r="T120" s="14" t="n">
        <v>0</v>
      </c>
      <c r="U120" s="14" t="n">
        <v>1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4" t="n">
        <v>46139</v>
      </c>
      <c r="AB120" s="46">
        <f>HYPERLINK("#'Transactions'!A117", "View Source Row")</f>
        <v/>
      </c>
    </row>
    <row r="121">
      <c r="A121" s="14" t="n">
        <v>117</v>
      </c>
      <c r="B121" s="14" t="inlineStr">
        <is>
          <t>273.pdf</t>
        </is>
      </c>
      <c r="C121" s="44" t="n">
        <v>46113</v>
      </c>
      <c r="D121" s="44" t="n">
        <v>46142</v>
      </c>
      <c r="E121" s="44" t="n">
        <v>46139</v>
      </c>
      <c r="F121" s="44" t="n">
        <v>46139</v>
      </c>
      <c r="G121" s="16" t="inlineStr">
        <is>
          <t>DIGITA-MUMBAI/ INT260413DEAL6345818</t>
        </is>
      </c>
      <c r="H121" s="14" t="str"/>
      <c r="I121" s="14" t="inlineStr">
        <is>
          <t>Payment</t>
        </is>
      </c>
      <c r="J121" s="43" t="n">
        <v>5991.69</v>
      </c>
      <c r="K121" s="43" t="n">
        <v>0</v>
      </c>
      <c r="L121" s="43" t="n">
        <v>5991.69</v>
      </c>
      <c r="M121" s="43" t="n">
        <v>-8167210.35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DIGITA-MUMBAI/ INT#DEAL#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4" t="n">
        <v>46139</v>
      </c>
      <c r="AB121" s="46">
        <f>HYPERLINK("#'Transactions'!A118", "View Source Row")</f>
        <v/>
      </c>
    </row>
    <row r="122">
      <c r="A122" s="14" t="n">
        <v>118</v>
      </c>
      <c r="B122" s="14" t="inlineStr">
        <is>
          <t>273.pdf</t>
        </is>
      </c>
      <c r="C122" s="44" t="n">
        <v>46113</v>
      </c>
      <c r="D122" s="44" t="n">
        <v>46142</v>
      </c>
      <c r="E122" s="44" t="n">
        <v>46139</v>
      </c>
      <c r="F122" s="44" t="n">
        <v>46139</v>
      </c>
      <c r="G122" s="16" t="inlineStr">
        <is>
          <t>EBANK:WIB/1505 EBANK:WIB/1505752441/Edfs</t>
        </is>
      </c>
      <c r="H122" s="14" t="str"/>
      <c r="I122" s="14" t="inlineStr">
        <is>
          <t>Receipt</t>
        </is>
      </c>
      <c r="J122" s="43" t="n">
        <v>0</v>
      </c>
      <c r="K122" s="43" t="n">
        <v>365005</v>
      </c>
      <c r="L122" s="43" t="n">
        <v>365005</v>
      </c>
      <c r="M122" s="43" t="n">
        <v>-7802205.35</v>
      </c>
      <c r="N122" s="14" t="inlineStr">
        <is>
          <t>High Transaction; Recurring Transaction</t>
        </is>
      </c>
      <c r="O122" s="14" t="inlineStr">
        <is>
          <t>Yes</t>
        </is>
      </c>
      <c r="P122" s="14" t="inlineStr">
        <is>
          <t>EBANKWIB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1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4" t="n">
        <v>46139</v>
      </c>
      <c r="AB122" s="46">
        <f>HYPERLINK("#'Transactions'!A119", "View Source Row")</f>
        <v/>
      </c>
    </row>
    <row r="123">
      <c r="A123" s="14" t="n">
        <v>119</v>
      </c>
      <c r="B123" s="14" t="inlineStr">
        <is>
          <t>273.pdf</t>
        </is>
      </c>
      <c r="C123" s="44" t="n">
        <v>46113</v>
      </c>
      <c r="D123" s="44" t="n">
        <v>46142</v>
      </c>
      <c r="E123" s="44" t="n">
        <v>46139</v>
      </c>
      <c r="F123" s="44" t="n">
        <v>46139</v>
      </c>
      <c r="G123" s="16" t="inlineStr">
        <is>
          <t>RTGS-BARBR5202 RTGS-BARBR52026042700952483-HINDUSTAN PETROLEUM CO</t>
        </is>
      </c>
      <c r="H123" s="14" t="str"/>
      <c r="I123" s="14" t="inlineStr">
        <is>
          <t>Payment</t>
        </is>
      </c>
      <c r="J123" s="43" t="n">
        <v>1064000</v>
      </c>
      <c r="K123" s="43" t="n">
        <v>0</v>
      </c>
      <c r="L123" s="43" t="n">
        <v>1064000</v>
      </c>
      <c r="M123" s="43" t="n">
        <v>-8866205.35</v>
      </c>
      <c r="N123" s="14" t="inlineStr">
        <is>
          <t>High Transaction; Recurring Transaction</t>
        </is>
      </c>
      <c r="O123" s="14" t="inlineStr">
        <is>
          <t>Yes</t>
        </is>
      </c>
      <c r="P123" s="14" t="inlineStr">
        <is>
          <t>BARBR RTGS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1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4" t="n">
        <v>46139</v>
      </c>
      <c r="AB123" s="46">
        <f>HYPERLINK("#'Transactions'!A120", "View Source Row")</f>
        <v/>
      </c>
    </row>
    <row r="124">
      <c r="A124" s="14" t="n">
        <v>120</v>
      </c>
      <c r="B124" s="14" t="inlineStr">
        <is>
          <t>273.pdf</t>
        </is>
      </c>
      <c r="C124" s="44" t="n">
        <v>46113</v>
      </c>
      <c r="D124" s="44" t="n">
        <v>46142</v>
      </c>
      <c r="E124" s="44" t="n">
        <v>46139</v>
      </c>
      <c r="F124" s="44" t="n">
        <v>46139</v>
      </c>
      <c r="G124" s="16" t="inlineStr">
        <is>
          <t>RTGS-BARBR5202 RTGS-BARBR52026042700958299-HINDUSTAN PETROLEUM CO</t>
        </is>
      </c>
      <c r="H124" s="14" t="str"/>
      <c r="I124" s="14" t="inlineStr">
        <is>
          <t>Payment</t>
        </is>
      </c>
      <c r="J124" s="43" t="n">
        <v>768789</v>
      </c>
      <c r="K124" s="43" t="n">
        <v>0</v>
      </c>
      <c r="L124" s="43" t="n">
        <v>768789</v>
      </c>
      <c r="M124" s="43" t="n">
        <v>-9634994.35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BARBR RTGS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4" t="n">
        <v>46139</v>
      </c>
      <c r="AB124" s="46">
        <f>HYPERLINK("#'Transactions'!A121", "View Source Row")</f>
        <v/>
      </c>
    </row>
    <row r="125">
      <c r="A125" s="14" t="n">
        <v>121</v>
      </c>
      <c r="B125" s="14" t="inlineStr">
        <is>
          <t>273.pdf</t>
        </is>
      </c>
      <c r="C125" s="44" t="n">
        <v>46113</v>
      </c>
      <c r="D125" s="44" t="n">
        <v>46142</v>
      </c>
      <c r="E125" s="44" t="n">
        <v>46140</v>
      </c>
      <c r="F125" s="44" t="n">
        <v>46140</v>
      </c>
      <c r="G125" s="16" t="inlineStr">
        <is>
          <t>BY CASH BY CASH</t>
        </is>
      </c>
      <c r="H125" s="14" t="str"/>
      <c r="I125" s="14" t="inlineStr">
        <is>
          <t>Receipt</t>
        </is>
      </c>
      <c r="J125" s="43" t="n">
        <v>0</v>
      </c>
      <c r="K125" s="43" t="n">
        <v>246500</v>
      </c>
      <c r="L125" s="43" t="n">
        <v>246500</v>
      </c>
      <c r="M125" s="43" t="n">
        <v>-9388494.35</v>
      </c>
      <c r="N125" s="14" t="inlineStr">
        <is>
          <t>Cash; High Transaction; Recurring Transaction</t>
        </is>
      </c>
      <c r="O125" s="14" t="inlineStr">
        <is>
          <t>Yes</t>
        </is>
      </c>
      <c r="P125" s="14" t="inlineStr">
        <is>
          <t>BY CASH BY CASH</t>
        </is>
      </c>
      <c r="Q125" s="14" t="n">
        <v>1</v>
      </c>
      <c r="R125" s="14" t="n">
        <v>1</v>
      </c>
      <c r="S125" s="14" t="n">
        <v>0</v>
      </c>
      <c r="T125" s="14" t="n">
        <v>0</v>
      </c>
      <c r="U125" s="14" t="n">
        <v>1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4" t="n">
        <v>46140</v>
      </c>
      <c r="AB125" s="46">
        <f>HYPERLINK("#'Transactions'!A122", "View Source Row")</f>
        <v/>
      </c>
    </row>
    <row r="126">
      <c r="A126" s="14" t="n">
        <v>122</v>
      </c>
      <c r="B126" s="14" t="inlineStr">
        <is>
          <t>273.pdf</t>
        </is>
      </c>
      <c r="C126" s="44" t="n">
        <v>46113</v>
      </c>
      <c r="D126" s="44" t="n">
        <v>46142</v>
      </c>
      <c r="E126" s="44" t="n">
        <v>46140</v>
      </c>
      <c r="F126" s="44" t="n">
        <v>46140</v>
      </c>
      <c r="G126" s="16" t="inlineStr">
        <is>
          <t>EBANK:WIB/1505 EBANK:WIB/1505883831/Edfs</t>
        </is>
      </c>
      <c r="H126" s="14" t="str"/>
      <c r="I126" s="14" t="inlineStr">
        <is>
          <t>Receipt</t>
        </is>
      </c>
      <c r="J126" s="43" t="n">
        <v>0</v>
      </c>
      <c r="K126" s="43" t="n">
        <v>402798.6</v>
      </c>
      <c r="L126" s="43" t="n">
        <v>402798.6</v>
      </c>
      <c r="M126" s="43" t="n">
        <v>-8985695.75</v>
      </c>
      <c r="N126" s="14" t="inlineStr">
        <is>
          <t>High Transaction; Recurring Transaction</t>
        </is>
      </c>
      <c r="O126" s="14" t="inlineStr">
        <is>
          <t>Yes</t>
        </is>
      </c>
      <c r="P126" s="14" t="inlineStr">
        <is>
          <t>EBANKWIB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1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4" t="n">
        <v>46140</v>
      </c>
      <c r="AB126" s="46">
        <f>HYPERLINK("#'Transactions'!A123", "View Source Row")</f>
        <v/>
      </c>
    </row>
    <row r="127">
      <c r="A127" s="14" t="n">
        <v>123</v>
      </c>
      <c r="B127" s="14" t="inlineStr">
        <is>
          <t>273.pdf</t>
        </is>
      </c>
      <c r="C127" s="44" t="n">
        <v>46113</v>
      </c>
      <c r="D127" s="44" t="n">
        <v>46142</v>
      </c>
      <c r="E127" s="44" t="n">
        <v>46140</v>
      </c>
      <c r="F127" s="44" t="n">
        <v>46140</v>
      </c>
      <c r="G127" s="16" t="inlineStr">
        <is>
          <t>EBANK:WIB/1505 EBANK:WIB/1505948506/Edfs</t>
        </is>
      </c>
      <c r="H127" s="14" t="str"/>
      <c r="I127" s="14" t="inlineStr">
        <is>
          <t>Receipt</t>
        </is>
      </c>
      <c r="J127" s="43" t="n">
        <v>0</v>
      </c>
      <c r="K127" s="43" t="n">
        <v>192251.79</v>
      </c>
      <c r="L127" s="43" t="n">
        <v>192251.79</v>
      </c>
      <c r="M127" s="43" t="n">
        <v>-8793443.960000001</v>
      </c>
      <c r="N127" s="14" t="inlineStr">
        <is>
          <t>High Transaction; Recurring Transaction</t>
        </is>
      </c>
      <c r="O127" s="14" t="inlineStr">
        <is>
          <t>Yes</t>
        </is>
      </c>
      <c r="P127" s="14" t="inlineStr">
        <is>
          <t>EBANKWIB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1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4" t="n">
        <v>46140</v>
      </c>
      <c r="AB127" s="46">
        <f>HYPERLINK("#'Transactions'!A124", "View Source Row")</f>
        <v/>
      </c>
    </row>
    <row r="128">
      <c r="A128" s="14" t="n">
        <v>124</v>
      </c>
      <c r="B128" s="14" t="inlineStr">
        <is>
          <t>273.pdf</t>
        </is>
      </c>
      <c r="C128" s="44" t="n">
        <v>46113</v>
      </c>
      <c r="D128" s="44" t="n">
        <v>46142</v>
      </c>
      <c r="E128" s="44" t="n">
        <v>46141</v>
      </c>
      <c r="F128" s="44" t="n">
        <v>46141</v>
      </c>
      <c r="G128" s="16" t="inlineStr">
        <is>
          <t>EBANK:WIB/1505 EBANK:WIB/1505959390/Edfs</t>
        </is>
      </c>
      <c r="H128" s="14" t="str"/>
      <c r="I128" s="14" t="inlineStr">
        <is>
          <t>Receipt</t>
        </is>
      </c>
      <c r="J128" s="43" t="n">
        <v>0</v>
      </c>
      <c r="K128" s="43" t="n">
        <v>383365.33</v>
      </c>
      <c r="L128" s="43" t="n">
        <v>383365.33</v>
      </c>
      <c r="M128" s="43" t="n">
        <v>-8410078.630000001</v>
      </c>
      <c r="N128" s="14" t="inlineStr">
        <is>
          <t>High Transaction; Recurring Transaction</t>
        </is>
      </c>
      <c r="O128" s="14" t="inlineStr">
        <is>
          <t>Yes</t>
        </is>
      </c>
      <c r="P128" s="14" t="inlineStr">
        <is>
          <t>EBANKWIB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1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4" t="n">
        <v>46141</v>
      </c>
      <c r="AB128" s="46">
        <f>HYPERLINK("#'Transactions'!A125", "View Source Row")</f>
        <v/>
      </c>
    </row>
    <row r="129">
      <c r="A129" s="14" t="n">
        <v>125</v>
      </c>
      <c r="B129" s="14" t="inlineStr">
        <is>
          <t>273.pdf</t>
        </is>
      </c>
      <c r="C129" s="44" t="n">
        <v>46113</v>
      </c>
      <c r="D129" s="44" t="n">
        <v>46142</v>
      </c>
      <c r="E129" s="44" t="n">
        <v>46141</v>
      </c>
      <c r="F129" s="44" t="n">
        <v>46141</v>
      </c>
      <c r="G129" s="16" t="inlineStr">
        <is>
          <t>PEENYA-BANGALO INT260415DEAL6357250</t>
        </is>
      </c>
      <c r="H129" s="14" t="str"/>
      <c r="I129" s="14" t="inlineStr">
        <is>
          <t>Payment</t>
        </is>
      </c>
      <c r="J129" s="43" t="n">
        <v>5675.17</v>
      </c>
      <c r="K129" s="43" t="n">
        <v>0</v>
      </c>
      <c r="L129" s="43" t="n">
        <v>5675.17</v>
      </c>
      <c r="M129" s="43" t="n">
        <v>-8415753.800000001</v>
      </c>
      <c r="N129" s="14" t="inlineStr">
        <is>
          <t>Other</t>
        </is>
      </c>
      <c r="O129" s="14" t="inlineStr">
        <is>
          <t>No</t>
        </is>
      </c>
      <c r="P129" s="14" t="inlineStr">
        <is>
          <t>BANGALO INTDEAL</t>
        </is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4" t="n">
        <v>46141</v>
      </c>
      <c r="AB129" s="46">
        <f>HYPERLINK("#'Transactions'!A126", "View Source Row")</f>
        <v/>
      </c>
    </row>
    <row r="130">
      <c r="A130" s="14" t="n">
        <v>126</v>
      </c>
      <c r="B130" s="14" t="inlineStr">
        <is>
          <t>273.pdf</t>
        </is>
      </c>
      <c r="C130" s="44" t="n">
        <v>46113</v>
      </c>
      <c r="D130" s="44" t="n">
        <v>46142</v>
      </c>
      <c r="E130" s="44" t="n">
        <v>46141</v>
      </c>
      <c r="F130" s="44" t="n">
        <v>46141</v>
      </c>
      <c r="G130" s="16" t="inlineStr">
        <is>
          <t>VJJAVA-JAVAGAL INT260415DEAL6357445</t>
        </is>
      </c>
      <c r="H130" s="14" t="str"/>
      <c r="I130" s="14" t="inlineStr">
        <is>
          <t>Payment</t>
        </is>
      </c>
      <c r="J130" s="43" t="n">
        <v>224.28</v>
      </c>
      <c r="K130" s="43" t="n">
        <v>0</v>
      </c>
      <c r="L130" s="43" t="n">
        <v>224.28</v>
      </c>
      <c r="M130" s="43" t="n">
        <v>-8415978.08</v>
      </c>
      <c r="N130" s="14" t="inlineStr">
        <is>
          <t>Other</t>
        </is>
      </c>
      <c r="O130" s="14" t="inlineStr">
        <is>
          <t>No</t>
        </is>
      </c>
      <c r="P130" s="14" t="inlineStr">
        <is>
          <t>JAVAGAL INTDEAL</t>
        </is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4" t="n">
        <v>46141</v>
      </c>
      <c r="AB130" s="46">
        <f>HYPERLINK("#'Transactions'!A127", "View Source Row")</f>
        <v/>
      </c>
    </row>
    <row r="131">
      <c r="A131" s="14" t="n">
        <v>127</v>
      </c>
      <c r="B131" s="14" t="inlineStr">
        <is>
          <t>273.pdf</t>
        </is>
      </c>
      <c r="C131" s="44" t="n">
        <v>46113</v>
      </c>
      <c r="D131" s="44" t="n">
        <v>46142</v>
      </c>
      <c r="E131" s="44" t="n">
        <v>46141</v>
      </c>
      <c r="F131" s="44" t="n">
        <v>46141</v>
      </c>
      <c r="G131" s="16" t="inlineStr">
        <is>
          <t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131" s="14" t="str"/>
      <c r="I131" s="14" t="inlineStr">
        <is>
          <t>Receipt</t>
        </is>
      </c>
      <c r="J131" s="43" t="n">
        <v>0</v>
      </c>
      <c r="K131" s="43" t="n">
        <v>161953</v>
      </c>
      <c r="L131" s="43" t="n">
        <v>161953</v>
      </c>
      <c r="M131" s="43" t="n">
        <v>-8254025.08</v>
      </c>
      <c r="N131" s="14" t="inlineStr">
        <is>
          <t>High Transaction; Recurring Transaction</t>
        </is>
      </c>
      <c r="O131" s="14" t="inlineStr">
        <is>
          <t>Yes</t>
        </is>
      </c>
      <c r="P131" s="14" t="inlineStr">
        <is>
          <t>EBANKWIB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1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4" t="n">
        <v>46141</v>
      </c>
      <c r="AB131" s="46">
        <f>HYPERLINK("#'Transactions'!A128", "View Source Row")</f>
        <v/>
      </c>
    </row>
    <row r="132">
      <c r="A132" s="14" t="n">
        <v>128</v>
      </c>
      <c r="B132" s="14" t="inlineStr">
        <is>
          <t>273.pdf</t>
        </is>
      </c>
      <c r="C132" s="44" t="n">
        <v>46113</v>
      </c>
      <c r="D132" s="44" t="n">
        <v>46142</v>
      </c>
      <c r="E132" s="44" t="n">
        <v>46141</v>
      </c>
      <c r="F132" s="44" t="n">
        <v>46141</v>
      </c>
      <c r="G132" s="16" t="inlineStr">
        <is>
          <t>BAREIL-BAREILL INT260416DEAL6357960</t>
        </is>
      </c>
      <c r="H132" s="14" t="str"/>
      <c r="I132" s="14" t="inlineStr">
        <is>
          <t>Payment</t>
        </is>
      </c>
      <c r="J132" s="43" t="n">
        <v>124.67</v>
      </c>
      <c r="K132" s="43" t="n">
        <v>0</v>
      </c>
      <c r="L132" s="43" t="n">
        <v>124.67</v>
      </c>
      <c r="M132" s="43" t="n">
        <v>-8254149.75</v>
      </c>
      <c r="N132" s="14" t="inlineStr">
        <is>
          <t>Other</t>
        </is>
      </c>
      <c r="O132" s="14" t="inlineStr">
        <is>
          <t>No</t>
        </is>
      </c>
      <c r="P132" s="14" t="inlineStr">
        <is>
          <t>BAREILL INTDEAL</t>
        </is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4" t="n">
        <v>46141</v>
      </c>
      <c r="AB132" s="46">
        <f>HYPERLINK("#'Transactions'!A129", "View Source Row")</f>
        <v/>
      </c>
    </row>
    <row r="133">
      <c r="A133" s="14" t="n">
        <v>129</v>
      </c>
      <c r="B133" s="14" t="inlineStr">
        <is>
          <t>273.pdf</t>
        </is>
      </c>
      <c r="C133" s="44" t="n">
        <v>46113</v>
      </c>
      <c r="D133" s="44" t="n">
        <v>46142</v>
      </c>
      <c r="E133" s="44" t="n">
        <v>46141</v>
      </c>
      <c r="F133" s="44" t="n">
        <v>46141</v>
      </c>
      <c r="G133" s="16" t="inlineStr">
        <is>
          <t>BY CASH BY CASH</t>
        </is>
      </c>
      <c r="H133" s="14" t="str"/>
      <c r="I133" s="14" t="inlineStr">
        <is>
          <t>Receipt</t>
        </is>
      </c>
      <c r="J133" s="43" t="n">
        <v>0</v>
      </c>
      <c r="K133" s="43" t="n">
        <v>116500</v>
      </c>
      <c r="L133" s="43" t="n">
        <v>116500</v>
      </c>
      <c r="M133" s="43" t="n">
        <v>-8137649.75</v>
      </c>
      <c r="N133" s="14" t="inlineStr">
        <is>
          <t>Cash; High Transaction; Recurring Transaction</t>
        </is>
      </c>
      <c r="O133" s="14" t="inlineStr">
        <is>
          <t>Yes</t>
        </is>
      </c>
      <c r="P133" s="14" t="inlineStr">
        <is>
          <t>BY CASH BY CASH</t>
        </is>
      </c>
      <c r="Q133" s="14" t="n">
        <v>1</v>
      </c>
      <c r="R133" s="14" t="n">
        <v>1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4" t="n">
        <v>46141</v>
      </c>
      <c r="AB133" s="46">
        <f>HYPERLINK("#'Transactions'!A130", "View Source Row")</f>
        <v/>
      </c>
    </row>
    <row r="134">
      <c r="A134" s="14" t="n">
        <v>130</v>
      </c>
      <c r="B134" s="14" t="inlineStr">
        <is>
          <t>273.pdf</t>
        </is>
      </c>
      <c r="C134" s="44" t="n">
        <v>46113</v>
      </c>
      <c r="D134" s="44" t="n">
        <v>46142</v>
      </c>
      <c r="E134" s="44" t="n">
        <v>46141</v>
      </c>
      <c r="F134" s="44" t="n">
        <v>46141</v>
      </c>
      <c r="G134" s="16" t="inlineStr">
        <is>
          <t>RTGS-BARBR5202 RTGS-BARBR52026042900818962-HINDUSTAN PETROLEUM CO</t>
        </is>
      </c>
      <c r="H134" s="14" t="str"/>
      <c r="I134" s="14" t="inlineStr">
        <is>
          <t>Payment</t>
        </is>
      </c>
      <c r="J134" s="43" t="n">
        <v>1745850</v>
      </c>
      <c r="K134" s="43" t="n">
        <v>0</v>
      </c>
      <c r="L134" s="43" t="n">
        <v>1745850</v>
      </c>
      <c r="M134" s="43" t="n">
        <v>-9883499.75</v>
      </c>
      <c r="N134" s="14" t="inlineStr">
        <is>
          <t>High Transaction; Recurring Transaction</t>
        </is>
      </c>
      <c r="O134" s="14" t="inlineStr">
        <is>
          <t>Yes</t>
        </is>
      </c>
      <c r="P134" s="14" t="inlineStr">
        <is>
          <t>BARBR RTGS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1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4" t="n">
        <v>46141</v>
      </c>
      <c r="AB134" s="46">
        <f>HYPERLINK("#'Transactions'!A131", "View Source Row")</f>
        <v/>
      </c>
    </row>
    <row r="135">
      <c r="A135" s="14" t="n">
        <v>131</v>
      </c>
      <c r="B135" s="14" t="inlineStr">
        <is>
          <t>273.pdf</t>
        </is>
      </c>
      <c r="C135" s="44" t="n">
        <v>46113</v>
      </c>
      <c r="D135" s="44" t="n">
        <v>46142</v>
      </c>
      <c r="E135" s="44" t="n">
        <v>46141</v>
      </c>
      <c r="F135" s="44" t="n">
        <v>46141</v>
      </c>
      <c r="G135" s="16" t="inlineStr">
        <is>
          <t>EBANK:WIB/1506 EBANK:WIB/1506085309/Edfs</t>
        </is>
      </c>
      <c r="H135" s="14" t="str"/>
      <c r="I135" s="14" t="inlineStr">
        <is>
          <t>Receipt</t>
        </is>
      </c>
      <c r="J135" s="43" t="n">
        <v>0</v>
      </c>
      <c r="K135" s="43" t="n">
        <v>93264</v>
      </c>
      <c r="L135" s="43" t="n">
        <v>93264</v>
      </c>
      <c r="M135" s="43" t="n">
        <v>-9790235.75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EBANKWIB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4" t="n">
        <v>46141</v>
      </c>
      <c r="AB135" s="46">
        <f>HYPERLINK("#'Transactions'!A132", "View Source Row")</f>
        <v/>
      </c>
    </row>
    <row r="136">
      <c r="A136" s="14" t="n">
        <v>132</v>
      </c>
      <c r="B136" s="14" t="inlineStr">
        <is>
          <t>273.pdf</t>
        </is>
      </c>
      <c r="C136" s="44" t="n">
        <v>46113</v>
      </c>
      <c r="D136" s="44" t="n">
        <v>46142</v>
      </c>
      <c r="E136" s="44" t="n">
        <v>46141</v>
      </c>
      <c r="F136" s="44" t="n">
        <v>46141</v>
      </c>
      <c r="G136" s="16" t="inlineStr">
        <is>
          <t>NEFT-BARBV2611 NEFT-BARBV26119745454-HINDUSTAN PETROLEUM CORPORAT</t>
        </is>
      </c>
      <c r="H136" s="14" t="str"/>
      <c r="I136" s="14" t="inlineStr">
        <is>
          <t>Payment</t>
        </is>
      </c>
      <c r="J136" s="43" t="n">
        <v>116500</v>
      </c>
      <c r="K136" s="43" t="n">
        <v>0</v>
      </c>
      <c r="L136" s="43" t="n">
        <v>116500</v>
      </c>
      <c r="M136" s="43" t="n">
        <v>-9906735.75</v>
      </c>
      <c r="N136" s="14" t="inlineStr">
        <is>
          <t>High Transaction</t>
        </is>
      </c>
      <c r="O136" s="14" t="inlineStr">
        <is>
          <t>No</t>
        </is>
      </c>
      <c r="P136" s="14" t="inlineStr">
        <is>
          <t>BARBV NEFT</t>
        </is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1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4" t="n">
        <v>46141</v>
      </c>
      <c r="AB136" s="46">
        <f>HYPERLINK("#'Transactions'!A133", "View Source Row")</f>
        <v/>
      </c>
    </row>
    <row r="137">
      <c r="A137" s="14" t="n">
        <v>133</v>
      </c>
      <c r="B137" s="14" t="inlineStr">
        <is>
          <t>273.pdf</t>
        </is>
      </c>
      <c r="C137" s="44" t="n">
        <v>46113</v>
      </c>
      <c r="D137" s="44" t="n">
        <v>46142</v>
      </c>
      <c r="E137" s="44" t="n">
        <v>46141</v>
      </c>
      <c r="F137" s="44" t="n">
        <v>46141</v>
      </c>
      <c r="G137" s="16" t="inlineStr">
        <is>
          <t>EBANK:WIB/1506 EBANK:WIB/1506102762/Edfs</t>
        </is>
      </c>
      <c r="H137" s="14" t="str"/>
      <c r="I137" s="14" t="inlineStr">
        <is>
          <t>Receipt</t>
        </is>
      </c>
      <c r="J137" s="43" t="n">
        <v>0</v>
      </c>
      <c r="K137" s="43" t="n">
        <v>92240</v>
      </c>
      <c r="L137" s="43" t="n">
        <v>92240</v>
      </c>
      <c r="M137" s="43" t="n">
        <v>-9814495.75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EBANKWIB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4" t="n">
        <v>46141</v>
      </c>
      <c r="AB137" s="46">
        <f>HYPERLINK("#'Transactions'!A134", "View Source Row")</f>
        <v/>
      </c>
    </row>
    <row r="138">
      <c r="A138" s="14" t="n">
        <v>134</v>
      </c>
      <c r="B138" s="14" t="inlineStr">
        <is>
          <t>273.pdf</t>
        </is>
      </c>
      <c r="C138" s="44" t="n">
        <v>46113</v>
      </c>
      <c r="D138" s="44" t="n">
        <v>46142</v>
      </c>
      <c r="E138" s="44" t="n">
        <v>46142</v>
      </c>
      <c r="F138" s="44" t="n">
        <v>46142</v>
      </c>
      <c r="G138" s="16" t="inlineStr">
        <is>
          <t>EBANK:WIB/1506 EBANK:WIB/1506112730/Edfs</t>
        </is>
      </c>
      <c r="H138" s="14" t="str"/>
      <c r="I138" s="14" t="inlineStr">
        <is>
          <t>Receipt</t>
        </is>
      </c>
      <c r="J138" s="43" t="n">
        <v>0</v>
      </c>
      <c r="K138" s="43" t="n">
        <v>44070</v>
      </c>
      <c r="L138" s="43" t="n">
        <v>44070</v>
      </c>
      <c r="M138" s="43" t="n">
        <v>-9770425.75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EBANKWIB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4" t="n">
        <v>46142</v>
      </c>
      <c r="AB138" s="46">
        <f>HYPERLINK("#'Transactions'!A135", "View Source Row")</f>
        <v/>
      </c>
    </row>
    <row r="139">
      <c r="A139" s="14" t="n">
        <v>135</v>
      </c>
      <c r="B139" s="14" t="inlineStr">
        <is>
          <t>273.pdf</t>
        </is>
      </c>
      <c r="C139" s="44" t="n">
        <v>46113</v>
      </c>
      <c r="D139" s="44" t="n">
        <v>46142</v>
      </c>
      <c r="E139" s="44" t="n">
        <v>46142</v>
      </c>
      <c r="F139" s="44" t="n">
        <v>46142</v>
      </c>
      <c r="G139" s="16" t="inlineStr">
        <is>
          <t>EBANK:WIB/1506 EBANK:WIB/1506112904/Edfs</t>
        </is>
      </c>
      <c r="H139" s="14" t="str"/>
      <c r="I139" s="14" t="inlineStr">
        <is>
          <t>Receipt</t>
        </is>
      </c>
      <c r="J139" s="43" t="n">
        <v>0</v>
      </c>
      <c r="K139" s="43" t="n">
        <v>429587.11</v>
      </c>
      <c r="L139" s="43" t="n">
        <v>429587.11</v>
      </c>
      <c r="M139" s="43" t="n">
        <v>-9340838.640000001</v>
      </c>
      <c r="N139" s="14" t="inlineStr">
        <is>
          <t>High Transaction; Recurring Transaction</t>
        </is>
      </c>
      <c r="O139" s="14" t="inlineStr">
        <is>
          <t>Yes</t>
        </is>
      </c>
      <c r="P139" s="14" t="inlineStr">
        <is>
          <t>EBANKWIB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1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4" t="n">
        <v>46142</v>
      </c>
      <c r="AB139" s="46">
        <f>HYPERLINK("#'Transactions'!A136", "View Source Row")</f>
        <v/>
      </c>
    </row>
    <row r="140">
      <c r="A140" s="14" t="n">
        <v>136</v>
      </c>
      <c r="B140" s="14" t="inlineStr">
        <is>
          <t>273.pdf</t>
        </is>
      </c>
      <c r="C140" s="44" t="n">
        <v>46113</v>
      </c>
      <c r="D140" s="44" t="n">
        <v>46142</v>
      </c>
      <c r="E140" s="44" t="n">
        <v>46142</v>
      </c>
      <c r="F140" s="44" t="n">
        <v>46142</v>
      </c>
      <c r="G140" s="16" t="inlineStr">
        <is>
          <t>NEFT-BARBX2612 NEFT-BARBX26120048957-HINDUSTAN PETROLEUM CORPORAT</t>
        </is>
      </c>
      <c r="H140" s="14" t="str"/>
      <c r="I140" s="14" t="inlineStr">
        <is>
          <t>Payment</t>
        </is>
      </c>
      <c r="J140" s="43" t="n">
        <v>93264</v>
      </c>
      <c r="K140" s="43" t="n">
        <v>0</v>
      </c>
      <c r="L140" s="43" t="n">
        <v>93264</v>
      </c>
      <c r="M140" s="43" t="n">
        <v>-9434102.640000001</v>
      </c>
      <c r="N140" s="14" t="inlineStr">
        <is>
          <t>Other</t>
        </is>
      </c>
      <c r="O140" s="14" t="inlineStr">
        <is>
          <t>No</t>
        </is>
      </c>
      <c r="P140" s="14" t="inlineStr">
        <is>
          <t>BARBX NEFT</t>
        </is>
      </c>
      <c r="Q140" s="14" t="n">
        <v>0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4" t="n">
        <v>46142</v>
      </c>
      <c r="AB140" s="46">
        <f>HYPERLINK("#'Transactions'!A137", "View Source Row")</f>
        <v/>
      </c>
    </row>
    <row r="141">
      <c r="A141" s="14" t="n">
        <v>137</v>
      </c>
      <c r="B141" s="14" t="inlineStr">
        <is>
          <t>273.pdf</t>
        </is>
      </c>
      <c r="C141" s="44" t="n">
        <v>46113</v>
      </c>
      <c r="D141" s="44" t="n">
        <v>46142</v>
      </c>
      <c r="E141" s="44" t="n">
        <v>46142</v>
      </c>
      <c r="F141" s="44" t="n">
        <v>46142</v>
      </c>
      <c r="G141" s="16" t="inlineStr">
        <is>
          <t>RTGS-BARBR5202 RTGS-BARBR52026043000849921-HINDUSTAN PETROLEUM CO</t>
        </is>
      </c>
      <c r="H141" s="14" t="str"/>
      <c r="I141" s="14" t="inlineStr">
        <is>
          <t>Payment</t>
        </is>
      </c>
      <c r="J141" s="43" t="n">
        <v>229000</v>
      </c>
      <c r="K141" s="43" t="n">
        <v>0</v>
      </c>
      <c r="L141" s="43" t="n">
        <v>229000</v>
      </c>
      <c r="M141" s="43" t="n">
        <v>-9663102.640000001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BARBR RTGS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4" t="n">
        <v>46142</v>
      </c>
      <c r="AB141" s="46">
        <f>HYPERLINK("#'Transactions'!A138", "View Source Row")</f>
        <v/>
      </c>
    </row>
    <row r="142">
      <c r="A142" s="14" t="n">
        <v>138</v>
      </c>
      <c r="B142" s="14" t="inlineStr">
        <is>
          <t>273.pdf</t>
        </is>
      </c>
      <c r="C142" s="44" t="n">
        <v>46113</v>
      </c>
      <c r="D142" s="44" t="n">
        <v>46142</v>
      </c>
      <c r="E142" s="44" t="n">
        <v>46142</v>
      </c>
      <c r="F142" s="44" t="n">
        <v>46142</v>
      </c>
      <c r="G142" s="16" t="inlineStr">
        <is>
          <t>BY CASH BY CASH</t>
        </is>
      </c>
      <c r="H142" s="14" t="str"/>
      <c r="I142" s="14" t="inlineStr">
        <is>
          <t>Receipt</t>
        </is>
      </c>
      <c r="J142" s="43" t="n">
        <v>0</v>
      </c>
      <c r="K142" s="43" t="n">
        <v>273000</v>
      </c>
      <c r="L142" s="43" t="n">
        <v>273000</v>
      </c>
      <c r="M142" s="43" t="n">
        <v>-9390102.640000001</v>
      </c>
      <c r="N142" s="14" t="inlineStr">
        <is>
          <t>Cash; High Transaction; Recurring Transaction</t>
        </is>
      </c>
      <c r="O142" s="14" t="inlineStr">
        <is>
          <t>Yes</t>
        </is>
      </c>
      <c r="P142" s="14" t="inlineStr">
        <is>
          <t>BY CASH BY CASH</t>
        </is>
      </c>
      <c r="Q142" s="14" t="n">
        <v>1</v>
      </c>
      <c r="R142" s="14" t="n">
        <v>1</v>
      </c>
      <c r="S142" s="14" t="n">
        <v>0</v>
      </c>
      <c r="T142" s="14" t="n">
        <v>0</v>
      </c>
      <c r="U142" s="14" t="n">
        <v>1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4" t="n">
        <v>46142</v>
      </c>
      <c r="AB142" s="46">
        <f>HYPERLINK("#'Transactions'!A139", "View Source Row")</f>
        <v/>
      </c>
    </row>
    <row r="143">
      <c r="A143" s="14" t="n">
        <v>139</v>
      </c>
      <c r="B143" s="14" t="inlineStr">
        <is>
          <t>273.pdf</t>
        </is>
      </c>
      <c r="C143" s="44" t="n">
        <v>46113</v>
      </c>
      <c r="D143" s="44" t="n">
        <v>46142</v>
      </c>
      <c r="E143" s="44" t="n">
        <v>46142</v>
      </c>
      <c r="F143" s="44" t="n">
        <v>46142</v>
      </c>
      <c r="G143" s="16" t="inlineStr">
        <is>
          <t>EBANK:WIB/1506 EBANK:WIB/1506237357/Edfs</t>
        </is>
      </c>
      <c r="H143" s="14" t="str"/>
      <c r="I143" s="14" t="inlineStr">
        <is>
          <t>Receipt</t>
        </is>
      </c>
      <c r="J143" s="43" t="n">
        <v>0</v>
      </c>
      <c r="K143" s="43" t="n">
        <v>307440.05</v>
      </c>
      <c r="L143" s="43" t="n">
        <v>307440.05</v>
      </c>
      <c r="M143" s="43" t="n">
        <v>-9082662.59</v>
      </c>
      <c r="N143" s="14" t="inlineStr">
        <is>
          <t>High Transaction; Recurring Transaction</t>
        </is>
      </c>
      <c r="O143" s="14" t="inlineStr">
        <is>
          <t>Yes</t>
        </is>
      </c>
      <c r="P143" s="14" t="inlineStr">
        <is>
          <t>EBANKWIB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1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4" t="n">
        <v>46142</v>
      </c>
      <c r="AB143" s="46">
        <f>HYPERLINK("#'Transactions'!A140", "View Source Row")</f>
        <v/>
      </c>
    </row>
    <row r="144">
      <c r="A144" s="14" t="n">
        <v>140</v>
      </c>
      <c r="B144" s="14" t="inlineStr">
        <is>
          <t>273.pdf</t>
        </is>
      </c>
      <c r="C144" s="44" t="n">
        <v>46113</v>
      </c>
      <c r="D144" s="44" t="n">
        <v>46142</v>
      </c>
      <c r="E144" s="44" t="n">
        <v>46142</v>
      </c>
      <c r="F144" s="44" t="n">
        <v>46142</v>
      </c>
      <c r="G144" s="16" t="inlineStr">
        <is>
          <t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t>
        </is>
      </c>
      <c r="H144" s="14" t="str"/>
      <c r="I144" s="14" t="inlineStr">
        <is>
          <t>Receipt</t>
        </is>
      </c>
      <c r="J144" s="43" t="n">
        <v>0</v>
      </c>
      <c r="K144" s="43" t="n">
        <v>128623.2</v>
      </c>
      <c r="L144" s="43" t="n">
        <v>128623.2</v>
      </c>
      <c r="M144" s="43" t="n">
        <v>-8954039.390000001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4" t="n">
        <v>46142</v>
      </c>
      <c r="AB144" s="46">
        <f>HYPERLINK("#'Transactions'!A141",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Cash Transactions</t>
        </is>
      </c>
    </row>
    <row r="2">
      <c r="A2" s="33" t="inlineStr">
        <is>
          <t>Rows</t>
        </is>
      </c>
      <c r="B2" s="33" t="n">
        <v>22</v>
      </c>
      <c r="C2" s="33" t="inlineStr">
        <is>
          <t>Match</t>
        </is>
      </c>
      <c r="D2" s="33" t="inlineStr">
        <is>
          <t>Cash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4</v>
      </c>
      <c r="B5" s="14" t="inlineStr">
        <is>
          <t>273.pdf</t>
        </is>
      </c>
      <c r="C5" s="44" t="n">
        <v>46113</v>
      </c>
      <c r="D5" s="44" t="n">
        <v>46142</v>
      </c>
      <c r="E5" s="44" t="n">
        <v>46114</v>
      </c>
      <c r="F5" s="44" t="n">
        <v>46114</v>
      </c>
      <c r="G5" s="16" t="inlineStr">
        <is>
          <t>BY CASH BY CASH</t>
        </is>
      </c>
      <c r="H5" s="14" t="str"/>
      <c r="I5" s="14" t="inlineStr">
        <is>
          <t>Receipt</t>
        </is>
      </c>
      <c r="J5" s="43" t="n">
        <v>0</v>
      </c>
      <c r="K5" s="43" t="n">
        <v>67500</v>
      </c>
      <c r="L5" s="43" t="n">
        <v>67500</v>
      </c>
      <c r="M5" s="43" t="n">
        <v>-9007143.800000001</v>
      </c>
      <c r="N5" s="14" t="inlineStr">
        <is>
          <t>Cash; Recurring Transaction</t>
        </is>
      </c>
      <c r="O5" s="14" t="inlineStr">
        <is>
          <t>Yes</t>
        </is>
      </c>
      <c r="P5" s="14" t="inlineStr">
        <is>
          <t>BY CASH BY CASH</t>
        </is>
      </c>
      <c r="Q5" s="14" t="n">
        <v>1</v>
      </c>
      <c r="R5" s="14" t="n">
        <v>1</v>
      </c>
      <c r="S5" s="14" t="n">
        <v>0</v>
      </c>
      <c r="T5" s="14" t="n">
        <v>0</v>
      </c>
      <c r="U5" s="14" t="n">
        <v>0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4" t="n">
        <v>46114</v>
      </c>
      <c r="AB5" s="46">
        <f>HYPERLINK("#'Transactions'!A5", "View Source Row")</f>
        <v/>
      </c>
    </row>
    <row r="6">
      <c r="A6" s="14" t="n">
        <v>5</v>
      </c>
      <c r="B6" s="14" t="inlineStr">
        <is>
          <t>273.pdf</t>
        </is>
      </c>
      <c r="C6" s="44" t="n">
        <v>46113</v>
      </c>
      <c r="D6" s="44" t="n">
        <v>46142</v>
      </c>
      <c r="E6" s="44" t="n">
        <v>46114</v>
      </c>
      <c r="F6" s="44" t="n">
        <v>46114</v>
      </c>
      <c r="G6" s="16" t="inlineStr">
        <is>
          <t>VIRARW-THANE/B BY CASH</t>
        </is>
      </c>
      <c r="H6" s="14" t="str"/>
      <c r="I6" s="14" t="inlineStr">
        <is>
          <t>Receipt</t>
        </is>
      </c>
      <c r="J6" s="43" t="n">
        <v>0</v>
      </c>
      <c r="K6" s="43" t="n">
        <v>426000</v>
      </c>
      <c r="L6" s="43" t="n">
        <v>426000</v>
      </c>
      <c r="M6" s="43" t="n">
        <v>-8581143.800000001</v>
      </c>
      <c r="N6" s="14" t="inlineStr">
        <is>
          <t>Cash; High Transaction; Recurring Transaction</t>
        </is>
      </c>
      <c r="O6" s="14" t="inlineStr">
        <is>
          <t>Yes</t>
        </is>
      </c>
      <c r="P6" s="14" t="inlineStr">
        <is>
          <t>B BY CASH</t>
        </is>
      </c>
      <c r="Q6" s="14" t="n">
        <v>1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4" t="n">
        <v>46114</v>
      </c>
      <c r="AB6" s="46">
        <f>HYPERLINK("#'Transactions'!A6", "View Source Row")</f>
        <v/>
      </c>
    </row>
    <row r="7">
      <c r="A7" s="14" t="n">
        <v>12</v>
      </c>
      <c r="B7" s="14" t="inlineStr">
        <is>
          <t>273.pdf</t>
        </is>
      </c>
      <c r="C7" s="44" t="n">
        <v>46113</v>
      </c>
      <c r="D7" s="44" t="n">
        <v>46142</v>
      </c>
      <c r="E7" s="44" t="n">
        <v>46116</v>
      </c>
      <c r="F7" s="44" t="n">
        <v>46116</v>
      </c>
      <c r="G7" s="16" t="inlineStr">
        <is>
          <t>BY CASH BY CASH</t>
        </is>
      </c>
      <c r="H7" s="14" t="str"/>
      <c r="I7" s="14" t="inlineStr">
        <is>
          <t>Receipt</t>
        </is>
      </c>
      <c r="J7" s="43" t="n">
        <v>0</v>
      </c>
      <c r="K7" s="43" t="n">
        <v>423500</v>
      </c>
      <c r="L7" s="43" t="n">
        <v>423500</v>
      </c>
      <c r="M7" s="43" t="n">
        <v>-7751471.7</v>
      </c>
      <c r="N7" s="14" t="inlineStr">
        <is>
          <t>Cash; High Transaction; Recurring Transaction</t>
        </is>
      </c>
      <c r="O7" s="14" t="inlineStr">
        <is>
          <t>Yes</t>
        </is>
      </c>
      <c r="P7" s="14" t="inlineStr">
        <is>
          <t>BY CASH BY CASH</t>
        </is>
      </c>
      <c r="Q7" s="14" t="n">
        <v>1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4" t="n">
        <v>46116</v>
      </c>
      <c r="AB7" s="46">
        <f>HYPERLINK("#'Transactions'!A13", "View Source Row")</f>
        <v/>
      </c>
    </row>
    <row r="8">
      <c r="A8" s="14" t="n">
        <v>17</v>
      </c>
      <c r="B8" s="14" t="inlineStr">
        <is>
          <t>273.pdf</t>
        </is>
      </c>
      <c r="C8" s="44" t="n">
        <v>46113</v>
      </c>
      <c r="D8" s="44" t="n">
        <v>46142</v>
      </c>
      <c r="E8" s="44" t="n">
        <v>46118</v>
      </c>
      <c r="F8" s="44" t="n">
        <v>46118</v>
      </c>
      <c r="G8" s="16" t="inlineStr">
        <is>
          <t>BY CASH BY CASH</t>
        </is>
      </c>
      <c r="H8" s="14" t="str"/>
      <c r="I8" s="14" t="inlineStr">
        <is>
          <t>Receipt</t>
        </is>
      </c>
      <c r="J8" s="43" t="n">
        <v>0</v>
      </c>
      <c r="K8" s="43" t="n">
        <v>273000</v>
      </c>
      <c r="L8" s="43" t="n">
        <v>273000</v>
      </c>
      <c r="M8" s="43" t="n">
        <v>-8546842.119999999</v>
      </c>
      <c r="N8" s="14" t="inlineStr">
        <is>
          <t>Cash; High Transaction; Recurring Transaction</t>
        </is>
      </c>
      <c r="O8" s="14" t="inlineStr">
        <is>
          <t>Yes</t>
        </is>
      </c>
      <c r="P8" s="14" t="inlineStr">
        <is>
          <t>BY CASH BY CASH</t>
        </is>
      </c>
      <c r="Q8" s="14" t="n">
        <v>1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4" t="n">
        <v>46118</v>
      </c>
      <c r="AB8" s="46">
        <f>HYPERLINK("#'Transactions'!A18", "View Source Row")</f>
        <v/>
      </c>
    </row>
    <row r="9">
      <c r="A9" s="14" t="n">
        <v>24</v>
      </c>
      <c r="B9" s="14" t="inlineStr">
        <is>
          <t>273.pdf</t>
        </is>
      </c>
      <c r="C9" s="44" t="n">
        <v>46113</v>
      </c>
      <c r="D9" s="44" t="n">
        <v>46142</v>
      </c>
      <c r="E9" s="44" t="n">
        <v>46120</v>
      </c>
      <c r="F9" s="44" t="n">
        <v>46120</v>
      </c>
      <c r="G9" s="16" t="inlineStr">
        <is>
          <t>BY CASH BY CASH</t>
        </is>
      </c>
      <c r="H9" s="14" t="str"/>
      <c r="I9" s="14" t="inlineStr">
        <is>
          <t>Receipt</t>
        </is>
      </c>
      <c r="J9" s="43" t="n">
        <v>0</v>
      </c>
      <c r="K9" s="43" t="n">
        <v>115000</v>
      </c>
      <c r="L9" s="43" t="n">
        <v>115000</v>
      </c>
      <c r="M9" s="43" t="n">
        <v>-9292881.380000001</v>
      </c>
      <c r="N9" s="14" t="inlineStr">
        <is>
          <t>Cash; High Transaction; Recurring Transaction</t>
        </is>
      </c>
      <c r="O9" s="14" t="inlineStr">
        <is>
          <t>Yes</t>
        </is>
      </c>
      <c r="P9" s="14" t="inlineStr">
        <is>
          <t>BY CASH BY CASH</t>
        </is>
      </c>
      <c r="Q9" s="14" t="n">
        <v>1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4" t="n">
        <v>46120</v>
      </c>
      <c r="AB9" s="46">
        <f>HYPERLINK("#'Transactions'!A25", "View Source Row")</f>
        <v/>
      </c>
    </row>
    <row r="10">
      <c r="A10" s="14" t="n">
        <v>28</v>
      </c>
      <c r="B10" s="14" t="inlineStr">
        <is>
          <t>273.pdf</t>
        </is>
      </c>
      <c r="C10" s="44" t="n">
        <v>46113</v>
      </c>
      <c r="D10" s="44" t="n">
        <v>46142</v>
      </c>
      <c r="E10" s="44" t="n">
        <v>46121</v>
      </c>
      <c r="F10" s="44" t="n">
        <v>46121</v>
      </c>
      <c r="G10" s="16" t="inlineStr">
        <is>
          <t>BY CASH BY CASH</t>
        </is>
      </c>
      <c r="H10" s="14" t="str"/>
      <c r="I10" s="14" t="inlineStr">
        <is>
          <t>Receipt</t>
        </is>
      </c>
      <c r="J10" s="43" t="n">
        <v>0</v>
      </c>
      <c r="K10" s="43" t="n">
        <v>180000</v>
      </c>
      <c r="L10" s="43" t="n">
        <v>180000</v>
      </c>
      <c r="M10" s="43" t="n">
        <v>-9009930.720000001</v>
      </c>
      <c r="N10" s="14" t="inlineStr">
        <is>
          <t>Cash; High Transaction; Recurring Transaction</t>
        </is>
      </c>
      <c r="O10" s="14" t="inlineStr">
        <is>
          <t>Yes</t>
        </is>
      </c>
      <c r="P10" s="14" t="inlineStr">
        <is>
          <t>BY CASH BY CASH</t>
        </is>
      </c>
      <c r="Q10" s="14" t="n">
        <v>1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4" t="n">
        <v>46121</v>
      </c>
      <c r="AB10" s="46">
        <f>HYPERLINK("#'Transactions'!A29", "View Source Row")</f>
        <v/>
      </c>
    </row>
    <row r="11">
      <c r="A11" s="14" t="n">
        <v>34</v>
      </c>
      <c r="B11" s="14" t="inlineStr">
        <is>
          <t>273.pdf</t>
        </is>
      </c>
      <c r="C11" s="44" t="n">
        <v>46113</v>
      </c>
      <c r="D11" s="44" t="n">
        <v>46142</v>
      </c>
      <c r="E11" s="44" t="n">
        <v>46122</v>
      </c>
      <c r="F11" s="44" t="n">
        <v>46122</v>
      </c>
      <c r="G11" s="16" t="inlineStr">
        <is>
          <t>BY CASH BY CASH</t>
        </is>
      </c>
      <c r="H11" s="14" t="str"/>
      <c r="I11" s="14" t="inlineStr">
        <is>
          <t>Receipt</t>
        </is>
      </c>
      <c r="J11" s="43" t="n">
        <v>0</v>
      </c>
      <c r="K11" s="43" t="n">
        <v>171000</v>
      </c>
      <c r="L11" s="43" t="n">
        <v>171000</v>
      </c>
      <c r="M11" s="43" t="n">
        <v>-9779313.970000001</v>
      </c>
      <c r="N11" s="14" t="inlineStr">
        <is>
          <t>Cash; High Transaction; Recurring Transaction</t>
        </is>
      </c>
      <c r="O11" s="14" t="inlineStr">
        <is>
          <t>Yes</t>
        </is>
      </c>
      <c r="P11" s="14" t="inlineStr">
        <is>
          <t>BY CASH BY CASH</t>
        </is>
      </c>
      <c r="Q11" s="14" t="n">
        <v>1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4" t="n">
        <v>46122</v>
      </c>
      <c r="AB11" s="46">
        <f>HYPERLINK("#'Transactions'!A35", "View Source Row")</f>
        <v/>
      </c>
    </row>
    <row r="12">
      <c r="A12" s="14" t="n">
        <v>41</v>
      </c>
      <c r="B12" s="14" t="inlineStr">
        <is>
          <t>273.pdf</t>
        </is>
      </c>
      <c r="C12" s="44" t="n">
        <v>46113</v>
      </c>
      <c r="D12" s="44" t="n">
        <v>46142</v>
      </c>
      <c r="E12" s="44" t="n">
        <v>46125</v>
      </c>
      <c r="F12" s="44" t="n">
        <v>46125</v>
      </c>
      <c r="G12" s="16" t="inlineStr">
        <is>
          <t>VIRARW-THANE/B https://cbdrpt101.bankofbaroda.co.in:22000/finbranch/arjspmorph/INFENG/tran_rpt.jsp?... 04-05-2026 BY CASH</t>
        </is>
      </c>
      <c r="H12" s="14" t="str"/>
      <c r="I12" s="14" t="inlineStr">
        <is>
          <t>Receipt</t>
        </is>
      </c>
      <c r="J12" s="43" t="n">
        <v>0</v>
      </c>
      <c r="K12" s="43" t="n">
        <v>439000</v>
      </c>
      <c r="L12" s="43" t="n">
        <v>439000</v>
      </c>
      <c r="M12" s="43" t="n">
        <v>-8493469.689999999</v>
      </c>
      <c r="N12" s="14" t="inlineStr">
        <is>
          <t>Cash; High Transaction</t>
        </is>
      </c>
      <c r="O12" s="14" t="inlineStr">
        <is>
          <t>No</t>
        </is>
      </c>
      <c r="P12" s="14" t="inlineStr">
        <is>
          <t>CBDRPTBANKOFBARODACOIN</t>
        </is>
      </c>
      <c r="Q12" s="14" t="n">
        <v>1</v>
      </c>
      <c r="R12" s="14" t="n">
        <v>0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4" t="n">
        <v>46125</v>
      </c>
      <c r="AB12" s="46">
        <f>HYPERLINK("#'Transactions'!A42", "View Source Row")</f>
        <v/>
      </c>
    </row>
    <row r="13">
      <c r="A13" s="14" t="n">
        <v>45</v>
      </c>
      <c r="B13" s="14" t="inlineStr">
        <is>
          <t>273.pdf</t>
        </is>
      </c>
      <c r="C13" s="44" t="n">
        <v>46113</v>
      </c>
      <c r="D13" s="44" t="n">
        <v>46142</v>
      </c>
      <c r="E13" s="44" t="n">
        <v>46125</v>
      </c>
      <c r="F13" s="44" t="n">
        <v>46125</v>
      </c>
      <c r="G13" s="16" t="inlineStr">
        <is>
          <t>BY CASH BY CASH</t>
        </is>
      </c>
      <c r="H13" s="14" t="str"/>
      <c r="I13" s="14" t="inlineStr">
        <is>
          <t>Receipt</t>
        </is>
      </c>
      <c r="J13" s="43" t="n">
        <v>0</v>
      </c>
      <c r="K13" s="43" t="n">
        <v>78500</v>
      </c>
      <c r="L13" s="43" t="n">
        <v>78500</v>
      </c>
      <c r="M13" s="43" t="n">
        <v>-7804754.98</v>
      </c>
      <c r="N13" s="14" t="inlineStr">
        <is>
          <t>Cash; Recurring Transaction</t>
        </is>
      </c>
      <c r="O13" s="14" t="inlineStr">
        <is>
          <t>Yes</t>
        </is>
      </c>
      <c r="P13" s="14" t="inlineStr">
        <is>
          <t>BY CASH BY CASH</t>
        </is>
      </c>
      <c r="Q13" s="14" t="n">
        <v>1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4" t="n">
        <v>46125</v>
      </c>
      <c r="AB13" s="46">
        <f>HYPERLINK("#'Transactions'!A46", "View Source Row")</f>
        <v/>
      </c>
    </row>
    <row r="14">
      <c r="A14" s="14" t="n">
        <v>55</v>
      </c>
      <c r="B14" s="14" t="inlineStr">
        <is>
          <t>273.pdf</t>
        </is>
      </c>
      <c r="C14" s="44" t="n">
        <v>46113</v>
      </c>
      <c r="D14" s="44" t="n">
        <v>46142</v>
      </c>
      <c r="E14" s="44" t="n">
        <v>46127</v>
      </c>
      <c r="F14" s="44" t="n">
        <v>46127</v>
      </c>
      <c r="G14" s="16" t="inlineStr">
        <is>
          <t>BY CASH BY CASH</t>
        </is>
      </c>
      <c r="H14" s="14" t="str"/>
      <c r="I14" s="14" t="inlineStr">
        <is>
          <t>Receipt</t>
        </is>
      </c>
      <c r="J14" s="43" t="n">
        <v>0</v>
      </c>
      <c r="K14" s="43" t="n">
        <v>371000</v>
      </c>
      <c r="L14" s="43" t="n">
        <v>371000</v>
      </c>
      <c r="M14" s="43" t="n">
        <v>-8110214.99</v>
      </c>
      <c r="N14" s="14" t="inlineStr">
        <is>
          <t>Cash; High Transaction; Recurring Transaction</t>
        </is>
      </c>
      <c r="O14" s="14" t="inlineStr">
        <is>
          <t>Yes</t>
        </is>
      </c>
      <c r="P14" s="14" t="inlineStr">
        <is>
          <t>BY CASH BY CASH</t>
        </is>
      </c>
      <c r="Q14" s="14" t="n">
        <v>1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4" t="n">
        <v>46127</v>
      </c>
      <c r="AB14" s="46">
        <f>HYPERLINK("#'Transactions'!A56", "View Source Row")</f>
        <v/>
      </c>
    </row>
    <row r="15">
      <c r="A15" s="14" t="n">
        <v>63</v>
      </c>
      <c r="B15" s="14" t="inlineStr">
        <is>
          <t>273.pdf</t>
        </is>
      </c>
      <c r="C15" s="44" t="n">
        <v>46113</v>
      </c>
      <c r="D15" s="44" t="n">
        <v>46142</v>
      </c>
      <c r="E15" s="44" t="n">
        <v>46128</v>
      </c>
      <c r="F15" s="44" t="n">
        <v>46128</v>
      </c>
      <c r="G15" s="16" t="inlineStr">
        <is>
          <t>BY CASH BY CASH</t>
        </is>
      </c>
      <c r="H15" s="14" t="str"/>
      <c r="I15" s="14" t="inlineStr">
        <is>
          <t>Receipt</t>
        </is>
      </c>
      <c r="J15" s="43" t="n">
        <v>0</v>
      </c>
      <c r="K15" s="43" t="n">
        <v>166000</v>
      </c>
      <c r="L15" s="43" t="n">
        <v>166000</v>
      </c>
      <c r="M15" s="43" t="n">
        <v>-8932021.65</v>
      </c>
      <c r="N15" s="14" t="inlineStr">
        <is>
          <t>Cash; High Transaction; Recurring Transaction</t>
        </is>
      </c>
      <c r="O15" s="14" t="inlineStr">
        <is>
          <t>Yes</t>
        </is>
      </c>
      <c r="P15" s="14" t="inlineStr">
        <is>
          <t>BY CASH BY CASH</t>
        </is>
      </c>
      <c r="Q15" s="14" t="n">
        <v>1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4" t="n">
        <v>46128</v>
      </c>
      <c r="AB15" s="46">
        <f>HYPERLINK("#'Transactions'!A64", "View Source Row")</f>
        <v/>
      </c>
    </row>
    <row r="16">
      <c r="A16" s="14" t="n">
        <v>70</v>
      </c>
      <c r="B16" s="14" t="inlineStr">
        <is>
          <t>273.pdf</t>
        </is>
      </c>
      <c r="C16" s="44" t="n">
        <v>46113</v>
      </c>
      <c r="D16" s="44" t="n">
        <v>46142</v>
      </c>
      <c r="E16" s="44" t="n">
        <v>46130</v>
      </c>
      <c r="F16" s="44" t="n">
        <v>46130</v>
      </c>
      <c r="G16" s="16" t="inlineStr">
        <is>
          <t>BY CASH BY CASH</t>
        </is>
      </c>
      <c r="H16" s="14" t="str"/>
      <c r="I16" s="14" t="inlineStr">
        <is>
          <t>Receipt</t>
        </is>
      </c>
      <c r="J16" s="43" t="n">
        <v>0</v>
      </c>
      <c r="K16" s="43" t="n">
        <v>394500</v>
      </c>
      <c r="L16" s="43" t="n">
        <v>394500</v>
      </c>
      <c r="M16" s="43" t="n">
        <v>-8070106.36</v>
      </c>
      <c r="N16" s="14" t="inlineStr">
        <is>
          <t>Cash; High Transaction; Recurring Transaction</t>
        </is>
      </c>
      <c r="O16" s="14" t="inlineStr">
        <is>
          <t>Yes</t>
        </is>
      </c>
      <c r="P16" s="14" t="inlineStr">
        <is>
          <t>BY CASH BY CASH</t>
        </is>
      </c>
      <c r="Q16" s="14" t="n">
        <v>1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4" t="n">
        <v>46130</v>
      </c>
      <c r="AB16" s="46">
        <f>HYPERLINK("#'Transactions'!A71", "View Source Row")</f>
        <v/>
      </c>
    </row>
    <row r="17">
      <c r="A17" s="14" t="n">
        <v>79</v>
      </c>
      <c r="B17" s="14" t="inlineStr">
        <is>
          <t>273.pdf</t>
        </is>
      </c>
      <c r="C17" s="44" t="n">
        <v>46113</v>
      </c>
      <c r="D17" s="44" t="n">
        <v>46142</v>
      </c>
      <c r="E17" s="44" t="n">
        <v>46132</v>
      </c>
      <c r="F17" s="44" t="n">
        <v>46132</v>
      </c>
      <c r="G17" s="16" t="inlineStr">
        <is>
          <t>BY CASH BY CASH</t>
        </is>
      </c>
      <c r="H17" s="14" t="str"/>
      <c r="I17" s="14" t="inlineStr">
        <is>
          <t>Receipt</t>
        </is>
      </c>
      <c r="J17" s="43" t="n">
        <v>0</v>
      </c>
      <c r="K17" s="43" t="n">
        <v>336500</v>
      </c>
      <c r="L17" s="43" t="n">
        <v>336500</v>
      </c>
      <c r="M17" s="43" t="n">
        <v>-8455271.859999999</v>
      </c>
      <c r="N17" s="14" t="inlineStr">
        <is>
          <t>Cash; High Transaction; Recurring Transaction</t>
        </is>
      </c>
      <c r="O17" s="14" t="inlineStr">
        <is>
          <t>Yes</t>
        </is>
      </c>
      <c r="P17" s="14" t="inlineStr">
        <is>
          <t>BY CASH BY CASH</t>
        </is>
      </c>
      <c r="Q17" s="14" t="n">
        <v>1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4" t="n">
        <v>46132</v>
      </c>
      <c r="AB17" s="46">
        <f>HYPERLINK("#'Transactions'!A80", "View Source Row")</f>
        <v/>
      </c>
    </row>
    <row r="18">
      <c r="A18" s="14" t="n">
        <v>84</v>
      </c>
      <c r="B18" s="14" t="inlineStr">
        <is>
          <t>273.pdf</t>
        </is>
      </c>
      <c r="C18" s="44" t="n">
        <v>46113</v>
      </c>
      <c r="D18" s="44" t="n">
        <v>46142</v>
      </c>
      <c r="E18" s="44" t="n">
        <v>46133</v>
      </c>
      <c r="F18" s="44" t="n">
        <v>46133</v>
      </c>
      <c r="G18" s="16" t="inlineStr">
        <is>
          <t>BY CASH BY CASH</t>
        </is>
      </c>
      <c r="H18" s="14" t="str"/>
      <c r="I18" s="14" t="inlineStr">
        <is>
          <t>Receipt</t>
        </is>
      </c>
      <c r="J18" s="43" t="n">
        <v>0</v>
      </c>
      <c r="K18" s="43" t="n">
        <v>150500</v>
      </c>
      <c r="L18" s="43" t="n">
        <v>150500</v>
      </c>
      <c r="M18" s="43" t="n">
        <v>-9726405.640000001</v>
      </c>
      <c r="N18" s="14" t="inlineStr">
        <is>
          <t>Cash; High Transaction; Recurring Transaction</t>
        </is>
      </c>
      <c r="O18" s="14" t="inlineStr">
        <is>
          <t>Yes</t>
        </is>
      </c>
      <c r="P18" s="14" t="inlineStr">
        <is>
          <t>BY CASH BY CASH</t>
        </is>
      </c>
      <c r="Q18" s="14" t="n">
        <v>1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4" t="n">
        <v>46133</v>
      </c>
      <c r="AB18" s="46">
        <f>HYPERLINK("#'Transactions'!A85", "View Source Row")</f>
        <v/>
      </c>
    </row>
    <row r="19">
      <c r="A19" s="14" t="n">
        <v>89</v>
      </c>
      <c r="B19" s="14" t="inlineStr">
        <is>
          <t>273.pdf</t>
        </is>
      </c>
      <c r="C19" s="44" t="n">
        <v>46113</v>
      </c>
      <c r="D19" s="44" t="n">
        <v>46142</v>
      </c>
      <c r="E19" s="44" t="n">
        <v>46134</v>
      </c>
      <c r="F19" s="44" t="n">
        <v>46134</v>
      </c>
      <c r="G19" s="16" t="inlineStr">
        <is>
          <t>BY CASH BY CASH</t>
        </is>
      </c>
      <c r="H19" s="14" t="str"/>
      <c r="I19" s="14" t="inlineStr">
        <is>
          <t>Receipt</t>
        </is>
      </c>
      <c r="J19" s="43" t="n">
        <v>0</v>
      </c>
      <c r="K19" s="43" t="n">
        <v>609000</v>
      </c>
      <c r="L19" s="43" t="n">
        <v>609000</v>
      </c>
      <c r="M19" s="43" t="n">
        <v>-8755726.17</v>
      </c>
      <c r="N19" s="14" t="inlineStr">
        <is>
          <t>Cash; High Transaction; Recurring Transaction</t>
        </is>
      </c>
      <c r="O19" s="14" t="inlineStr">
        <is>
          <t>Yes</t>
        </is>
      </c>
      <c r="P19" s="14" t="inlineStr">
        <is>
          <t>BY CASH BY CASH</t>
        </is>
      </c>
      <c r="Q19" s="14" t="n">
        <v>1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4" t="n">
        <v>46134</v>
      </c>
      <c r="AB19" s="46">
        <f>HYPERLINK("#'Transactions'!A90", "View Source Row")</f>
        <v/>
      </c>
    </row>
    <row r="20">
      <c r="A20" s="14" t="n">
        <v>98</v>
      </c>
      <c r="B20" s="14" t="inlineStr">
        <is>
          <t>273.pdf</t>
        </is>
      </c>
      <c r="C20" s="44" t="n">
        <v>46113</v>
      </c>
      <c r="D20" s="44" t="n">
        <v>46142</v>
      </c>
      <c r="E20" s="44" t="n">
        <v>46135</v>
      </c>
      <c r="F20" s="44" t="n">
        <v>46135</v>
      </c>
      <c r="G20" s="16" t="inlineStr">
        <is>
          <t>BY CASH BY CASH</t>
        </is>
      </c>
      <c r="H20" s="14" t="str"/>
      <c r="I20" s="14" t="inlineStr">
        <is>
          <t>Receipt</t>
        </is>
      </c>
      <c r="J20" s="43" t="n">
        <v>0</v>
      </c>
      <c r="K20" s="43" t="n">
        <v>253500</v>
      </c>
      <c r="L20" s="43" t="n">
        <v>253500</v>
      </c>
      <c r="M20" s="43" t="n">
        <v>-9548272.380000001</v>
      </c>
      <c r="N20" s="14" t="inlineStr">
        <is>
          <t>Cash; High Transaction; Recurring Transaction</t>
        </is>
      </c>
      <c r="O20" s="14" t="inlineStr">
        <is>
          <t>Yes</t>
        </is>
      </c>
      <c r="P20" s="14" t="inlineStr">
        <is>
          <t>BY CASH BY CASH</t>
        </is>
      </c>
      <c r="Q20" s="14" t="n">
        <v>1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4" t="n">
        <v>46135</v>
      </c>
      <c r="AB20" s="46">
        <f>HYPERLINK("#'Transactions'!A99", "View Source Row")</f>
        <v/>
      </c>
    </row>
    <row r="21">
      <c r="A21" s="14" t="n">
        <v>102</v>
      </c>
      <c r="B21" s="14" t="inlineStr">
        <is>
          <t>273.pdf</t>
        </is>
      </c>
      <c r="C21" s="44" t="n">
        <v>46113</v>
      </c>
      <c r="D21" s="44" t="n">
        <v>46142</v>
      </c>
      <c r="E21" s="44" t="n">
        <v>46136</v>
      </c>
      <c r="F21" s="44" t="n">
        <v>46136</v>
      </c>
      <c r="G21" s="16" t="inlineStr">
        <is>
          <t>BY CASH BY CASH</t>
        </is>
      </c>
      <c r="H21" s="14" t="str"/>
      <c r="I21" s="14" t="inlineStr">
        <is>
          <t>Receipt</t>
        </is>
      </c>
      <c r="J21" s="43" t="n">
        <v>0</v>
      </c>
      <c r="K21" s="43" t="n">
        <v>281000</v>
      </c>
      <c r="L21" s="43" t="n">
        <v>281000</v>
      </c>
      <c r="M21" s="43" t="n">
        <v>-9095234.029999999</v>
      </c>
      <c r="N21" s="14" t="inlineStr">
        <is>
          <t>Cash; High Transaction; Recurring Transaction</t>
        </is>
      </c>
      <c r="O21" s="14" t="inlineStr">
        <is>
          <t>Yes</t>
        </is>
      </c>
      <c r="P21" s="14" t="inlineStr">
        <is>
          <t>BY CASH BY CASH</t>
        </is>
      </c>
      <c r="Q21" s="14" t="n">
        <v>1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4" t="n">
        <v>46136</v>
      </c>
      <c r="AB21" s="46">
        <f>HYPERLINK("#'Transactions'!A103", "View Source Row")</f>
        <v/>
      </c>
    </row>
    <row r="22">
      <c r="A22" s="14" t="n">
        <v>103</v>
      </c>
      <c r="B22" s="14" t="inlineStr">
        <is>
          <t>273.pdf</t>
        </is>
      </c>
      <c r="C22" s="44" t="n">
        <v>46113</v>
      </c>
      <c r="D22" s="44" t="n">
        <v>46142</v>
      </c>
      <c r="E22" s="44" t="n">
        <v>46136</v>
      </c>
      <c r="F22" s="44" t="n">
        <v>46136</v>
      </c>
      <c r="G22" s="16" t="inlineStr">
        <is>
          <t>VIRARW-THANE/B BY CASH</t>
        </is>
      </c>
      <c r="H22" s="14" t="str"/>
      <c r="I22" s="14" t="inlineStr">
        <is>
          <t>Receipt</t>
        </is>
      </c>
      <c r="J22" s="43" t="n">
        <v>0</v>
      </c>
      <c r="K22" s="43" t="n">
        <v>250000</v>
      </c>
      <c r="L22" s="43" t="n">
        <v>250000</v>
      </c>
      <c r="M22" s="43" t="n">
        <v>-8845234.029999999</v>
      </c>
      <c r="N22" s="14" t="inlineStr">
        <is>
          <t>Cash; High Transaction; Recurring Transaction</t>
        </is>
      </c>
      <c r="O22" s="14" t="inlineStr">
        <is>
          <t>Yes</t>
        </is>
      </c>
      <c r="P22" s="14" t="inlineStr">
        <is>
          <t>B BY CASH</t>
        </is>
      </c>
      <c r="Q22" s="14" t="n">
        <v>1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4" t="n">
        <v>46136</v>
      </c>
      <c r="AB22" s="46">
        <f>HYPERLINK("#'Transactions'!A104", "View Source Row")</f>
        <v/>
      </c>
    </row>
    <row r="23">
      <c r="A23" s="14" t="n">
        <v>116</v>
      </c>
      <c r="B23" s="14" t="inlineStr">
        <is>
          <t>273.pdf</t>
        </is>
      </c>
      <c r="C23" s="44" t="n">
        <v>46113</v>
      </c>
      <c r="D23" s="44" t="n">
        <v>46142</v>
      </c>
      <c r="E23" s="44" t="n">
        <v>46139</v>
      </c>
      <c r="F23" s="44" t="n">
        <v>46139</v>
      </c>
      <c r="G23" s="16" t="inlineStr">
        <is>
          <t>BY CASH BY CASH</t>
        </is>
      </c>
      <c r="H23" s="14" t="str"/>
      <c r="I23" s="14" t="inlineStr">
        <is>
          <t>Receipt</t>
        </is>
      </c>
      <c r="J23" s="43" t="n">
        <v>0</v>
      </c>
      <c r="K23" s="43" t="n">
        <v>774500</v>
      </c>
      <c r="L23" s="43" t="n">
        <v>774500</v>
      </c>
      <c r="M23" s="43" t="n">
        <v>-8161218.66</v>
      </c>
      <c r="N23" s="14" t="inlineStr">
        <is>
          <t>Cash; High Transaction; Recurring Transaction</t>
        </is>
      </c>
      <c r="O23" s="14" t="inlineStr">
        <is>
          <t>Yes</t>
        </is>
      </c>
      <c r="P23" s="14" t="inlineStr">
        <is>
          <t>BY CASH BY CASH</t>
        </is>
      </c>
      <c r="Q23" s="14" t="n">
        <v>1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4" t="n">
        <v>46139</v>
      </c>
      <c r="AB23" s="46">
        <f>HYPERLINK("#'Transactions'!A117", "View Source Row")</f>
        <v/>
      </c>
    </row>
    <row r="24">
      <c r="A24" s="14" t="n">
        <v>121</v>
      </c>
      <c r="B24" s="14" t="inlineStr">
        <is>
          <t>273.pdf</t>
        </is>
      </c>
      <c r="C24" s="44" t="n">
        <v>46113</v>
      </c>
      <c r="D24" s="44" t="n">
        <v>46142</v>
      </c>
      <c r="E24" s="44" t="n">
        <v>46140</v>
      </c>
      <c r="F24" s="44" t="n">
        <v>46140</v>
      </c>
      <c r="G24" s="16" t="inlineStr">
        <is>
          <t>BY CASH BY CASH</t>
        </is>
      </c>
      <c r="H24" s="14" t="str"/>
      <c r="I24" s="14" t="inlineStr">
        <is>
          <t>Receipt</t>
        </is>
      </c>
      <c r="J24" s="43" t="n">
        <v>0</v>
      </c>
      <c r="K24" s="43" t="n">
        <v>246500</v>
      </c>
      <c r="L24" s="43" t="n">
        <v>246500</v>
      </c>
      <c r="M24" s="43" t="n">
        <v>-9388494.35</v>
      </c>
      <c r="N24" s="14" t="inlineStr">
        <is>
          <t>Cash; High Transaction; Recurring Transaction</t>
        </is>
      </c>
      <c r="O24" s="14" t="inlineStr">
        <is>
          <t>Yes</t>
        </is>
      </c>
      <c r="P24" s="14" t="inlineStr">
        <is>
          <t>BY CASH BY CASH</t>
        </is>
      </c>
      <c r="Q24" s="14" t="n">
        <v>1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4" t="n">
        <v>46140</v>
      </c>
      <c r="AB24" s="46">
        <f>HYPERLINK("#'Transactions'!A122", "View Source Row")</f>
        <v/>
      </c>
    </row>
    <row r="25">
      <c r="A25" s="14" t="n">
        <v>129</v>
      </c>
      <c r="B25" s="14" t="inlineStr">
        <is>
          <t>273.pdf</t>
        </is>
      </c>
      <c r="C25" s="44" t="n">
        <v>46113</v>
      </c>
      <c r="D25" s="44" t="n">
        <v>46142</v>
      </c>
      <c r="E25" s="44" t="n">
        <v>46141</v>
      </c>
      <c r="F25" s="44" t="n">
        <v>46141</v>
      </c>
      <c r="G25" s="16" t="inlineStr">
        <is>
          <t>BY CASH BY CASH</t>
        </is>
      </c>
      <c r="H25" s="14" t="str"/>
      <c r="I25" s="14" t="inlineStr">
        <is>
          <t>Receipt</t>
        </is>
      </c>
      <c r="J25" s="43" t="n">
        <v>0</v>
      </c>
      <c r="K25" s="43" t="n">
        <v>116500</v>
      </c>
      <c r="L25" s="43" t="n">
        <v>116500</v>
      </c>
      <c r="M25" s="43" t="n">
        <v>-8137649.75</v>
      </c>
      <c r="N25" s="14" t="inlineStr">
        <is>
          <t>Cash; High Transaction; Recurring Transaction</t>
        </is>
      </c>
      <c r="O25" s="14" t="inlineStr">
        <is>
          <t>Yes</t>
        </is>
      </c>
      <c r="P25" s="14" t="inlineStr">
        <is>
          <t>BY CASH BY CASH</t>
        </is>
      </c>
      <c r="Q25" s="14" t="n">
        <v>1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4" t="n">
        <v>46141</v>
      </c>
      <c r="AB25" s="46">
        <f>HYPERLINK("#'Transactions'!A130", "View Source Row")</f>
        <v/>
      </c>
    </row>
    <row r="26">
      <c r="A26" s="14" t="n">
        <v>138</v>
      </c>
      <c r="B26" s="14" t="inlineStr">
        <is>
          <t>273.pdf</t>
        </is>
      </c>
      <c r="C26" s="44" t="n">
        <v>46113</v>
      </c>
      <c r="D26" s="44" t="n">
        <v>46142</v>
      </c>
      <c r="E26" s="44" t="n">
        <v>46142</v>
      </c>
      <c r="F26" s="44" t="n">
        <v>46142</v>
      </c>
      <c r="G26" s="16" t="inlineStr">
        <is>
          <t>BY CASH BY CASH</t>
        </is>
      </c>
      <c r="H26" s="14" t="str"/>
      <c r="I26" s="14" t="inlineStr">
        <is>
          <t>Receipt</t>
        </is>
      </c>
      <c r="J26" s="43" t="n">
        <v>0</v>
      </c>
      <c r="K26" s="43" t="n">
        <v>273000</v>
      </c>
      <c r="L26" s="43" t="n">
        <v>273000</v>
      </c>
      <c r="M26" s="43" t="n">
        <v>-9390102.640000001</v>
      </c>
      <c r="N26" s="14" t="inlineStr">
        <is>
          <t>Cash; High Transaction; Recurring Transaction</t>
        </is>
      </c>
      <c r="O26" s="14" t="inlineStr">
        <is>
          <t>Yes</t>
        </is>
      </c>
      <c r="P26" s="14" t="inlineStr">
        <is>
          <t>BY CASH BY CASH</t>
        </is>
      </c>
      <c r="Q26" s="14" t="n">
        <v>1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4" t="n">
        <v>46142</v>
      </c>
      <c r="AB26" s="46">
        <f>HYPERLINK("#'Transactions'!A139",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Recurring Transaction Transactions</t>
        </is>
      </c>
    </row>
    <row r="2">
      <c r="A2" s="33" t="inlineStr">
        <is>
          <t>Rows</t>
        </is>
      </c>
      <c r="B2" s="33" t="n">
        <v>122</v>
      </c>
      <c r="C2" s="33" t="inlineStr">
        <is>
          <t>Match</t>
        </is>
      </c>
      <c r="D2" s="33" t="inlineStr">
        <is>
          <t>Recurring Transaction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273.pdf</t>
        </is>
      </c>
      <c r="C5" s="44" t="n">
        <v>46113</v>
      </c>
      <c r="D5" s="44" t="n">
        <v>46142</v>
      </c>
      <c r="E5" s="44" t="n">
        <v>46114</v>
      </c>
      <c r="F5" s="44" t="n">
        <v>46114</v>
      </c>
      <c r="G5" s="16" t="inlineStr">
        <is>
          <t>EBANK:WIB/1502 EBANK:WIB/1502021829/Edfs</t>
        </is>
      </c>
      <c r="H5" s="14" t="str"/>
      <c r="I5" s="14" t="inlineStr">
        <is>
          <t>Receipt</t>
        </is>
      </c>
      <c r="J5" s="43" t="n">
        <v>0</v>
      </c>
      <c r="K5" s="43" t="n">
        <v>681881.6</v>
      </c>
      <c r="L5" s="43" t="n">
        <v>681881.6</v>
      </c>
      <c r="M5" s="43" t="n">
        <v>-9317737.199999999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EBANKWIB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4" t="n">
        <v>46114</v>
      </c>
      <c r="AB5" s="46">
        <f>HYPERLINK("#'Transactions'!A2", "View Source Row")</f>
        <v/>
      </c>
    </row>
    <row r="6">
      <c r="A6" s="14" t="n">
        <v>3</v>
      </c>
      <c r="B6" s="14" t="inlineStr">
        <is>
          <t>273.pdf</t>
        </is>
      </c>
      <c r="C6" s="44" t="n">
        <v>46113</v>
      </c>
      <c r="D6" s="44" t="n">
        <v>46142</v>
      </c>
      <c r="E6" s="44" t="n">
        <v>46114</v>
      </c>
      <c r="F6" s="44" t="n">
        <v>46114</v>
      </c>
      <c r="G6" s="16" t="inlineStr">
        <is>
          <t>EBANK:WIB/1502 EBANK:WIB/1502110539/Edfs</t>
        </is>
      </c>
      <c r="H6" s="14" t="str"/>
      <c r="I6" s="14" t="inlineStr">
        <is>
          <t>Receipt</t>
        </is>
      </c>
      <c r="J6" s="43" t="n">
        <v>0</v>
      </c>
      <c r="K6" s="43" t="n">
        <v>248340</v>
      </c>
      <c r="L6" s="43" t="n">
        <v>248340</v>
      </c>
      <c r="M6" s="43" t="n">
        <v>-9074643.800000001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4" t="n">
        <v>46114</v>
      </c>
      <c r="AB6" s="46">
        <f>HYPERLINK("#'Transactions'!A4", "View Source Row")</f>
        <v/>
      </c>
    </row>
    <row r="7">
      <c r="A7" s="14" t="n">
        <v>4</v>
      </c>
      <c r="B7" s="14" t="inlineStr">
        <is>
          <t>273.pdf</t>
        </is>
      </c>
      <c r="C7" s="44" t="n">
        <v>46113</v>
      </c>
      <c r="D7" s="44" t="n">
        <v>46142</v>
      </c>
      <c r="E7" s="44" t="n">
        <v>46114</v>
      </c>
      <c r="F7" s="44" t="n">
        <v>46114</v>
      </c>
      <c r="G7" s="16" t="inlineStr">
        <is>
          <t>BY CASH BY CASH</t>
        </is>
      </c>
      <c r="H7" s="14" t="str"/>
      <c r="I7" s="14" t="inlineStr">
        <is>
          <t>Receipt</t>
        </is>
      </c>
      <c r="J7" s="43" t="n">
        <v>0</v>
      </c>
      <c r="K7" s="43" t="n">
        <v>67500</v>
      </c>
      <c r="L7" s="43" t="n">
        <v>67500</v>
      </c>
      <c r="M7" s="43" t="n">
        <v>-9007143.800000001</v>
      </c>
      <c r="N7" s="14" t="inlineStr">
        <is>
          <t>Cash; Recurring Transaction</t>
        </is>
      </c>
      <c r="O7" s="14" t="inlineStr">
        <is>
          <t>Yes</t>
        </is>
      </c>
      <c r="P7" s="14" t="inlineStr">
        <is>
          <t>BY CASH BY CASH</t>
        </is>
      </c>
      <c r="Q7" s="14" t="n">
        <v>1</v>
      </c>
      <c r="R7" s="14" t="n">
        <v>1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4" t="n">
        <v>46114</v>
      </c>
      <c r="AB7" s="46">
        <f>HYPERLINK("#'Transactions'!A5", "View Source Row")</f>
        <v/>
      </c>
    </row>
    <row r="8">
      <c r="A8" s="14" t="n">
        <v>5</v>
      </c>
      <c r="B8" s="14" t="inlineStr">
        <is>
          <t>273.pdf</t>
        </is>
      </c>
      <c r="C8" s="44" t="n">
        <v>46113</v>
      </c>
      <c r="D8" s="44" t="n">
        <v>46142</v>
      </c>
      <c r="E8" s="44" t="n">
        <v>46114</v>
      </c>
      <c r="F8" s="44" t="n">
        <v>46114</v>
      </c>
      <c r="G8" s="16" t="inlineStr">
        <is>
          <t>VIRARW-THANE/B BY CASH</t>
        </is>
      </c>
      <c r="H8" s="14" t="str"/>
      <c r="I8" s="14" t="inlineStr">
        <is>
          <t>Receipt</t>
        </is>
      </c>
      <c r="J8" s="43" t="n">
        <v>0</v>
      </c>
      <c r="K8" s="43" t="n">
        <v>426000</v>
      </c>
      <c r="L8" s="43" t="n">
        <v>426000</v>
      </c>
      <c r="M8" s="43" t="n">
        <v>-8581143.800000001</v>
      </c>
      <c r="N8" s="14" t="inlineStr">
        <is>
          <t>Cash; High Transaction; Recurring Transaction</t>
        </is>
      </c>
      <c r="O8" s="14" t="inlineStr">
        <is>
          <t>Yes</t>
        </is>
      </c>
      <c r="P8" s="14" t="inlineStr">
        <is>
          <t>B BY CASH</t>
        </is>
      </c>
      <c r="Q8" s="14" t="n">
        <v>1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4" t="n">
        <v>46114</v>
      </c>
      <c r="AB8" s="46">
        <f>HYPERLINK("#'Transactions'!A6", "View Source Row")</f>
        <v/>
      </c>
    </row>
    <row r="9">
      <c r="A9" s="14" t="n">
        <v>6</v>
      </c>
      <c r="B9" s="14" t="inlineStr">
        <is>
          <t>273.pdf</t>
        </is>
      </c>
      <c r="C9" s="44" t="n">
        <v>46113</v>
      </c>
      <c r="D9" s="44" t="n">
        <v>46142</v>
      </c>
      <c r="E9" s="44" t="n">
        <v>46114</v>
      </c>
      <c r="F9" s="44" t="n">
        <v>46114</v>
      </c>
      <c r="G9" s="16" t="inlineStr">
        <is>
          <t>EBANK:WIB/1502 EBANK:WIB/1502234210/Edfs</t>
        </is>
      </c>
      <c r="H9" s="14" t="str"/>
      <c r="I9" s="14" t="inlineStr">
        <is>
          <t>Receipt</t>
        </is>
      </c>
      <c r="J9" s="43" t="n">
        <v>0</v>
      </c>
      <c r="K9" s="43" t="n">
        <v>791482.5</v>
      </c>
      <c r="L9" s="43" t="n">
        <v>791482.5</v>
      </c>
      <c r="M9" s="43" t="n">
        <v>-7789661.3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EBANKWIB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4" t="n">
        <v>46114</v>
      </c>
      <c r="AB9" s="46">
        <f>HYPERLINK("#'Transactions'!A7", "View Source Row")</f>
        <v/>
      </c>
    </row>
    <row r="10">
      <c r="A10" s="14" t="n">
        <v>7</v>
      </c>
      <c r="B10" s="14" t="inlineStr">
        <is>
          <t>273.pdf</t>
        </is>
      </c>
      <c r="C10" s="44" t="n">
        <v>46113</v>
      </c>
      <c r="D10" s="44" t="n">
        <v>46142</v>
      </c>
      <c r="E10" s="44" t="n">
        <v>46114</v>
      </c>
      <c r="F10" s="44" t="n">
        <v>46114</v>
      </c>
      <c r="G10" s="16" t="inlineStr">
        <is>
          <t>RTGS-BARBR5202 RTGS-BARBR52026040200930050-HINDUSTAN PETROLEUM CO</t>
        </is>
      </c>
      <c r="H10" s="14" t="str"/>
      <c r="I10" s="14" t="inlineStr">
        <is>
          <t>Payment</t>
        </is>
      </c>
      <c r="J10" s="43" t="n">
        <v>1410247.26</v>
      </c>
      <c r="K10" s="43" t="n">
        <v>0</v>
      </c>
      <c r="L10" s="43" t="n">
        <v>1410247.26</v>
      </c>
      <c r="M10" s="43" t="n">
        <v>-9199908.560000001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BARBR RTGS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4" t="n">
        <v>46114</v>
      </c>
      <c r="AB10" s="46">
        <f>HYPERLINK("#'Transactions'!A8", "View Source Row")</f>
        <v/>
      </c>
    </row>
    <row r="11">
      <c r="A11" s="14" t="n">
        <v>8</v>
      </c>
      <c r="B11" s="14" t="inlineStr">
        <is>
          <t>273.pdf</t>
        </is>
      </c>
      <c r="C11" s="44" t="n">
        <v>46113</v>
      </c>
      <c r="D11" s="44" t="n">
        <v>46142</v>
      </c>
      <c r="E11" s="44" t="n">
        <v>46115</v>
      </c>
      <c r="F11" s="44" t="n">
        <v>46115</v>
      </c>
      <c r="G11" s="16" t="inlineStr">
        <is>
          <t>EBANK:WIB/1502 EBANK:WIB/1502413595/Edfs</t>
        </is>
      </c>
      <c r="H11" s="14" t="str"/>
      <c r="I11" s="14" t="inlineStr">
        <is>
          <t>Receipt</t>
        </is>
      </c>
      <c r="J11" s="43" t="n">
        <v>0</v>
      </c>
      <c r="K11" s="43" t="n">
        <v>790104.58</v>
      </c>
      <c r="L11" s="43" t="n">
        <v>790104.58</v>
      </c>
      <c r="M11" s="43" t="n">
        <v>-8409803.98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EBANKWIB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4" t="n">
        <v>46115</v>
      </c>
      <c r="AB11" s="46">
        <f>HYPERLINK("#'Transactions'!A9", "View Source Row")</f>
        <v/>
      </c>
    </row>
    <row r="12">
      <c r="A12" s="14" t="n">
        <v>9</v>
      </c>
      <c r="B12" s="14" t="inlineStr">
        <is>
          <t>273.pdf</t>
        </is>
      </c>
      <c r="C12" s="44" t="n">
        <v>46113</v>
      </c>
      <c r="D12" s="44" t="n">
        <v>46142</v>
      </c>
      <c r="E12" s="44" t="n">
        <v>46116</v>
      </c>
      <c r="F12" s="44" t="n">
        <v>46116</v>
      </c>
      <c r="G12" s="16" t="inlineStr">
        <is>
          <t>0000-MUMBAI/IN INT260322DEAL6217382</t>
        </is>
      </c>
      <c r="H12" s="14" t="str"/>
      <c r="I12" s="14" t="inlineStr">
        <is>
          <t>Payment</t>
        </is>
      </c>
      <c r="J12" s="43" t="n">
        <v>5204.27</v>
      </c>
      <c r="K12" s="43" t="n">
        <v>0</v>
      </c>
      <c r="L12" s="43" t="n">
        <v>5204.27</v>
      </c>
      <c r="M12" s="43" t="n">
        <v>-8415008.25</v>
      </c>
      <c r="N12" s="14" t="inlineStr">
        <is>
          <t>Recurring Transaction</t>
        </is>
      </c>
      <c r="O12" s="14" t="inlineStr">
        <is>
          <t>Yes</t>
        </is>
      </c>
      <c r="P12" s="14" t="inlineStr">
        <is>
          <t>IN INTDEAL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0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4" t="n">
        <v>46116</v>
      </c>
      <c r="AB12" s="46">
        <f>HYPERLINK("#'Transactions'!A10", "View Source Row")</f>
        <v/>
      </c>
    </row>
    <row r="13">
      <c r="A13" s="14" t="n">
        <v>11</v>
      </c>
      <c r="B13" s="14" t="inlineStr">
        <is>
          <t>273.pdf</t>
        </is>
      </c>
      <c r="C13" s="44" t="n">
        <v>46113</v>
      </c>
      <c r="D13" s="44" t="n">
        <v>46142</v>
      </c>
      <c r="E13" s="44" t="n">
        <v>46116</v>
      </c>
      <c r="F13" s="44" t="n">
        <v>46116</v>
      </c>
      <c r="G13" s="16" t="inlineStr">
        <is>
          <t>EBANK:WIB/1502 EBANK:WIB/1502423934/Edfs</t>
        </is>
      </c>
      <c r="H13" s="14" t="str"/>
      <c r="I13" s="14" t="inlineStr">
        <is>
          <t>Receipt</t>
        </is>
      </c>
      <c r="J13" s="43" t="n">
        <v>0</v>
      </c>
      <c r="K13" s="43" t="n">
        <v>240091</v>
      </c>
      <c r="L13" s="43" t="n">
        <v>240091</v>
      </c>
      <c r="M13" s="43" t="n">
        <v>-8174971.7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4" t="n">
        <v>46116</v>
      </c>
      <c r="AB13" s="46">
        <f>HYPERLINK("#'Transactions'!A12", "View Source Row")</f>
        <v/>
      </c>
    </row>
    <row r="14">
      <c r="A14" s="14" t="n">
        <v>12</v>
      </c>
      <c r="B14" s="14" t="inlineStr">
        <is>
          <t>273.pdf</t>
        </is>
      </c>
      <c r="C14" s="44" t="n">
        <v>46113</v>
      </c>
      <c r="D14" s="44" t="n">
        <v>46142</v>
      </c>
      <c r="E14" s="44" t="n">
        <v>46116</v>
      </c>
      <c r="F14" s="44" t="n">
        <v>46116</v>
      </c>
      <c r="G14" s="16" t="inlineStr">
        <is>
          <t>BY CASH BY CASH</t>
        </is>
      </c>
      <c r="H14" s="14" t="str"/>
      <c r="I14" s="14" t="inlineStr">
        <is>
          <t>Receipt</t>
        </is>
      </c>
      <c r="J14" s="43" t="n">
        <v>0</v>
      </c>
      <c r="K14" s="43" t="n">
        <v>423500</v>
      </c>
      <c r="L14" s="43" t="n">
        <v>423500</v>
      </c>
      <c r="M14" s="43" t="n">
        <v>-7751471.7</v>
      </c>
      <c r="N14" s="14" t="inlineStr">
        <is>
          <t>Cash; High Transaction; Recurring Transaction</t>
        </is>
      </c>
      <c r="O14" s="14" t="inlineStr">
        <is>
          <t>Yes</t>
        </is>
      </c>
      <c r="P14" s="14" t="inlineStr">
        <is>
          <t>BY CASH BY CASH</t>
        </is>
      </c>
      <c r="Q14" s="14" t="n">
        <v>1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4" t="n">
        <v>46116</v>
      </c>
      <c r="AB14" s="46">
        <f>HYPERLINK("#'Transactions'!A13", "View Source Row")</f>
        <v/>
      </c>
    </row>
    <row r="15">
      <c r="A15" s="14" t="n">
        <v>13</v>
      </c>
      <c r="B15" s="14" t="inlineStr">
        <is>
          <t>273.pdf</t>
        </is>
      </c>
      <c r="C15" s="44" t="n">
        <v>46113</v>
      </c>
      <c r="D15" s="44" t="n">
        <v>46142</v>
      </c>
      <c r="E15" s="44" t="n">
        <v>46116</v>
      </c>
      <c r="F15" s="44" t="n">
        <v>46116</v>
      </c>
      <c r="G15" s="16" t="inlineStr">
        <is>
          <t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5" s="14" t="str"/>
      <c r="I15" s="14" t="inlineStr">
        <is>
          <t>Receipt</t>
        </is>
      </c>
      <c r="J15" s="43" t="n">
        <v>0</v>
      </c>
      <c r="K15" s="43" t="n">
        <v>120330.37</v>
      </c>
      <c r="L15" s="43" t="n">
        <v>120330.37</v>
      </c>
      <c r="M15" s="43" t="n">
        <v>-7631141.33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EBANKWIB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4" t="n">
        <v>46116</v>
      </c>
      <c r="AB15" s="46">
        <f>HYPERLINK("#'Transactions'!A14", "View Source Row")</f>
        <v/>
      </c>
    </row>
    <row r="16">
      <c r="A16" s="14" t="n">
        <v>14</v>
      </c>
      <c r="B16" s="14" t="inlineStr">
        <is>
          <t>273.pdf</t>
        </is>
      </c>
      <c r="C16" s="44" t="n">
        <v>46113</v>
      </c>
      <c r="D16" s="44" t="n">
        <v>46142</v>
      </c>
      <c r="E16" s="44" t="n">
        <v>46116</v>
      </c>
      <c r="F16" s="44" t="n">
        <v>46116</v>
      </c>
      <c r="G16" s="16" t="inlineStr">
        <is>
          <t>RTGS-BARBR5202 RTGS-BARBR52026040400789528-HINDUSTAN PETROLEUM CO</t>
        </is>
      </c>
      <c r="H16" s="14" t="str"/>
      <c r="I16" s="14" t="inlineStr">
        <is>
          <t>Payment</t>
        </is>
      </c>
      <c r="J16" s="43" t="n">
        <v>1854884.36</v>
      </c>
      <c r="K16" s="43" t="n">
        <v>0</v>
      </c>
      <c r="L16" s="43" t="n">
        <v>1854884.36</v>
      </c>
      <c r="M16" s="43" t="n">
        <v>-9486025.689999999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BARBR RTGS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4" t="n">
        <v>46116</v>
      </c>
      <c r="AB16" s="46">
        <f>HYPERLINK("#'Transactions'!A15", "View Source Row")</f>
        <v/>
      </c>
    </row>
    <row r="17">
      <c r="A17" s="14" t="n">
        <v>15</v>
      </c>
      <c r="B17" s="14" t="inlineStr">
        <is>
          <t>273.pdf</t>
        </is>
      </c>
      <c r="C17" s="44" t="n">
        <v>46113</v>
      </c>
      <c r="D17" s="44" t="n">
        <v>46142</v>
      </c>
      <c r="E17" s="44" t="n">
        <v>46117</v>
      </c>
      <c r="F17" s="44" t="n">
        <v>46117</v>
      </c>
      <c r="G17" s="16" t="inlineStr">
        <is>
          <t>EBANK:WIB/1502 EBANK:WIB/1502577386/Edfs</t>
        </is>
      </c>
      <c r="H17" s="14" t="str"/>
      <c r="I17" s="14" t="inlineStr">
        <is>
          <t>Receipt</t>
        </is>
      </c>
      <c r="J17" s="43" t="n">
        <v>0</v>
      </c>
      <c r="K17" s="43" t="n">
        <v>300403.36</v>
      </c>
      <c r="L17" s="43" t="n">
        <v>300403.36</v>
      </c>
      <c r="M17" s="43" t="n">
        <v>-9185622.33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EBANKWIB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4" t="n">
        <v>46117</v>
      </c>
      <c r="AB17" s="46">
        <f>HYPERLINK("#'Transactions'!A16", "View Source Row")</f>
        <v/>
      </c>
    </row>
    <row r="18">
      <c r="A18" s="14" t="n">
        <v>16</v>
      </c>
      <c r="B18" s="14" t="inlineStr">
        <is>
          <t>273.pdf</t>
        </is>
      </c>
      <c r="C18" s="44" t="n">
        <v>46113</v>
      </c>
      <c r="D18" s="44" t="n">
        <v>46142</v>
      </c>
      <c r="E18" s="44" t="n">
        <v>46118</v>
      </c>
      <c r="F18" s="44" t="n">
        <v>46118</v>
      </c>
      <c r="G18" s="16" t="inlineStr">
        <is>
          <t>EBANK:WIB/1502 https://cbdrpt101.bankofbaroda.co.in:22000/finbranch/arjspmorph/INFENG/tran_rpt.jsp?... 04-05-2026 EBANK:WIB/1502642025/Edfs</t>
        </is>
      </c>
      <c r="H18" s="14" t="str"/>
      <c r="I18" s="14" t="inlineStr">
        <is>
          <t>Receipt</t>
        </is>
      </c>
      <c r="J18" s="43" t="n">
        <v>0</v>
      </c>
      <c r="K18" s="43" t="n">
        <v>365780.21</v>
      </c>
      <c r="L18" s="43" t="n">
        <v>365780.21</v>
      </c>
      <c r="M18" s="43" t="n">
        <v>-8819842.119999999</v>
      </c>
      <c r="N18" s="14" t="inlineStr">
        <is>
          <t>High Transaction; Recurring Transaction</t>
        </is>
      </c>
      <c r="O18" s="14" t="inlineStr">
        <is>
          <t>Yes</t>
        </is>
      </c>
      <c r="P18" s="14" t="inlineStr">
        <is>
          <t>EBANKWIB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4" t="n">
        <v>46118</v>
      </c>
      <c r="AB18" s="46">
        <f>HYPERLINK("#'Transactions'!A17", "View Source Row")</f>
        <v/>
      </c>
    </row>
    <row r="19">
      <c r="A19" s="14" t="n">
        <v>17</v>
      </c>
      <c r="B19" s="14" t="inlineStr">
        <is>
          <t>273.pdf</t>
        </is>
      </c>
      <c r="C19" s="44" t="n">
        <v>46113</v>
      </c>
      <c r="D19" s="44" t="n">
        <v>46142</v>
      </c>
      <c r="E19" s="44" t="n">
        <v>46118</v>
      </c>
      <c r="F19" s="44" t="n">
        <v>46118</v>
      </c>
      <c r="G19" s="16" t="inlineStr">
        <is>
          <t>BY CASH BY CASH</t>
        </is>
      </c>
      <c r="H19" s="14" t="str"/>
      <c r="I19" s="14" t="inlineStr">
        <is>
          <t>Receipt</t>
        </is>
      </c>
      <c r="J19" s="43" t="n">
        <v>0</v>
      </c>
      <c r="K19" s="43" t="n">
        <v>273000</v>
      </c>
      <c r="L19" s="43" t="n">
        <v>273000</v>
      </c>
      <c r="M19" s="43" t="n">
        <v>-8546842.119999999</v>
      </c>
      <c r="N19" s="14" t="inlineStr">
        <is>
          <t>Cash; High Transaction; Recurring Transaction</t>
        </is>
      </c>
      <c r="O19" s="14" t="inlineStr">
        <is>
          <t>Yes</t>
        </is>
      </c>
      <c r="P19" s="14" t="inlineStr">
        <is>
          <t>BY CASH BY CASH</t>
        </is>
      </c>
      <c r="Q19" s="14" t="n">
        <v>1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4" t="n">
        <v>46118</v>
      </c>
      <c r="AB19" s="46">
        <f>HYPERLINK("#'Transactions'!A18", "View Source Row")</f>
        <v/>
      </c>
    </row>
    <row r="20">
      <c r="A20" s="14" t="n">
        <v>18</v>
      </c>
      <c r="B20" s="14" t="inlineStr">
        <is>
          <t>273.pdf</t>
        </is>
      </c>
      <c r="C20" s="44" t="n">
        <v>46113</v>
      </c>
      <c r="D20" s="44" t="n">
        <v>46142</v>
      </c>
      <c r="E20" s="44" t="n">
        <v>46118</v>
      </c>
      <c r="F20" s="44" t="n">
        <v>46118</v>
      </c>
      <c r="G20" s="16" t="inlineStr">
        <is>
          <t>EBANK:WIB/1502 EBANK:WIB/1502790855/Edfs</t>
        </is>
      </c>
      <c r="H20" s="14" t="str"/>
      <c r="I20" s="14" t="inlineStr">
        <is>
          <t>Receipt</t>
        </is>
      </c>
      <c r="J20" s="43" t="n">
        <v>0</v>
      </c>
      <c r="K20" s="43" t="n">
        <v>198114</v>
      </c>
      <c r="L20" s="43" t="n">
        <v>198114</v>
      </c>
      <c r="M20" s="43" t="n">
        <v>-8348728.12</v>
      </c>
      <c r="N20" s="14" t="inlineStr">
        <is>
          <t>High Transaction; Recurring Transaction</t>
        </is>
      </c>
      <c r="O20" s="14" t="inlineStr">
        <is>
          <t>Yes</t>
        </is>
      </c>
      <c r="P20" s="14" t="inlineStr">
        <is>
          <t>EBANKWIB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4" t="n">
        <v>46118</v>
      </c>
      <c r="AB20" s="46">
        <f>HYPERLINK("#'Transactions'!A19", "View Source Row")</f>
        <v/>
      </c>
    </row>
    <row r="21">
      <c r="A21" s="14" t="n">
        <v>20</v>
      </c>
      <c r="B21" s="14" t="inlineStr">
        <is>
          <t>273.pdf</t>
        </is>
      </c>
      <c r="C21" s="44" t="n">
        <v>46113</v>
      </c>
      <c r="D21" s="44" t="n">
        <v>46142</v>
      </c>
      <c r="E21" s="44" t="n">
        <v>46119</v>
      </c>
      <c r="F21" s="44" t="n">
        <v>46119</v>
      </c>
      <c r="G21" s="16" t="inlineStr">
        <is>
          <t>EBANK:WIB/1502 EBANK:WIB/1502821939/Edfs</t>
        </is>
      </c>
      <c r="H21" s="14" t="str"/>
      <c r="I21" s="14" t="inlineStr">
        <is>
          <t>Receipt</t>
        </is>
      </c>
      <c r="J21" s="43" t="n">
        <v>0</v>
      </c>
      <c r="K21" s="43" t="n">
        <v>330493.07</v>
      </c>
      <c r="L21" s="43" t="n">
        <v>330493.07</v>
      </c>
      <c r="M21" s="43" t="n">
        <v>-8023967.45</v>
      </c>
      <c r="N21" s="14" t="inlineStr">
        <is>
          <t>High Transaction; Recurring Transaction</t>
        </is>
      </c>
      <c r="O21" s="14" t="inlineStr">
        <is>
          <t>Yes</t>
        </is>
      </c>
      <c r="P21" s="14" t="inlineStr">
        <is>
          <t>EBANKWIB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4" t="n">
        <v>46119</v>
      </c>
      <c r="AB21" s="46">
        <f>HYPERLINK("#'Transactions'!A21", "View Source Row")</f>
        <v/>
      </c>
    </row>
    <row r="22">
      <c r="A22" s="14" t="n">
        <v>21</v>
      </c>
      <c r="B22" s="14" t="inlineStr">
        <is>
          <t>273.pdf</t>
        </is>
      </c>
      <c r="C22" s="44" t="n">
        <v>46113</v>
      </c>
      <c r="D22" s="44" t="n">
        <v>46142</v>
      </c>
      <c r="E22" s="44" t="n">
        <v>46119</v>
      </c>
      <c r="F22" s="44" t="n">
        <v>46119</v>
      </c>
      <c r="G22" s="16" t="inlineStr">
        <is>
          <t>EBANK:WIB/1502 EBANK:WIB/1502986421/Edfs</t>
        </is>
      </c>
      <c r="H22" s="14" t="str"/>
      <c r="I22" s="14" t="inlineStr">
        <is>
          <t>Receipt</t>
        </is>
      </c>
      <c r="J22" s="43" t="n">
        <v>0</v>
      </c>
      <c r="K22" s="43" t="n">
        <v>137582.35</v>
      </c>
      <c r="L22" s="43" t="n">
        <v>137582.35</v>
      </c>
      <c r="M22" s="43" t="n">
        <v>-7886385.1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EBANKWIB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4" t="n">
        <v>46119</v>
      </c>
      <c r="AB22" s="46">
        <f>HYPERLINK("#'Transactions'!A22", "View Source Row")</f>
        <v/>
      </c>
    </row>
    <row r="23">
      <c r="A23" s="14" t="n">
        <v>22</v>
      </c>
      <c r="B23" s="14" t="inlineStr">
        <is>
          <t>273.pdf</t>
        </is>
      </c>
      <c r="C23" s="44" t="n">
        <v>46113</v>
      </c>
      <c r="D23" s="44" t="n">
        <v>46142</v>
      </c>
      <c r="E23" s="44" t="n">
        <v>46119</v>
      </c>
      <c r="F23" s="44" t="n">
        <v>46119</v>
      </c>
      <c r="G23" s="16" t="inlineStr">
        <is>
          <t>RTGS-BARBR5202 RTGS-BARBR52026040700945156-HINDUSTAN PETROLEUM CO</t>
        </is>
      </c>
      <c r="H23" s="14" t="str"/>
      <c r="I23" s="14" t="inlineStr">
        <is>
          <t>Payment</t>
        </is>
      </c>
      <c r="J23" s="43" t="n">
        <v>1902609.28</v>
      </c>
      <c r="K23" s="43" t="n">
        <v>0</v>
      </c>
      <c r="L23" s="43" t="n">
        <v>1902609.28</v>
      </c>
      <c r="M23" s="43" t="n">
        <v>-9788994.380000001</v>
      </c>
      <c r="N23" s="14" t="inlineStr">
        <is>
          <t>High Transaction; Recurring Transaction</t>
        </is>
      </c>
      <c r="O23" s="14" t="inlineStr">
        <is>
          <t>Yes</t>
        </is>
      </c>
      <c r="P23" s="14" t="inlineStr">
        <is>
          <t>BARBR RTGS</t>
        </is>
      </c>
      <c r="Q23" s="14" t="n">
        <v>0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4" t="n">
        <v>46119</v>
      </c>
      <c r="AB23" s="46">
        <f>HYPERLINK("#'Transactions'!A23", "View Source Row")</f>
        <v/>
      </c>
    </row>
    <row r="24">
      <c r="A24" s="14" t="n">
        <v>23</v>
      </c>
      <c r="B24" s="14" t="inlineStr">
        <is>
          <t>273.pdf</t>
        </is>
      </c>
      <c r="C24" s="44" t="n">
        <v>46113</v>
      </c>
      <c r="D24" s="44" t="n">
        <v>46142</v>
      </c>
      <c r="E24" s="44" t="n">
        <v>46120</v>
      </c>
      <c r="F24" s="44" t="n">
        <v>46120</v>
      </c>
      <c r="G24" s="16" t="inlineStr">
        <is>
          <t>EBANK:WIB/1503 EBANK:WIB/1503050809/Edfs</t>
        </is>
      </c>
      <c r="H24" s="14" t="str"/>
      <c r="I24" s="14" t="inlineStr">
        <is>
          <t>Receipt</t>
        </is>
      </c>
      <c r="J24" s="43" t="n">
        <v>0</v>
      </c>
      <c r="K24" s="43" t="n">
        <v>381113</v>
      </c>
      <c r="L24" s="43" t="n">
        <v>381113</v>
      </c>
      <c r="M24" s="43" t="n">
        <v>-9407881.380000001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4" t="n">
        <v>46120</v>
      </c>
      <c r="AB24" s="46">
        <f>HYPERLINK("#'Transactions'!A24", "View Source Row")</f>
        <v/>
      </c>
    </row>
    <row r="25">
      <c r="A25" s="14" t="n">
        <v>24</v>
      </c>
      <c r="B25" s="14" t="inlineStr">
        <is>
          <t>273.pdf</t>
        </is>
      </c>
      <c r="C25" s="44" t="n">
        <v>46113</v>
      </c>
      <c r="D25" s="44" t="n">
        <v>46142</v>
      </c>
      <c r="E25" s="44" t="n">
        <v>46120</v>
      </c>
      <c r="F25" s="44" t="n">
        <v>46120</v>
      </c>
      <c r="G25" s="16" t="inlineStr">
        <is>
          <t>BY CASH BY CASH</t>
        </is>
      </c>
      <c r="H25" s="14" t="str"/>
      <c r="I25" s="14" t="inlineStr">
        <is>
          <t>Receipt</t>
        </is>
      </c>
      <c r="J25" s="43" t="n">
        <v>0</v>
      </c>
      <c r="K25" s="43" t="n">
        <v>115000</v>
      </c>
      <c r="L25" s="43" t="n">
        <v>115000</v>
      </c>
      <c r="M25" s="43" t="n">
        <v>-9292881.380000001</v>
      </c>
      <c r="N25" s="14" t="inlineStr">
        <is>
          <t>Cash; High Transaction; Recurring Transaction</t>
        </is>
      </c>
      <c r="O25" s="14" t="inlineStr">
        <is>
          <t>Yes</t>
        </is>
      </c>
      <c r="P25" s="14" t="inlineStr">
        <is>
          <t>BY CASH BY CASH</t>
        </is>
      </c>
      <c r="Q25" s="14" t="n">
        <v>1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4" t="n">
        <v>46120</v>
      </c>
      <c r="AB25" s="46">
        <f>HYPERLINK("#'Transactions'!A25", "View Source Row")</f>
        <v/>
      </c>
    </row>
    <row r="26">
      <c r="A26" s="14" t="n">
        <v>25</v>
      </c>
      <c r="B26" s="14" t="inlineStr">
        <is>
          <t>273.pdf</t>
        </is>
      </c>
      <c r="C26" s="44" t="n">
        <v>46113</v>
      </c>
      <c r="D26" s="44" t="n">
        <v>46142</v>
      </c>
      <c r="E26" s="44" t="n">
        <v>46120</v>
      </c>
      <c r="F26" s="44" t="n">
        <v>46120</v>
      </c>
      <c r="G26" s="16" t="inlineStr">
        <is>
          <t>EBANK:WIB/1503 EBANK:WIB/1503170712/Edfs</t>
        </is>
      </c>
      <c r="H26" s="14" t="str"/>
      <c r="I26" s="14" t="inlineStr">
        <is>
          <t>Receipt</t>
        </is>
      </c>
      <c r="J26" s="43" t="n">
        <v>0</v>
      </c>
      <c r="K26" s="43" t="n">
        <v>108620</v>
      </c>
      <c r="L26" s="43" t="n">
        <v>108620</v>
      </c>
      <c r="M26" s="43" t="n">
        <v>-9184261.380000001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EBANKWIB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4" t="n">
        <v>46120</v>
      </c>
      <c r="AB26" s="46">
        <f>HYPERLINK("#'Transactions'!A26", "View Source Row")</f>
        <v/>
      </c>
    </row>
    <row r="27">
      <c r="A27" s="14" t="n">
        <v>26</v>
      </c>
      <c r="B27" s="14" t="inlineStr">
        <is>
          <t>273.pdf</t>
        </is>
      </c>
      <c r="C27" s="44" t="n">
        <v>46113</v>
      </c>
      <c r="D27" s="44" t="n">
        <v>46142</v>
      </c>
      <c r="E27" s="44" t="n">
        <v>46121</v>
      </c>
      <c r="F27" s="44" t="n">
        <v>46121</v>
      </c>
      <c r="G27" s="16" t="inlineStr">
        <is>
          <t>0000-MUMBAI/IN INT260325DEAL6242558</t>
        </is>
      </c>
      <c r="H27" s="14" t="str"/>
      <c r="I27" s="14" t="inlineStr">
        <is>
          <t>Payment</t>
        </is>
      </c>
      <c r="J27" s="43" t="n">
        <v>5694.93</v>
      </c>
      <c r="K27" s="43" t="n">
        <v>0</v>
      </c>
      <c r="L27" s="43" t="n">
        <v>5694.93</v>
      </c>
      <c r="M27" s="43" t="n">
        <v>-9189956.310000001</v>
      </c>
      <c r="N27" s="14" t="inlineStr">
        <is>
          <t>Recurring Transaction</t>
        </is>
      </c>
      <c r="O27" s="14" t="inlineStr">
        <is>
          <t>Yes</t>
        </is>
      </c>
      <c r="P27" s="14" t="inlineStr">
        <is>
          <t>IN INTDEAL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4" t="n">
        <v>46121</v>
      </c>
      <c r="AB27" s="46">
        <f>HYPERLINK("#'Transactions'!A27", "View Source Row")</f>
        <v/>
      </c>
    </row>
    <row r="28">
      <c r="A28" s="14" t="n">
        <v>27</v>
      </c>
      <c r="B28" s="14" t="inlineStr">
        <is>
          <t>273.pdf</t>
        </is>
      </c>
      <c r="C28" s="44" t="n">
        <v>46113</v>
      </c>
      <c r="D28" s="44" t="n">
        <v>46142</v>
      </c>
      <c r="E28" s="44" t="n">
        <v>46121</v>
      </c>
      <c r="F28" s="44" t="n">
        <v>46121</v>
      </c>
      <c r="G28" s="16" t="inlineStr">
        <is>
          <t>0000-MUMBAI/IN INT260325DEAL6242558</t>
        </is>
      </c>
      <c r="H28" s="14" t="str"/>
      <c r="I28" s="14" t="inlineStr">
        <is>
          <t>Receipt</t>
        </is>
      </c>
      <c r="J28" s="43" t="n">
        <v>0</v>
      </c>
      <c r="K28" s="43" t="n">
        <v>25.59</v>
      </c>
      <c r="L28" s="43" t="n">
        <v>25.59</v>
      </c>
      <c r="M28" s="43" t="n">
        <v>-9189930.720000001</v>
      </c>
      <c r="N28" s="14" t="inlineStr">
        <is>
          <t>Recurring Transaction</t>
        </is>
      </c>
      <c r="O28" s="14" t="inlineStr">
        <is>
          <t>Yes</t>
        </is>
      </c>
      <c r="P28" s="14" t="inlineStr">
        <is>
          <t>IN INTDEAL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0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4" t="n">
        <v>46121</v>
      </c>
      <c r="AB28" s="46">
        <f>HYPERLINK("#'Transactions'!A28", "View Source Row")</f>
        <v/>
      </c>
    </row>
    <row r="29">
      <c r="A29" s="14" t="n">
        <v>28</v>
      </c>
      <c r="B29" s="14" t="inlineStr">
        <is>
          <t>273.pdf</t>
        </is>
      </c>
      <c r="C29" s="44" t="n">
        <v>46113</v>
      </c>
      <c r="D29" s="44" t="n">
        <v>46142</v>
      </c>
      <c r="E29" s="44" t="n">
        <v>46121</v>
      </c>
      <c r="F29" s="44" t="n">
        <v>46121</v>
      </c>
      <c r="G29" s="16" t="inlineStr">
        <is>
          <t>BY CASH BY CASH</t>
        </is>
      </c>
      <c r="H29" s="14" t="str"/>
      <c r="I29" s="14" t="inlineStr">
        <is>
          <t>Receipt</t>
        </is>
      </c>
      <c r="J29" s="43" t="n">
        <v>0</v>
      </c>
      <c r="K29" s="43" t="n">
        <v>180000</v>
      </c>
      <c r="L29" s="43" t="n">
        <v>180000</v>
      </c>
      <c r="M29" s="43" t="n">
        <v>-9009930.720000001</v>
      </c>
      <c r="N29" s="14" t="inlineStr">
        <is>
          <t>Cash; High Transaction; Recurring Transaction</t>
        </is>
      </c>
      <c r="O29" s="14" t="inlineStr">
        <is>
          <t>Yes</t>
        </is>
      </c>
      <c r="P29" s="14" t="inlineStr">
        <is>
          <t>BY CASH BY CASH</t>
        </is>
      </c>
      <c r="Q29" s="14" t="n">
        <v>1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4" t="n">
        <v>46121</v>
      </c>
      <c r="AB29" s="46">
        <f>HYPERLINK("#'Transactions'!A29", "View Source Row")</f>
        <v/>
      </c>
    </row>
    <row r="30">
      <c r="A30" s="14" t="n">
        <v>29</v>
      </c>
      <c r="B30" s="14" t="inlineStr">
        <is>
          <t>273.pdf</t>
        </is>
      </c>
      <c r="C30" s="44" t="n">
        <v>46113</v>
      </c>
      <c r="D30" s="44" t="n">
        <v>46142</v>
      </c>
      <c r="E30" s="44" t="n">
        <v>46121</v>
      </c>
      <c r="F30" s="44" t="n">
        <v>46121</v>
      </c>
      <c r="G30" s="16" t="inlineStr">
        <is>
          <t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30" s="14" t="str"/>
      <c r="I30" s="14" t="inlineStr">
        <is>
          <t>Receipt</t>
        </is>
      </c>
      <c r="J30" s="43" t="n">
        <v>0</v>
      </c>
      <c r="K30" s="43" t="n">
        <v>380118</v>
      </c>
      <c r="L30" s="43" t="n">
        <v>380118</v>
      </c>
      <c r="M30" s="43" t="n">
        <v>-8629812.720000001</v>
      </c>
      <c r="N30" s="14" t="inlineStr">
        <is>
          <t>High Transaction; Recurring Transaction</t>
        </is>
      </c>
      <c r="O30" s="14" t="inlineStr">
        <is>
          <t>Yes</t>
        </is>
      </c>
      <c r="P30" s="14" t="inlineStr">
        <is>
          <t>EBANKWIB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4" t="n">
        <v>46121</v>
      </c>
      <c r="AB30" s="46">
        <f>HYPERLINK("#'Transactions'!A30", "View Source Row")</f>
        <v/>
      </c>
    </row>
    <row r="31">
      <c r="A31" s="14" t="n">
        <v>30</v>
      </c>
      <c r="B31" s="14" t="inlineStr">
        <is>
          <t>273.pdf</t>
        </is>
      </c>
      <c r="C31" s="44" t="n">
        <v>46113</v>
      </c>
      <c r="D31" s="44" t="n">
        <v>46142</v>
      </c>
      <c r="E31" s="44" t="n">
        <v>46122</v>
      </c>
      <c r="F31" s="44" t="n">
        <v>46122</v>
      </c>
      <c r="G31" s="16" t="inlineStr">
        <is>
          <t>EBANK:WIB/1503 EBANK:WIB/1503339201/Edfs</t>
        </is>
      </c>
      <c r="H31" s="14" t="str"/>
      <c r="I31" s="14" t="inlineStr">
        <is>
          <t>Receipt</t>
        </is>
      </c>
      <c r="J31" s="43" t="n">
        <v>0</v>
      </c>
      <c r="K31" s="43" t="n">
        <v>432999</v>
      </c>
      <c r="L31" s="43" t="n">
        <v>432999</v>
      </c>
      <c r="M31" s="43" t="n">
        <v>-8196813.72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4" t="n">
        <v>46122</v>
      </c>
      <c r="AB31" s="46">
        <f>HYPERLINK("#'Transactions'!A31", "View Source Row")</f>
        <v/>
      </c>
    </row>
    <row r="32">
      <c r="A32" s="14" t="n">
        <v>31</v>
      </c>
      <c r="B32" s="14" t="inlineStr">
        <is>
          <t>273.pdf</t>
        </is>
      </c>
      <c r="C32" s="44" t="n">
        <v>46113</v>
      </c>
      <c r="D32" s="44" t="n">
        <v>46142</v>
      </c>
      <c r="E32" s="44" t="n">
        <v>46122</v>
      </c>
      <c r="F32" s="44" t="n">
        <v>46122</v>
      </c>
      <c r="G32" s="16" t="inlineStr">
        <is>
          <t>0000-MUMBAI/IN INT260326DEAL6244623</t>
        </is>
      </c>
      <c r="H32" s="14" t="str"/>
      <c r="I32" s="14" t="inlineStr">
        <is>
          <t>Payment</t>
        </is>
      </c>
      <c r="J32" s="43" t="n">
        <v>1193.25</v>
      </c>
      <c r="K32" s="43" t="n">
        <v>0</v>
      </c>
      <c r="L32" s="43" t="n">
        <v>1193.25</v>
      </c>
      <c r="M32" s="43" t="n">
        <v>-8198006.97</v>
      </c>
      <c r="N32" s="14" t="inlineStr">
        <is>
          <t>Recurring Transaction</t>
        </is>
      </c>
      <c r="O32" s="14" t="inlineStr">
        <is>
          <t>Yes</t>
        </is>
      </c>
      <c r="P32" s="14" t="inlineStr">
        <is>
          <t>IN INTDEAL</t>
        </is>
      </c>
      <c r="Q32" s="14" t="n">
        <v>0</v>
      </c>
      <c r="R32" s="14" t="n">
        <v>1</v>
      </c>
      <c r="S32" s="14" t="n">
        <v>0</v>
      </c>
      <c r="T32" s="14" t="n">
        <v>0</v>
      </c>
      <c r="U32" s="14" t="n">
        <v>0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4" t="n">
        <v>46122</v>
      </c>
      <c r="AB32" s="46">
        <f>HYPERLINK("#'Transactions'!A32", "View Source Row")</f>
        <v/>
      </c>
    </row>
    <row r="33">
      <c r="A33" s="14" t="n">
        <v>32</v>
      </c>
      <c r="B33" s="14" t="inlineStr">
        <is>
          <t>273.pdf</t>
        </is>
      </c>
      <c r="C33" s="44" t="n">
        <v>46113</v>
      </c>
      <c r="D33" s="44" t="n">
        <v>46142</v>
      </c>
      <c r="E33" s="44" t="n">
        <v>46122</v>
      </c>
      <c r="F33" s="44" t="n">
        <v>46122</v>
      </c>
      <c r="G33" s="16" t="inlineStr">
        <is>
          <t>RTGS-BARBR5202 RTGS-BARBR52026041000833640-HINDUSTAN PETROLEUM CO</t>
        </is>
      </c>
      <c r="H33" s="14" t="str"/>
      <c r="I33" s="14" t="inlineStr">
        <is>
          <t>Payment</t>
        </is>
      </c>
      <c r="J33" s="43" t="n">
        <v>1801993</v>
      </c>
      <c r="K33" s="43" t="n">
        <v>0</v>
      </c>
      <c r="L33" s="43" t="n">
        <v>1801993</v>
      </c>
      <c r="M33" s="43" t="n">
        <v>-9999999.970000001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BARBR RTGS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4" t="n">
        <v>46122</v>
      </c>
      <c r="AB33" s="46">
        <f>HYPERLINK("#'Transactions'!A33", "View Source Row")</f>
        <v/>
      </c>
    </row>
    <row r="34">
      <c r="A34" s="14" t="n">
        <v>33</v>
      </c>
      <c r="B34" s="14" t="inlineStr">
        <is>
          <t>273.pdf</t>
        </is>
      </c>
      <c r="C34" s="44" t="n">
        <v>46113</v>
      </c>
      <c r="D34" s="44" t="n">
        <v>46142</v>
      </c>
      <c r="E34" s="44" t="n">
        <v>46122</v>
      </c>
      <c r="F34" s="44" t="n">
        <v>46122</v>
      </c>
      <c r="G34" s="16" t="inlineStr">
        <is>
          <t>EBANK:WIB/1503 EBANK:WIB/1503385381/Edfs</t>
        </is>
      </c>
      <c r="H34" s="14" t="str"/>
      <c r="I34" s="14" t="inlineStr">
        <is>
          <t>Receipt</t>
        </is>
      </c>
      <c r="J34" s="43" t="n">
        <v>0</v>
      </c>
      <c r="K34" s="43" t="n">
        <v>49686</v>
      </c>
      <c r="L34" s="43" t="n">
        <v>49686</v>
      </c>
      <c r="M34" s="43" t="n">
        <v>-9950313.970000001</v>
      </c>
      <c r="N34" s="14" t="inlineStr">
        <is>
          <t>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4" t="n">
        <v>46122</v>
      </c>
      <c r="AB34" s="46">
        <f>HYPERLINK("#'Transactions'!A34", "View Source Row")</f>
        <v/>
      </c>
    </row>
    <row r="35">
      <c r="A35" s="14" t="n">
        <v>34</v>
      </c>
      <c r="B35" s="14" t="inlineStr">
        <is>
          <t>273.pdf</t>
        </is>
      </c>
      <c r="C35" s="44" t="n">
        <v>46113</v>
      </c>
      <c r="D35" s="44" t="n">
        <v>46142</v>
      </c>
      <c r="E35" s="44" t="n">
        <v>46122</v>
      </c>
      <c r="F35" s="44" t="n">
        <v>46122</v>
      </c>
      <c r="G35" s="16" t="inlineStr">
        <is>
          <t>BY CASH BY CASH</t>
        </is>
      </c>
      <c r="H35" s="14" t="str"/>
      <c r="I35" s="14" t="inlineStr">
        <is>
          <t>Receipt</t>
        </is>
      </c>
      <c r="J35" s="43" t="n">
        <v>0</v>
      </c>
      <c r="K35" s="43" t="n">
        <v>171000</v>
      </c>
      <c r="L35" s="43" t="n">
        <v>171000</v>
      </c>
      <c r="M35" s="43" t="n">
        <v>-9779313.970000001</v>
      </c>
      <c r="N35" s="14" t="inlineStr">
        <is>
          <t>Cash; High Transaction; Recurring Transaction</t>
        </is>
      </c>
      <c r="O35" s="14" t="inlineStr">
        <is>
          <t>Yes</t>
        </is>
      </c>
      <c r="P35" s="14" t="inlineStr">
        <is>
          <t>BY CASH BY CASH</t>
        </is>
      </c>
      <c r="Q35" s="14" t="n">
        <v>1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4" t="n">
        <v>46122</v>
      </c>
      <c r="AB35" s="46">
        <f>HYPERLINK("#'Transactions'!A35", "View Source Row")</f>
        <v/>
      </c>
    </row>
    <row r="36">
      <c r="A36" s="14" t="n">
        <v>35</v>
      </c>
      <c r="B36" s="14" t="inlineStr">
        <is>
          <t>273.pdf</t>
        </is>
      </c>
      <c r="C36" s="44" t="n">
        <v>46113</v>
      </c>
      <c r="D36" s="44" t="n">
        <v>46142</v>
      </c>
      <c r="E36" s="44" t="n">
        <v>46122</v>
      </c>
      <c r="F36" s="44" t="n">
        <v>46122</v>
      </c>
      <c r="G36" s="16" t="inlineStr">
        <is>
          <t>NEFT-BARBQ2610 NEFT-BARBQ26100745025-HINDUSTAN PETROLEUM CORPORAT</t>
        </is>
      </c>
      <c r="H36" s="14" t="str"/>
      <c r="I36" s="14" t="inlineStr">
        <is>
          <t>Payment</t>
        </is>
      </c>
      <c r="J36" s="43" t="n">
        <v>20471.76</v>
      </c>
      <c r="K36" s="43" t="n">
        <v>0</v>
      </c>
      <c r="L36" s="43" t="n">
        <v>20471.76</v>
      </c>
      <c r="M36" s="43" t="n">
        <v>-9799785.73</v>
      </c>
      <c r="N36" s="14" t="inlineStr">
        <is>
          <t>Recurring Transaction</t>
        </is>
      </c>
      <c r="O36" s="14" t="inlineStr">
        <is>
          <t>Yes</t>
        </is>
      </c>
      <c r="P36" s="14" t="inlineStr">
        <is>
          <t>BARBQ NEFT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0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4" t="n">
        <v>46122</v>
      </c>
      <c r="AB36" s="46">
        <f>HYPERLINK("#'Transactions'!A36", "View Source Row")</f>
        <v/>
      </c>
    </row>
    <row r="37">
      <c r="A37" s="14" t="n">
        <v>36</v>
      </c>
      <c r="B37" s="14" t="inlineStr">
        <is>
          <t>273.pdf</t>
        </is>
      </c>
      <c r="C37" s="44" t="n">
        <v>46113</v>
      </c>
      <c r="D37" s="44" t="n">
        <v>46142</v>
      </c>
      <c r="E37" s="44" t="n">
        <v>46123</v>
      </c>
      <c r="F37" s="44" t="n">
        <v>46123</v>
      </c>
      <c r="G37" s="16" t="inlineStr">
        <is>
          <t>0000-MUMBAI/IN INT260327DEAL6258765</t>
        </is>
      </c>
      <c r="H37" s="14" t="str"/>
      <c r="I37" s="14" t="inlineStr">
        <is>
          <t>Payment</t>
        </is>
      </c>
      <c r="J37" s="43" t="n">
        <v>7076.83</v>
      </c>
      <c r="K37" s="43" t="n">
        <v>0</v>
      </c>
      <c r="L37" s="43" t="n">
        <v>7076.83</v>
      </c>
      <c r="M37" s="43" t="n">
        <v>-9806862.560000001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IN INTDEAL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4" t="n">
        <v>46123</v>
      </c>
      <c r="AB37" s="46">
        <f>HYPERLINK("#'Transactions'!A37", "View Source Row")</f>
        <v/>
      </c>
    </row>
    <row r="38">
      <c r="A38" s="14" t="n">
        <v>37</v>
      </c>
      <c r="B38" s="14" t="inlineStr">
        <is>
          <t>273.pdf</t>
        </is>
      </c>
      <c r="C38" s="44" t="n">
        <v>46113</v>
      </c>
      <c r="D38" s="44" t="n">
        <v>46142</v>
      </c>
      <c r="E38" s="44" t="n">
        <v>46123</v>
      </c>
      <c r="F38" s="44" t="n">
        <v>46123</v>
      </c>
      <c r="G38" s="16" t="inlineStr">
        <is>
          <t>0000-MUMBAI/IN INT260327DEAL6258950</t>
        </is>
      </c>
      <c r="H38" s="14" t="str"/>
      <c r="I38" s="14" t="inlineStr">
        <is>
          <t>Payment</t>
        </is>
      </c>
      <c r="J38" s="43" t="n">
        <v>350.17</v>
      </c>
      <c r="K38" s="43" t="n">
        <v>0</v>
      </c>
      <c r="L38" s="43" t="n">
        <v>350.17</v>
      </c>
      <c r="M38" s="43" t="n">
        <v>-9807212.73</v>
      </c>
      <c r="N38" s="14" t="inlineStr">
        <is>
          <t>Recurring Transaction</t>
        </is>
      </c>
      <c r="O38" s="14" t="inlineStr">
        <is>
          <t>Yes</t>
        </is>
      </c>
      <c r="P38" s="14" t="inlineStr">
        <is>
          <t>IN INTDEAL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0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4" t="n">
        <v>46123</v>
      </c>
      <c r="AB38" s="46">
        <f>HYPERLINK("#'Transactions'!A38", "View Source Row")</f>
        <v/>
      </c>
    </row>
    <row r="39">
      <c r="A39" s="14" t="n">
        <v>38</v>
      </c>
      <c r="B39" s="14" t="inlineStr">
        <is>
          <t>273.pdf</t>
        </is>
      </c>
      <c r="C39" s="44" t="n">
        <v>46113</v>
      </c>
      <c r="D39" s="44" t="n">
        <v>46142</v>
      </c>
      <c r="E39" s="44" t="n">
        <v>46123</v>
      </c>
      <c r="F39" s="44" t="n">
        <v>46123</v>
      </c>
      <c r="G39" s="16" t="inlineStr">
        <is>
          <t>EBANK:WIB/1503 EBANK:WIB/1503559058/Edfs</t>
        </is>
      </c>
      <c r="H39" s="14" t="str"/>
      <c r="I39" s="14" t="inlineStr">
        <is>
          <t>Receipt</t>
        </is>
      </c>
      <c r="J39" s="43" t="n">
        <v>0</v>
      </c>
      <c r="K39" s="43" t="n">
        <v>353767.15</v>
      </c>
      <c r="L39" s="43" t="n">
        <v>353767.15</v>
      </c>
      <c r="M39" s="43" t="n">
        <v>-9453445.58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EBANKWIB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4" t="n">
        <v>46123</v>
      </c>
      <c r="AB39" s="46">
        <f>HYPERLINK("#'Transactions'!A39", "View Source Row")</f>
        <v/>
      </c>
    </row>
    <row r="40">
      <c r="A40" s="14" t="n">
        <v>39</v>
      </c>
      <c r="B40" s="14" t="inlineStr">
        <is>
          <t>273.pdf</t>
        </is>
      </c>
      <c r="C40" s="44" t="n">
        <v>46113</v>
      </c>
      <c r="D40" s="44" t="n">
        <v>46142</v>
      </c>
      <c r="E40" s="44" t="n">
        <v>46124</v>
      </c>
      <c r="F40" s="44" t="n">
        <v>46124</v>
      </c>
      <c r="G40" s="16" t="inlineStr">
        <is>
          <t>EBANK:WIB/1503 EBANK:WIB/1503691094/Edfs</t>
        </is>
      </c>
      <c r="H40" s="14" t="str"/>
      <c r="I40" s="14" t="inlineStr">
        <is>
          <t>Receipt</t>
        </is>
      </c>
      <c r="J40" s="43" t="n">
        <v>0</v>
      </c>
      <c r="K40" s="43" t="n">
        <v>521281.39</v>
      </c>
      <c r="L40" s="43" t="n">
        <v>521281.39</v>
      </c>
      <c r="M40" s="43" t="n">
        <v>-8932164.189999999</v>
      </c>
      <c r="N40" s="14" t="inlineStr">
        <is>
          <t>High Transaction; Recurring Transaction</t>
        </is>
      </c>
      <c r="O40" s="14" t="inlineStr">
        <is>
          <t>Yes</t>
        </is>
      </c>
      <c r="P40" s="14" t="inlineStr">
        <is>
          <t>EBANKWIB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4" t="n">
        <v>46124</v>
      </c>
      <c r="AB40" s="46">
        <f>HYPERLINK("#'Transactions'!A40", "View Source Row")</f>
        <v/>
      </c>
    </row>
    <row r="41">
      <c r="A41" s="14" t="n">
        <v>40</v>
      </c>
      <c r="B41" s="14" t="inlineStr">
        <is>
          <t>273.pdf</t>
        </is>
      </c>
      <c r="C41" s="44" t="n">
        <v>46113</v>
      </c>
      <c r="D41" s="44" t="n">
        <v>46142</v>
      </c>
      <c r="E41" s="44" t="n">
        <v>46125</v>
      </c>
      <c r="F41" s="44" t="n">
        <v>46125</v>
      </c>
      <c r="G41" s="16" t="inlineStr">
        <is>
          <t>0000-MUMBAI/IN INT260327DEAL6258765</t>
        </is>
      </c>
      <c r="H41" s="14" t="str"/>
      <c r="I41" s="14" t="inlineStr">
        <is>
          <t>Payment</t>
        </is>
      </c>
      <c r="J41" s="43" t="n">
        <v>305.5</v>
      </c>
      <c r="K41" s="43" t="n">
        <v>0</v>
      </c>
      <c r="L41" s="43" t="n">
        <v>305.5</v>
      </c>
      <c r="M41" s="43" t="n">
        <v>-8932469.689999999</v>
      </c>
      <c r="N41" s="14" t="inlineStr">
        <is>
          <t>Recurring Transaction</t>
        </is>
      </c>
      <c r="O41" s="14" t="inlineStr">
        <is>
          <t>Yes</t>
        </is>
      </c>
      <c r="P41" s="14" t="inlineStr">
        <is>
          <t>IN INTDEAL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4" t="n">
        <v>46125</v>
      </c>
      <c r="AB41" s="46">
        <f>HYPERLINK("#'Transactions'!A41", "View Source Row")</f>
        <v/>
      </c>
    </row>
    <row r="42">
      <c r="A42" s="14" t="n">
        <v>42</v>
      </c>
      <c r="B42" s="14" t="inlineStr">
        <is>
          <t>273.pdf</t>
        </is>
      </c>
      <c r="C42" s="44" t="n">
        <v>46113</v>
      </c>
      <c r="D42" s="44" t="n">
        <v>46142</v>
      </c>
      <c r="E42" s="44" t="n">
        <v>46125</v>
      </c>
      <c r="F42" s="44" t="n">
        <v>46125</v>
      </c>
      <c r="G42" s="16" t="inlineStr">
        <is>
          <t>DIGITA-MUMBAI/ INT260327DEAL6258765</t>
        </is>
      </c>
      <c r="H42" s="14" t="str"/>
      <c r="I42" s="14" t="inlineStr">
        <is>
          <t>Payment</t>
        </is>
      </c>
      <c r="J42" s="43" t="n">
        <v>182.75</v>
      </c>
      <c r="K42" s="43" t="n">
        <v>0</v>
      </c>
      <c r="L42" s="43" t="n">
        <v>182.75</v>
      </c>
      <c r="M42" s="43" t="n">
        <v>-8493652.439999999</v>
      </c>
      <c r="N42" s="14" t="inlineStr">
        <is>
          <t>Recurring Transaction</t>
        </is>
      </c>
      <c r="O42" s="14" t="inlineStr">
        <is>
          <t>Yes</t>
        </is>
      </c>
      <c r="P42" s="14" t="inlineStr">
        <is>
          <t>DIGITA-MUMBAI/ INT#DEAL#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4" t="n">
        <v>46125</v>
      </c>
      <c r="AB42" s="46">
        <f>HYPERLINK("#'Transactions'!A43", "View Source Row")</f>
        <v/>
      </c>
    </row>
    <row r="43">
      <c r="A43" s="14" t="n">
        <v>43</v>
      </c>
      <c r="B43" s="14" t="inlineStr">
        <is>
          <t>273.pdf</t>
        </is>
      </c>
      <c r="C43" s="44" t="n">
        <v>46113</v>
      </c>
      <c r="D43" s="44" t="n">
        <v>46142</v>
      </c>
      <c r="E43" s="44" t="n">
        <v>46125</v>
      </c>
      <c r="F43" s="44" t="n">
        <v>46125</v>
      </c>
      <c r="G43" s="16" t="inlineStr">
        <is>
          <t>EBANK:WIB/1503 EBANK:WIB/1503777187/Edfs</t>
        </is>
      </c>
      <c r="H43" s="14" t="str"/>
      <c r="I43" s="14" t="inlineStr">
        <is>
          <t>Receipt</t>
        </is>
      </c>
      <c r="J43" s="43" t="n">
        <v>0</v>
      </c>
      <c r="K43" s="43" t="n">
        <v>610444.28</v>
      </c>
      <c r="L43" s="43" t="n">
        <v>610444.28</v>
      </c>
      <c r="M43" s="43" t="n">
        <v>-7883208.16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EBANKWIB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4" t="n">
        <v>46125</v>
      </c>
      <c r="AB43" s="46">
        <f>HYPERLINK("#'Transactions'!A44", "View Source Row")</f>
        <v/>
      </c>
    </row>
    <row r="44">
      <c r="A44" s="14" t="n">
        <v>44</v>
      </c>
      <c r="B44" s="14" t="inlineStr">
        <is>
          <t>273.pdf</t>
        </is>
      </c>
      <c r="C44" s="44" t="n">
        <v>46113</v>
      </c>
      <c r="D44" s="44" t="n">
        <v>46142</v>
      </c>
      <c r="E44" s="44" t="n">
        <v>46125</v>
      </c>
      <c r="F44" s="44" t="n">
        <v>46125</v>
      </c>
      <c r="G44" s="16" t="inlineStr">
        <is>
          <t>DIGITA-MUMBAI/ INT260327DEAL6258950</t>
        </is>
      </c>
      <c r="H44" s="14" t="str"/>
      <c r="I44" s="14" t="inlineStr">
        <is>
          <t>Payment</t>
        </is>
      </c>
      <c r="J44" s="43" t="n">
        <v>46.82</v>
      </c>
      <c r="K44" s="43" t="n">
        <v>0</v>
      </c>
      <c r="L44" s="43" t="n">
        <v>46.82</v>
      </c>
      <c r="M44" s="43" t="n">
        <v>-7883254.98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DIGITA-MUMBAI/ INT#DEAL#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4" t="n">
        <v>46125</v>
      </c>
      <c r="AB44" s="46">
        <f>HYPERLINK("#'Transactions'!A45", "View Source Row")</f>
        <v/>
      </c>
    </row>
    <row r="45">
      <c r="A45" s="14" t="n">
        <v>45</v>
      </c>
      <c r="B45" s="14" t="inlineStr">
        <is>
          <t>273.pdf</t>
        </is>
      </c>
      <c r="C45" s="44" t="n">
        <v>46113</v>
      </c>
      <c r="D45" s="44" t="n">
        <v>46142</v>
      </c>
      <c r="E45" s="44" t="n">
        <v>46125</v>
      </c>
      <c r="F45" s="44" t="n">
        <v>46125</v>
      </c>
      <c r="G45" s="16" t="inlineStr">
        <is>
          <t>BY CASH BY CASH</t>
        </is>
      </c>
      <c r="H45" s="14" t="str"/>
      <c r="I45" s="14" t="inlineStr">
        <is>
          <t>Receipt</t>
        </is>
      </c>
      <c r="J45" s="43" t="n">
        <v>0</v>
      </c>
      <c r="K45" s="43" t="n">
        <v>78500</v>
      </c>
      <c r="L45" s="43" t="n">
        <v>78500</v>
      </c>
      <c r="M45" s="43" t="n">
        <v>-7804754.98</v>
      </c>
      <c r="N45" s="14" t="inlineStr">
        <is>
          <t>Cash; Recurring Transaction</t>
        </is>
      </c>
      <c r="O45" s="14" t="inlineStr">
        <is>
          <t>Yes</t>
        </is>
      </c>
      <c r="P45" s="14" t="inlineStr">
        <is>
          <t>BY CASH BY CASH</t>
        </is>
      </c>
      <c r="Q45" s="14" t="n">
        <v>1</v>
      </c>
      <c r="R45" s="14" t="n">
        <v>1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4" t="n">
        <v>46125</v>
      </c>
      <c r="AB45" s="46">
        <f>HYPERLINK("#'Transactions'!A46", "View Source Row")</f>
        <v/>
      </c>
    </row>
    <row r="46">
      <c r="A46" s="14" t="n">
        <v>46</v>
      </c>
      <c r="B46" s="14" t="inlineStr">
        <is>
          <t>273.pdf</t>
        </is>
      </c>
      <c r="C46" s="44" t="n">
        <v>46113</v>
      </c>
      <c r="D46" s="44" t="n">
        <v>46142</v>
      </c>
      <c r="E46" s="44" t="n">
        <v>46125</v>
      </c>
      <c r="F46" s="44" t="n">
        <v>46125</v>
      </c>
      <c r="G46" s="16" t="inlineStr">
        <is>
          <t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46" s="14" t="str"/>
      <c r="I46" s="14" t="inlineStr">
        <is>
          <t>Receipt</t>
        </is>
      </c>
      <c r="J46" s="43" t="n">
        <v>0</v>
      </c>
      <c r="K46" s="43" t="n">
        <v>107993.78</v>
      </c>
      <c r="L46" s="43" t="n">
        <v>107993.78</v>
      </c>
      <c r="M46" s="43" t="n">
        <v>-7696761.2</v>
      </c>
      <c r="N46" s="14" t="inlineStr">
        <is>
          <t>High Transaction; Recurring Transaction</t>
        </is>
      </c>
      <c r="O46" s="14" t="inlineStr">
        <is>
          <t>Yes</t>
        </is>
      </c>
      <c r="P46" s="14" t="inlineStr">
        <is>
          <t>EBANKWIB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4" t="n">
        <v>46125</v>
      </c>
      <c r="AB46" s="46">
        <f>HYPERLINK("#'Transactions'!A47", "View Source Row")</f>
        <v/>
      </c>
    </row>
    <row r="47">
      <c r="A47" s="14" t="n">
        <v>47</v>
      </c>
      <c r="B47" s="14" t="inlineStr">
        <is>
          <t>273.pdf</t>
        </is>
      </c>
      <c r="C47" s="44" t="n">
        <v>46113</v>
      </c>
      <c r="D47" s="44" t="n">
        <v>46142</v>
      </c>
      <c r="E47" s="44" t="n">
        <v>46125</v>
      </c>
      <c r="F47" s="44" t="n">
        <v>46125</v>
      </c>
      <c r="G47" s="16" t="inlineStr">
        <is>
          <t>RTGS-BARBR5202 RTGS-BARBR52026041300983458-HINDUSTAN PETROLEUM CO</t>
        </is>
      </c>
      <c r="H47" s="14" t="str"/>
      <c r="I47" s="14" t="inlineStr">
        <is>
          <t>Payment</t>
        </is>
      </c>
      <c r="J47" s="43" t="n">
        <v>1962976.51</v>
      </c>
      <c r="K47" s="43" t="n">
        <v>0</v>
      </c>
      <c r="L47" s="43" t="n">
        <v>1962976.51</v>
      </c>
      <c r="M47" s="43" t="n">
        <v>-9659737.710000001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BARBR RTGS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4" t="n">
        <v>46125</v>
      </c>
      <c r="AB47" s="46">
        <f>HYPERLINK("#'Transactions'!A48", "View Source Row")</f>
        <v/>
      </c>
    </row>
    <row r="48">
      <c r="A48" s="14" t="n">
        <v>48</v>
      </c>
      <c r="B48" s="14" t="inlineStr">
        <is>
          <t>273.pdf</t>
        </is>
      </c>
      <c r="C48" s="44" t="n">
        <v>46113</v>
      </c>
      <c r="D48" s="44" t="n">
        <v>46142</v>
      </c>
      <c r="E48" s="44" t="n">
        <v>46126</v>
      </c>
      <c r="F48" s="44" t="n">
        <v>46126</v>
      </c>
      <c r="G48" s="16" t="inlineStr">
        <is>
          <t>0000-MUMBAI/IN INT260330DEAL6270027</t>
        </is>
      </c>
      <c r="H48" s="14" t="str"/>
      <c r="I48" s="14" t="inlineStr">
        <is>
          <t>Payment</t>
        </is>
      </c>
      <c r="J48" s="43" t="n">
        <v>7127.18</v>
      </c>
      <c r="K48" s="43" t="n">
        <v>0</v>
      </c>
      <c r="L48" s="43" t="n">
        <v>7127.18</v>
      </c>
      <c r="M48" s="43" t="n">
        <v>-9666864.890000001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IN INTDEAL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4" t="n">
        <v>46126</v>
      </c>
      <c r="AB48" s="46">
        <f>HYPERLINK("#'Transactions'!A49", "View Source Row")</f>
        <v/>
      </c>
    </row>
    <row r="49">
      <c r="A49" s="14" t="n">
        <v>49</v>
      </c>
      <c r="B49" s="14" t="inlineStr">
        <is>
          <t>273.pdf</t>
        </is>
      </c>
      <c r="C49" s="44" t="n">
        <v>46113</v>
      </c>
      <c r="D49" s="44" t="n">
        <v>46142</v>
      </c>
      <c r="E49" s="44" t="n">
        <v>46126</v>
      </c>
      <c r="F49" s="44" t="n">
        <v>46126</v>
      </c>
      <c r="G49" s="16" t="inlineStr">
        <is>
          <t>EBANK:WIB/1503 EBANK:WIB/1503879023/Edfs</t>
        </is>
      </c>
      <c r="H49" s="14" t="str"/>
      <c r="I49" s="14" t="inlineStr">
        <is>
          <t>Receipt</t>
        </is>
      </c>
      <c r="J49" s="43" t="n">
        <v>0</v>
      </c>
      <c r="K49" s="43" t="n">
        <v>421121.65</v>
      </c>
      <c r="L49" s="43" t="n">
        <v>421121.65</v>
      </c>
      <c r="M49" s="43" t="n">
        <v>-9245743.24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EBANKWIB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4" t="n">
        <v>46126</v>
      </c>
      <c r="AB49" s="46">
        <f>HYPERLINK("#'Transactions'!A50", "View Source Row")</f>
        <v/>
      </c>
    </row>
    <row r="50">
      <c r="A50" s="14" t="n">
        <v>50</v>
      </c>
      <c r="B50" s="14" t="inlineStr">
        <is>
          <t>273.pdf</t>
        </is>
      </c>
      <c r="C50" s="44" t="n">
        <v>46113</v>
      </c>
      <c r="D50" s="44" t="n">
        <v>46142</v>
      </c>
      <c r="E50" s="44" t="n">
        <v>46126</v>
      </c>
      <c r="F50" s="44" t="n">
        <v>46126</v>
      </c>
      <c r="G50" s="16" t="inlineStr">
        <is>
          <t>EBANK:WIB/1504 EBANK:WIB/1504010401/Edfs</t>
        </is>
      </c>
      <c r="H50" s="14" t="str"/>
      <c r="I50" s="14" t="inlineStr">
        <is>
          <t>Receipt</t>
        </is>
      </c>
      <c r="J50" s="43" t="n">
        <v>0</v>
      </c>
      <c r="K50" s="43" t="n">
        <v>240000</v>
      </c>
      <c r="L50" s="43" t="n">
        <v>240000</v>
      </c>
      <c r="M50" s="43" t="n">
        <v>-9005743.24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EBANKWIB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4" t="n">
        <v>46126</v>
      </c>
      <c r="AB50" s="46">
        <f>HYPERLINK("#'Transactions'!A51", "View Source Row")</f>
        <v/>
      </c>
    </row>
    <row r="51">
      <c r="A51" s="14" t="n">
        <v>51</v>
      </c>
      <c r="B51" s="14" t="inlineStr">
        <is>
          <t>273.pdf</t>
        </is>
      </c>
      <c r="C51" s="44" t="n">
        <v>46113</v>
      </c>
      <c r="D51" s="44" t="n">
        <v>46142</v>
      </c>
      <c r="E51" s="44" t="n">
        <v>46127</v>
      </c>
      <c r="F51" s="44" t="n">
        <v>46127</v>
      </c>
      <c r="G51" s="16" t="inlineStr">
        <is>
          <t>0000-MUMBAI/IN INT260331DEAL6279575</t>
        </is>
      </c>
      <c r="H51" s="14" t="str"/>
      <c r="I51" s="14" t="inlineStr">
        <is>
          <t>Payment</t>
        </is>
      </c>
      <c r="J51" s="43" t="n">
        <v>1795.79</v>
      </c>
      <c r="K51" s="43" t="n">
        <v>0</v>
      </c>
      <c r="L51" s="43" t="n">
        <v>1795.79</v>
      </c>
      <c r="M51" s="43" t="n">
        <v>-9007539.029999999</v>
      </c>
      <c r="N51" s="14" t="inlineStr">
        <is>
          <t>Recurring Transaction</t>
        </is>
      </c>
      <c r="O51" s="14" t="inlineStr">
        <is>
          <t>Yes</t>
        </is>
      </c>
      <c r="P51" s="14" t="inlineStr">
        <is>
          <t>IN INTDEAL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4" t="n">
        <v>46127</v>
      </c>
      <c r="AB51" s="46">
        <f>HYPERLINK("#'Transactions'!A52", "View Source Row")</f>
        <v/>
      </c>
    </row>
    <row r="52">
      <c r="A52" s="14" t="n">
        <v>52</v>
      </c>
      <c r="B52" s="14" t="inlineStr">
        <is>
          <t>273.pdf</t>
        </is>
      </c>
      <c r="C52" s="44" t="n">
        <v>46113</v>
      </c>
      <c r="D52" s="44" t="n">
        <v>46142</v>
      </c>
      <c r="E52" s="44" t="n">
        <v>46127</v>
      </c>
      <c r="F52" s="44" t="n">
        <v>46127</v>
      </c>
      <c r="G52" s="16" t="inlineStr">
        <is>
          <t>EBANK:WIB/1504 EBANK:WIB/1504019959/Edfs</t>
        </is>
      </c>
      <c r="H52" s="14" t="str"/>
      <c r="I52" s="14" t="inlineStr">
        <is>
          <t>Receipt</t>
        </is>
      </c>
      <c r="J52" s="43" t="n">
        <v>0</v>
      </c>
      <c r="K52" s="43" t="n">
        <v>401141.57</v>
      </c>
      <c r="L52" s="43" t="n">
        <v>401141.57</v>
      </c>
      <c r="M52" s="43" t="n">
        <v>-8606397.460000001</v>
      </c>
      <c r="N52" s="14" t="inlineStr">
        <is>
          <t>High Transaction; Recurring Transaction</t>
        </is>
      </c>
      <c r="O52" s="14" t="inlineStr">
        <is>
          <t>Yes</t>
        </is>
      </c>
      <c r="P52" s="14" t="inlineStr">
        <is>
          <t>EBANKWIB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1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4" t="n">
        <v>46127</v>
      </c>
      <c r="AB52" s="46">
        <f>HYPERLINK("#'Transactions'!A53", "View Source Row")</f>
        <v/>
      </c>
    </row>
    <row r="53">
      <c r="A53" s="14" t="n">
        <v>54</v>
      </c>
      <c r="B53" s="14" t="inlineStr">
        <is>
          <t>273.pdf</t>
        </is>
      </c>
      <c r="C53" s="44" t="n">
        <v>46113</v>
      </c>
      <c r="D53" s="44" t="n">
        <v>46142</v>
      </c>
      <c r="E53" s="44" t="n">
        <v>46127</v>
      </c>
      <c r="F53" s="44" t="n">
        <v>46127</v>
      </c>
      <c r="G53" s="16" t="inlineStr">
        <is>
          <t>EBANK:WIB/1504 EBANK:WIB/1504096201/Edfs</t>
        </is>
      </c>
      <c r="H53" s="14" t="str"/>
      <c r="I53" s="14" t="inlineStr">
        <is>
          <t>Receipt</t>
        </is>
      </c>
      <c r="J53" s="43" t="n">
        <v>0</v>
      </c>
      <c r="K53" s="43" t="n">
        <v>125424</v>
      </c>
      <c r="L53" s="43" t="n">
        <v>125424</v>
      </c>
      <c r="M53" s="43" t="n">
        <v>-8481214.99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4" t="n">
        <v>46127</v>
      </c>
      <c r="AB53" s="46">
        <f>HYPERLINK("#'Transactions'!A55", "View Source Row")</f>
        <v/>
      </c>
    </row>
    <row r="54">
      <c r="A54" s="14" t="n">
        <v>55</v>
      </c>
      <c r="B54" s="14" t="inlineStr">
        <is>
          <t>273.pdf</t>
        </is>
      </c>
      <c r="C54" s="44" t="n">
        <v>46113</v>
      </c>
      <c r="D54" s="44" t="n">
        <v>46142</v>
      </c>
      <c r="E54" s="44" t="n">
        <v>46127</v>
      </c>
      <c r="F54" s="44" t="n">
        <v>46127</v>
      </c>
      <c r="G54" s="16" t="inlineStr">
        <is>
          <t>BY CASH BY CASH</t>
        </is>
      </c>
      <c r="H54" s="14" t="str"/>
      <c r="I54" s="14" t="inlineStr">
        <is>
          <t>Receipt</t>
        </is>
      </c>
      <c r="J54" s="43" t="n">
        <v>0</v>
      </c>
      <c r="K54" s="43" t="n">
        <v>371000</v>
      </c>
      <c r="L54" s="43" t="n">
        <v>371000</v>
      </c>
      <c r="M54" s="43" t="n">
        <v>-8110214.99</v>
      </c>
      <c r="N54" s="14" t="inlineStr">
        <is>
          <t>Cash; High Transaction; Recurring Transaction</t>
        </is>
      </c>
      <c r="O54" s="14" t="inlineStr">
        <is>
          <t>Yes</t>
        </is>
      </c>
      <c r="P54" s="14" t="inlineStr">
        <is>
          <t>BY CASH BY CASH</t>
        </is>
      </c>
      <c r="Q54" s="14" t="n">
        <v>1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4" t="n">
        <v>46127</v>
      </c>
      <c r="AB54" s="46">
        <f>HYPERLINK("#'Transactions'!A56", "View Source Row")</f>
        <v/>
      </c>
    </row>
    <row r="55">
      <c r="A55" s="14" t="n">
        <v>56</v>
      </c>
      <c r="B55" s="14" t="inlineStr">
        <is>
          <t>273.pdf</t>
        </is>
      </c>
      <c r="C55" s="44" t="n">
        <v>46113</v>
      </c>
      <c r="D55" s="44" t="n">
        <v>46142</v>
      </c>
      <c r="E55" s="44" t="n">
        <v>46127</v>
      </c>
      <c r="F55" s="44" t="n">
        <v>46127</v>
      </c>
      <c r="G55" s="16" t="inlineStr">
        <is>
          <t>EBANK:WIB/1504 EBANK:WIB/1504156827/Edfs</t>
        </is>
      </c>
      <c r="H55" s="14" t="str"/>
      <c r="I55" s="14" t="inlineStr">
        <is>
          <t>Receipt</t>
        </is>
      </c>
      <c r="J55" s="43" t="n">
        <v>0</v>
      </c>
      <c r="K55" s="43" t="n">
        <v>13736</v>
      </c>
      <c r="L55" s="43" t="n">
        <v>13736</v>
      </c>
      <c r="M55" s="43" t="n">
        <v>-8096478.99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EBANKWIB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4" t="n">
        <v>46127</v>
      </c>
      <c r="AB55" s="46">
        <f>HYPERLINK("#'Transactions'!A57", "View Source Row")</f>
        <v/>
      </c>
    </row>
    <row r="56">
      <c r="A56" s="14" t="n">
        <v>57</v>
      </c>
      <c r="B56" s="14" t="inlineStr">
        <is>
          <t>273.pdf</t>
        </is>
      </c>
      <c r="C56" s="44" t="n">
        <v>46113</v>
      </c>
      <c r="D56" s="44" t="n">
        <v>46142</v>
      </c>
      <c r="E56" s="44" t="n">
        <v>46127</v>
      </c>
      <c r="F56" s="44" t="n">
        <v>46127</v>
      </c>
      <c r="G56" s="16" t="inlineStr">
        <is>
          <t>RTGS-BARBR5202 RTGS-BARBR52026041500840540-HINDUSTAN PETROLEUM CO</t>
        </is>
      </c>
      <c r="H56" s="14" t="str"/>
      <c r="I56" s="14" t="inlineStr">
        <is>
          <t>Payment</t>
        </is>
      </c>
      <c r="J56" s="43" t="n">
        <v>1889785</v>
      </c>
      <c r="K56" s="43" t="n">
        <v>0</v>
      </c>
      <c r="L56" s="43" t="n">
        <v>1889785</v>
      </c>
      <c r="M56" s="43" t="n">
        <v>-9986263.99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BARBR RTGS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4" t="n">
        <v>46127</v>
      </c>
      <c r="AB56" s="46">
        <f>HYPERLINK("#'Transactions'!A58", "View Source Row")</f>
        <v/>
      </c>
    </row>
    <row r="57">
      <c r="A57" s="14" t="n">
        <v>58</v>
      </c>
      <c r="B57" s="14" t="inlineStr">
        <is>
          <t>273.pdf</t>
        </is>
      </c>
      <c r="C57" s="44" t="n">
        <v>46113</v>
      </c>
      <c r="D57" s="44" t="n">
        <v>46142</v>
      </c>
      <c r="E57" s="44" t="n">
        <v>46127</v>
      </c>
      <c r="F57" s="44" t="n">
        <v>46127</v>
      </c>
      <c r="G57" s="16" t="inlineStr">
        <is>
          <t>EBANK:WIB/1504 EBANK:WIB/1504160264/Edfs</t>
        </is>
      </c>
      <c r="H57" s="14" t="str"/>
      <c r="I57" s="14" t="inlineStr">
        <is>
          <t>Receipt</t>
        </is>
      </c>
      <c r="J57" s="43" t="n">
        <v>0</v>
      </c>
      <c r="K57" s="43" t="n">
        <v>54252.8</v>
      </c>
      <c r="L57" s="43" t="n">
        <v>54252.8</v>
      </c>
      <c r="M57" s="43" t="n">
        <v>-9932011.189999999</v>
      </c>
      <c r="N57" s="14" t="inlineStr">
        <is>
          <t>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4" t="n">
        <v>46127</v>
      </c>
      <c r="AB57" s="46">
        <f>HYPERLINK("#'Transactions'!A59", "View Source Row")</f>
        <v/>
      </c>
    </row>
    <row r="58">
      <c r="A58" s="14" t="n">
        <v>59</v>
      </c>
      <c r="B58" s="14" t="inlineStr">
        <is>
          <t>273.pdf</t>
        </is>
      </c>
      <c r="C58" s="44" t="n">
        <v>46113</v>
      </c>
      <c r="D58" s="44" t="n">
        <v>46142</v>
      </c>
      <c r="E58" s="44" t="n">
        <v>46127</v>
      </c>
      <c r="F58" s="44" t="n">
        <v>46127</v>
      </c>
      <c r="G58" s="16" t="inlineStr">
        <is>
          <t>NEFT-BARBQ2610 NEFT-BARBQ26105757267-HINDUSTAN PETROLEUM CORPORAT</t>
        </is>
      </c>
      <c r="H58" s="14" t="str"/>
      <c r="I58" s="14" t="inlineStr">
        <is>
          <t>Payment</t>
        </is>
      </c>
      <c r="J58" s="43" t="n">
        <v>67988</v>
      </c>
      <c r="K58" s="43" t="n">
        <v>0</v>
      </c>
      <c r="L58" s="43" t="n">
        <v>67988</v>
      </c>
      <c r="M58" s="43" t="n">
        <v>-9999999.189999999</v>
      </c>
      <c r="N58" s="14" t="inlineStr">
        <is>
          <t>Recurring Transaction</t>
        </is>
      </c>
      <c r="O58" s="14" t="inlineStr">
        <is>
          <t>Yes</t>
        </is>
      </c>
      <c r="P58" s="14" t="inlineStr">
        <is>
          <t>BARBQ NEFT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4" t="n">
        <v>46127</v>
      </c>
      <c r="AB58" s="46">
        <f>HYPERLINK("#'Transactions'!A60", "View Source Row")</f>
        <v/>
      </c>
    </row>
    <row r="59">
      <c r="A59" s="14" t="n">
        <v>60</v>
      </c>
      <c r="B59" s="14" t="inlineStr">
        <is>
          <t>273.pdf</t>
        </is>
      </c>
      <c r="C59" s="44" t="n">
        <v>46113</v>
      </c>
      <c r="D59" s="44" t="n">
        <v>46142</v>
      </c>
      <c r="E59" s="44" t="n">
        <v>46127</v>
      </c>
      <c r="F59" s="44" t="n">
        <v>46127</v>
      </c>
      <c r="G59" s="16" t="inlineStr">
        <is>
          <t>EBANK:WIB/1504 EBANK:WIB/1504165308/Edfs</t>
        </is>
      </c>
      <c r="H59" s="14" t="str"/>
      <c r="I59" s="14" t="inlineStr">
        <is>
          <t>Receipt</t>
        </is>
      </c>
      <c r="J59" s="43" t="n">
        <v>0</v>
      </c>
      <c r="K59" s="43" t="n">
        <v>44496</v>
      </c>
      <c r="L59" s="43" t="n">
        <v>44496</v>
      </c>
      <c r="M59" s="43" t="n">
        <v>-9955503.189999999</v>
      </c>
      <c r="N59" s="14" t="inlineStr">
        <is>
          <t>Recurring Transaction</t>
        </is>
      </c>
      <c r="O59" s="14" t="inlineStr">
        <is>
          <t>Yes</t>
        </is>
      </c>
      <c r="P59" s="14" t="inlineStr">
        <is>
          <t>EBANKWIB</t>
        </is>
      </c>
      <c r="Q59" s="14" t="n">
        <v>0</v>
      </c>
      <c r="R59" s="14" t="n">
        <v>1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4" t="n">
        <v>46127</v>
      </c>
      <c r="AB59" s="46">
        <f>HYPERLINK("#'Transactions'!A61", "View Source Row")</f>
        <v/>
      </c>
    </row>
    <row r="60">
      <c r="A60" s="14" t="n">
        <v>62</v>
      </c>
      <c r="B60" s="14" t="inlineStr">
        <is>
          <t>273.pdf</t>
        </is>
      </c>
      <c r="C60" s="44" t="n">
        <v>46113</v>
      </c>
      <c r="D60" s="44" t="n">
        <v>46142</v>
      </c>
      <c r="E60" s="44" t="n">
        <v>46128</v>
      </c>
      <c r="F60" s="44" t="n">
        <v>46128</v>
      </c>
      <c r="G60" s="16" t="inlineStr">
        <is>
          <t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60" s="14" t="str"/>
      <c r="I60" s="14" t="inlineStr">
        <is>
          <t>Receipt</t>
        </is>
      </c>
      <c r="J60" s="43" t="n">
        <v>0</v>
      </c>
      <c r="K60" s="43" t="n">
        <v>898173.78</v>
      </c>
      <c r="L60" s="43" t="n">
        <v>898173.78</v>
      </c>
      <c r="M60" s="43" t="n">
        <v>-9098021.65</v>
      </c>
      <c r="N60" s="14" t="inlineStr">
        <is>
          <t>High Transaction; Recurring Transaction</t>
        </is>
      </c>
      <c r="O60" s="14" t="inlineStr">
        <is>
          <t>Yes</t>
        </is>
      </c>
      <c r="P60" s="14" t="inlineStr">
        <is>
          <t>EBANKWIB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4" t="n">
        <v>46128</v>
      </c>
      <c r="AB60" s="46">
        <f>HYPERLINK("#'Transactions'!A63", "View Source Row")</f>
        <v/>
      </c>
    </row>
    <row r="61">
      <c r="A61" s="14" t="n">
        <v>63</v>
      </c>
      <c r="B61" s="14" t="inlineStr">
        <is>
          <t>273.pdf</t>
        </is>
      </c>
      <c r="C61" s="44" t="n">
        <v>46113</v>
      </c>
      <c r="D61" s="44" t="n">
        <v>46142</v>
      </c>
      <c r="E61" s="44" t="n">
        <v>46128</v>
      </c>
      <c r="F61" s="44" t="n">
        <v>46128</v>
      </c>
      <c r="G61" s="16" t="inlineStr">
        <is>
          <t>BY CASH BY CASH</t>
        </is>
      </c>
      <c r="H61" s="14" t="str"/>
      <c r="I61" s="14" t="inlineStr">
        <is>
          <t>Receipt</t>
        </is>
      </c>
      <c r="J61" s="43" t="n">
        <v>0</v>
      </c>
      <c r="K61" s="43" t="n">
        <v>166000</v>
      </c>
      <c r="L61" s="43" t="n">
        <v>166000</v>
      </c>
      <c r="M61" s="43" t="n">
        <v>-8932021.65</v>
      </c>
      <c r="N61" s="14" t="inlineStr">
        <is>
          <t>Cash; High Transaction; Recurring Transaction</t>
        </is>
      </c>
      <c r="O61" s="14" t="inlineStr">
        <is>
          <t>Yes</t>
        </is>
      </c>
      <c r="P61" s="14" t="inlineStr">
        <is>
          <t>BY CASH BY CASH</t>
        </is>
      </c>
      <c r="Q61" s="14" t="n">
        <v>1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4" t="n">
        <v>46128</v>
      </c>
      <c r="AB61" s="46">
        <f>HYPERLINK("#'Transactions'!A64", "View Source Row")</f>
        <v/>
      </c>
    </row>
    <row r="62">
      <c r="A62" s="14" t="n">
        <v>64</v>
      </c>
      <c r="B62" s="14" t="inlineStr">
        <is>
          <t>273.pdf</t>
        </is>
      </c>
      <c r="C62" s="44" t="n">
        <v>46113</v>
      </c>
      <c r="D62" s="44" t="n">
        <v>46142</v>
      </c>
      <c r="E62" s="44" t="n">
        <v>46128</v>
      </c>
      <c r="F62" s="44" t="n">
        <v>46128</v>
      </c>
      <c r="G62" s="16" t="inlineStr">
        <is>
          <t>DIGITA-MUMBAI/ INT260330DEAL6270027</t>
        </is>
      </c>
      <c r="H62" s="14" t="str"/>
      <c r="I62" s="14" t="inlineStr">
        <is>
          <t>Payment</t>
        </is>
      </c>
      <c r="J62" s="43" t="n">
        <v>3.6</v>
      </c>
      <c r="K62" s="43" t="n">
        <v>0</v>
      </c>
      <c r="L62" s="43" t="n">
        <v>3.6</v>
      </c>
      <c r="M62" s="43" t="n">
        <v>-8932025.25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DIGITA-MUMBAI/ INT#DEAL#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4" t="n">
        <v>46128</v>
      </c>
      <c r="AB62" s="46">
        <f>HYPERLINK("#'Transactions'!A65", "View Source Row")</f>
        <v/>
      </c>
    </row>
    <row r="63">
      <c r="A63" s="14" t="n">
        <v>66</v>
      </c>
      <c r="B63" s="14" t="inlineStr">
        <is>
          <t>273.pdf</t>
        </is>
      </c>
      <c r="C63" s="44" t="n">
        <v>46113</v>
      </c>
      <c r="D63" s="44" t="n">
        <v>46142</v>
      </c>
      <c r="E63" s="44" t="n">
        <v>46129</v>
      </c>
      <c r="F63" s="44" t="n">
        <v>46129</v>
      </c>
      <c r="G63" s="16" t="inlineStr">
        <is>
          <t>EBANK:WIB/1504 EBANK:WIB/1504347697/Edfs</t>
        </is>
      </c>
      <c r="H63" s="14" t="str"/>
      <c r="I63" s="14" t="inlineStr">
        <is>
          <t>Receipt</t>
        </is>
      </c>
      <c r="J63" s="43" t="n">
        <v>0</v>
      </c>
      <c r="K63" s="43" t="n">
        <v>328514.76</v>
      </c>
      <c r="L63" s="43" t="n">
        <v>328514.76</v>
      </c>
      <c r="M63" s="43" t="n">
        <v>-8603630.609999999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EBANKWIB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4" t="n">
        <v>46129</v>
      </c>
      <c r="AB63" s="46">
        <f>HYPERLINK("#'Transactions'!A67", "View Source Row")</f>
        <v/>
      </c>
    </row>
    <row r="64">
      <c r="A64" s="14" t="n">
        <v>67</v>
      </c>
      <c r="B64" s="14" t="inlineStr">
        <is>
          <t>273.pdf</t>
        </is>
      </c>
      <c r="C64" s="44" t="n">
        <v>46113</v>
      </c>
      <c r="D64" s="44" t="n">
        <v>46142</v>
      </c>
      <c r="E64" s="44" t="n">
        <v>46129</v>
      </c>
      <c r="F64" s="44" t="n">
        <v>46129</v>
      </c>
      <c r="G64" s="16" t="inlineStr">
        <is>
          <t>0000-MUMBAI/IN INT260402DEAL6291634</t>
        </is>
      </c>
      <c r="H64" s="14" t="str"/>
      <c r="I64" s="14" t="inlineStr">
        <is>
          <t>Payment</t>
        </is>
      </c>
      <c r="J64" s="43" t="n">
        <v>4857.17</v>
      </c>
      <c r="K64" s="43" t="n">
        <v>0</v>
      </c>
      <c r="L64" s="43" t="n">
        <v>4857.17</v>
      </c>
      <c r="M64" s="43" t="n">
        <v>-8608487.779999999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IN INTDEAL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4" t="n">
        <v>46129</v>
      </c>
      <c r="AB64" s="46">
        <f>HYPERLINK("#'Transactions'!A68", "View Source Row")</f>
        <v/>
      </c>
    </row>
    <row r="65">
      <c r="A65" s="14" t="n">
        <v>68</v>
      </c>
      <c r="B65" s="14" t="inlineStr">
        <is>
          <t>273.pdf</t>
        </is>
      </c>
      <c r="C65" s="44" t="n">
        <v>46113</v>
      </c>
      <c r="D65" s="44" t="n">
        <v>46142</v>
      </c>
      <c r="E65" s="44" t="n">
        <v>46129</v>
      </c>
      <c r="F65" s="44" t="n">
        <v>46129</v>
      </c>
      <c r="G65" s="16" t="inlineStr">
        <is>
          <t>EBANK:WIB/1504 EBANK:WIB/1504424773/Edfs</t>
        </is>
      </c>
      <c r="H65" s="14" t="str"/>
      <c r="I65" s="14" t="inlineStr">
        <is>
          <t>Receipt</t>
        </is>
      </c>
      <c r="J65" s="43" t="n">
        <v>0</v>
      </c>
      <c r="K65" s="43" t="n">
        <v>150000</v>
      </c>
      <c r="L65" s="43" t="n">
        <v>150000</v>
      </c>
      <c r="M65" s="43" t="n">
        <v>-8458487.779999999</v>
      </c>
      <c r="N65" s="14" t="inlineStr">
        <is>
          <t>High Transaction; Recurring Transaction</t>
        </is>
      </c>
      <c r="O65" s="14" t="inlineStr">
        <is>
          <t>Yes</t>
        </is>
      </c>
      <c r="P65" s="14" t="inlineStr">
        <is>
          <t>EBANKWIB</t>
        </is>
      </c>
      <c r="Q65" s="14" t="n">
        <v>0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4" t="n">
        <v>46129</v>
      </c>
      <c r="AB65" s="46">
        <f>HYPERLINK("#'Transactions'!A69", "View Source Row")</f>
        <v/>
      </c>
    </row>
    <row r="66">
      <c r="A66" s="14" t="n">
        <v>69</v>
      </c>
      <c r="B66" s="14" t="inlineStr">
        <is>
          <t>273.pdf</t>
        </is>
      </c>
      <c r="C66" s="44" t="n">
        <v>46113</v>
      </c>
      <c r="D66" s="44" t="n">
        <v>46142</v>
      </c>
      <c r="E66" s="44" t="n">
        <v>46130</v>
      </c>
      <c r="F66" s="44" t="n">
        <v>46130</v>
      </c>
      <c r="G66" s="16" t="inlineStr">
        <is>
          <t>0000-MUMBAI/IN INT260404DEAL6301802</t>
        </is>
      </c>
      <c r="H66" s="14" t="str"/>
      <c r="I66" s="14" t="inlineStr">
        <is>
          <t>Payment</t>
        </is>
      </c>
      <c r="J66" s="43" t="n">
        <v>6118.58</v>
      </c>
      <c r="K66" s="43" t="n">
        <v>0</v>
      </c>
      <c r="L66" s="43" t="n">
        <v>6118.58</v>
      </c>
      <c r="M66" s="43" t="n">
        <v>-8464606.359999999</v>
      </c>
      <c r="N66" s="14" t="inlineStr">
        <is>
          <t>Recurring Transaction</t>
        </is>
      </c>
      <c r="O66" s="14" t="inlineStr">
        <is>
          <t>Yes</t>
        </is>
      </c>
      <c r="P66" s="14" t="inlineStr">
        <is>
          <t>IN INTDEAL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4" t="n">
        <v>46130</v>
      </c>
      <c r="AB66" s="46">
        <f>HYPERLINK("#'Transactions'!A70", "View Source Row")</f>
        <v/>
      </c>
    </row>
    <row r="67">
      <c r="A67" s="14" t="n">
        <v>70</v>
      </c>
      <c r="B67" s="14" t="inlineStr">
        <is>
          <t>273.pdf</t>
        </is>
      </c>
      <c r="C67" s="44" t="n">
        <v>46113</v>
      </c>
      <c r="D67" s="44" t="n">
        <v>46142</v>
      </c>
      <c r="E67" s="44" t="n">
        <v>46130</v>
      </c>
      <c r="F67" s="44" t="n">
        <v>46130</v>
      </c>
      <c r="G67" s="16" t="inlineStr">
        <is>
          <t>BY CASH BY CASH</t>
        </is>
      </c>
      <c r="H67" s="14" t="str"/>
      <c r="I67" s="14" t="inlineStr">
        <is>
          <t>Receipt</t>
        </is>
      </c>
      <c r="J67" s="43" t="n">
        <v>0</v>
      </c>
      <c r="K67" s="43" t="n">
        <v>394500</v>
      </c>
      <c r="L67" s="43" t="n">
        <v>394500</v>
      </c>
      <c r="M67" s="43" t="n">
        <v>-8070106.36</v>
      </c>
      <c r="N67" s="14" t="inlineStr">
        <is>
          <t>Cash; High Transaction; Recurring Transaction</t>
        </is>
      </c>
      <c r="O67" s="14" t="inlineStr">
        <is>
          <t>Yes</t>
        </is>
      </c>
      <c r="P67" s="14" t="inlineStr">
        <is>
          <t>BY CASH BY CASH</t>
        </is>
      </c>
      <c r="Q67" s="14" t="n">
        <v>1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4" t="n">
        <v>46130</v>
      </c>
      <c r="AB67" s="46">
        <f>HYPERLINK("#'Transactions'!A71", "View Source Row")</f>
        <v/>
      </c>
    </row>
    <row r="68">
      <c r="A68" s="14" t="n">
        <v>72</v>
      </c>
      <c r="B68" s="14" t="inlineStr">
        <is>
          <t>273.pdf</t>
        </is>
      </c>
      <c r="C68" s="44" t="n">
        <v>46113</v>
      </c>
      <c r="D68" s="44" t="n">
        <v>46142</v>
      </c>
      <c r="E68" s="44" t="n">
        <v>46130</v>
      </c>
      <c r="F68" s="44" t="n">
        <v>46130</v>
      </c>
      <c r="G68" s="16" t="inlineStr">
        <is>
          <t>EBANK:WIB/1504 EBANK:WIB/1504650433/Edfs</t>
        </is>
      </c>
      <c r="H68" s="14" t="str"/>
      <c r="I68" s="14" t="inlineStr">
        <is>
          <t>Receipt</t>
        </is>
      </c>
      <c r="J68" s="43" t="n">
        <v>0</v>
      </c>
      <c r="K68" s="43" t="n">
        <v>480667.28</v>
      </c>
      <c r="L68" s="43" t="n">
        <v>480667.28</v>
      </c>
      <c r="M68" s="43" t="n">
        <v>-7589532.77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4" t="n">
        <v>46130</v>
      </c>
      <c r="AB68" s="46">
        <f>HYPERLINK("#'Transactions'!A73", "View Source Row")</f>
        <v/>
      </c>
    </row>
    <row r="69">
      <c r="A69" s="14" t="n">
        <v>73</v>
      </c>
      <c r="B69" s="14" t="inlineStr">
        <is>
          <t>273.pdf</t>
        </is>
      </c>
      <c r="C69" s="44" t="n">
        <v>46113</v>
      </c>
      <c r="D69" s="44" t="n">
        <v>46142</v>
      </c>
      <c r="E69" s="44" t="n">
        <v>46131</v>
      </c>
      <c r="F69" s="44" t="n">
        <v>46131</v>
      </c>
      <c r="G69" s="16" t="inlineStr">
        <is>
          <t>EBANK:WIB/1504 EBANK:WIB/1504657570/Edfs</t>
        </is>
      </c>
      <c r="H69" s="14" t="str"/>
      <c r="I69" s="14" t="inlineStr">
        <is>
          <t>Receipt</t>
        </is>
      </c>
      <c r="J69" s="43" t="n">
        <v>0</v>
      </c>
      <c r="K69" s="43" t="n">
        <v>259433</v>
      </c>
      <c r="L69" s="43" t="n">
        <v>259433</v>
      </c>
      <c r="M69" s="43" t="n">
        <v>-7330099.77</v>
      </c>
      <c r="N69" s="14" t="inlineStr">
        <is>
          <t>High Transaction; Recurring Transaction</t>
        </is>
      </c>
      <c r="O69" s="14" t="inlineStr">
        <is>
          <t>Yes</t>
        </is>
      </c>
      <c r="P69" s="14" t="inlineStr">
        <is>
          <t>EBANKWIB</t>
        </is>
      </c>
      <c r="Q69" s="14" t="n">
        <v>0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4" t="n">
        <v>46131</v>
      </c>
      <c r="AB69" s="46">
        <f>HYPERLINK("#'Transactions'!A74", "View Source Row")</f>
        <v/>
      </c>
    </row>
    <row r="70">
      <c r="A70" s="14" t="n">
        <v>74</v>
      </c>
      <c r="B70" s="14" t="inlineStr">
        <is>
          <t>273.pdf</t>
        </is>
      </c>
      <c r="C70" s="44" t="n">
        <v>46113</v>
      </c>
      <c r="D70" s="44" t="n">
        <v>46142</v>
      </c>
      <c r="E70" s="44" t="n">
        <v>46131</v>
      </c>
      <c r="F70" s="44" t="n">
        <v>46131</v>
      </c>
      <c r="G70" s="16" t="inlineStr">
        <is>
          <t>RTGS-BARBR5202 RTGS-BARBR52026041900792985-HINDUSTAN PETROLEUM CO</t>
        </is>
      </c>
      <c r="H70" s="14" t="str"/>
      <c r="I70" s="14" t="inlineStr">
        <is>
          <t>Payment</t>
        </is>
      </c>
      <c r="J70" s="43" t="n">
        <v>1933014</v>
      </c>
      <c r="K70" s="43" t="n">
        <v>0</v>
      </c>
      <c r="L70" s="43" t="n">
        <v>1933014</v>
      </c>
      <c r="M70" s="43" t="n">
        <v>-9263113.77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BARBR RTGS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4" t="n">
        <v>46131</v>
      </c>
      <c r="AB70" s="46">
        <f>HYPERLINK("#'Transactions'!A75", "View Source Row")</f>
        <v/>
      </c>
    </row>
    <row r="71">
      <c r="A71" s="14" t="n">
        <v>76</v>
      </c>
      <c r="B71" s="14" t="inlineStr">
        <is>
          <t>273.pdf</t>
        </is>
      </c>
      <c r="C71" s="44" t="n">
        <v>46113</v>
      </c>
      <c r="D71" s="44" t="n">
        <v>46142</v>
      </c>
      <c r="E71" s="44" t="n">
        <v>46131</v>
      </c>
      <c r="F71" s="44" t="n">
        <v>46131</v>
      </c>
      <c r="G71" s="16" t="inlineStr">
        <is>
          <t>EBANK:WIB/1504 EBANK:WIB/1504707135/Edfs</t>
        </is>
      </c>
      <c r="H71" s="14" t="str"/>
      <c r="I71" s="14" t="inlineStr">
        <is>
          <t>Receipt</t>
        </is>
      </c>
      <c r="J71" s="43" t="n">
        <v>0</v>
      </c>
      <c r="K71" s="43" t="n">
        <v>211310.53</v>
      </c>
      <c r="L71" s="43" t="n">
        <v>211310.53</v>
      </c>
      <c r="M71" s="43" t="n">
        <v>-9052129.23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EBANKWIB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4" t="n">
        <v>46131</v>
      </c>
      <c r="AB71" s="46">
        <f>HYPERLINK("#'Transactions'!A77", "View Source Row")</f>
        <v/>
      </c>
    </row>
    <row r="72">
      <c r="A72" s="14" t="n">
        <v>77</v>
      </c>
      <c r="B72" s="14" t="inlineStr">
        <is>
          <t>273.pdf</t>
        </is>
      </c>
      <c r="C72" s="44" t="n">
        <v>46113</v>
      </c>
      <c r="D72" s="44" t="n">
        <v>46142</v>
      </c>
      <c r="E72" s="44" t="n">
        <v>46132</v>
      </c>
      <c r="F72" s="44" t="n">
        <v>46132</v>
      </c>
      <c r="G72" s="16" t="inlineStr">
        <is>
          <t>EBANK:WIB/1504 EBANK:WIB/1504717278/Edfs</t>
        </is>
      </c>
      <c r="H72" s="14" t="str"/>
      <c r="I72" s="14" t="inlineStr">
        <is>
          <t>Receipt</t>
        </is>
      </c>
      <c r="J72" s="43" t="n">
        <v>0</v>
      </c>
      <c r="K72" s="43" t="n">
        <v>260572.52</v>
      </c>
      <c r="L72" s="43" t="n">
        <v>260572.52</v>
      </c>
      <c r="M72" s="43" t="n">
        <v>-8791556.710000001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4" t="n">
        <v>46132</v>
      </c>
      <c r="AB72" s="46">
        <f>HYPERLINK("#'Transactions'!A78", "View Source Row")</f>
        <v/>
      </c>
    </row>
    <row r="73">
      <c r="A73" s="14" t="n">
        <v>78</v>
      </c>
      <c r="B73" s="14" t="inlineStr">
        <is>
          <t>273.pdf</t>
        </is>
      </c>
      <c r="C73" s="44" t="n">
        <v>46113</v>
      </c>
      <c r="D73" s="44" t="n">
        <v>46142</v>
      </c>
      <c r="E73" s="44" t="n">
        <v>46132</v>
      </c>
      <c r="F73" s="44" t="n">
        <v>46132</v>
      </c>
      <c r="G73" s="16" t="inlineStr">
        <is>
          <t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73" s="14" t="str"/>
      <c r="I73" s="14" t="inlineStr">
        <is>
          <t>Payment</t>
        </is>
      </c>
      <c r="J73" s="43" t="n">
        <v>215.15</v>
      </c>
      <c r="K73" s="43" t="n">
        <v>0</v>
      </c>
      <c r="L73" s="43" t="n">
        <v>215.15</v>
      </c>
      <c r="M73" s="43" t="n">
        <v>-8791771.859999999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PAGE TOTAL   DR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4" t="n">
        <v>46132</v>
      </c>
      <c r="AB73" s="46">
        <f>HYPERLINK("#'Transactions'!A79", "View Source Row")</f>
        <v/>
      </c>
    </row>
    <row r="74">
      <c r="A74" s="14" t="n">
        <v>79</v>
      </c>
      <c r="B74" s="14" t="inlineStr">
        <is>
          <t>273.pdf</t>
        </is>
      </c>
      <c r="C74" s="44" t="n">
        <v>46113</v>
      </c>
      <c r="D74" s="44" t="n">
        <v>46142</v>
      </c>
      <c r="E74" s="44" t="n">
        <v>46132</v>
      </c>
      <c r="F74" s="44" t="n">
        <v>46132</v>
      </c>
      <c r="G74" s="16" t="inlineStr">
        <is>
          <t>BY CASH BY CASH</t>
        </is>
      </c>
      <c r="H74" s="14" t="str"/>
      <c r="I74" s="14" t="inlineStr">
        <is>
          <t>Receipt</t>
        </is>
      </c>
      <c r="J74" s="43" t="n">
        <v>0</v>
      </c>
      <c r="K74" s="43" t="n">
        <v>336500</v>
      </c>
      <c r="L74" s="43" t="n">
        <v>336500</v>
      </c>
      <c r="M74" s="43" t="n">
        <v>-8455271.859999999</v>
      </c>
      <c r="N74" s="14" t="inlineStr">
        <is>
          <t>Cash; High Transaction; Recurring Transaction</t>
        </is>
      </c>
      <c r="O74" s="14" t="inlineStr">
        <is>
          <t>Yes</t>
        </is>
      </c>
      <c r="P74" s="14" t="inlineStr">
        <is>
          <t>BY CASH BY CASH</t>
        </is>
      </c>
      <c r="Q74" s="14" t="n">
        <v>1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4" t="n">
        <v>46132</v>
      </c>
      <c r="AB74" s="46">
        <f>HYPERLINK("#'Transactions'!A80", "View Source Row")</f>
        <v/>
      </c>
    </row>
    <row r="75">
      <c r="A75" s="14" t="n">
        <v>80</v>
      </c>
      <c r="B75" s="14" t="inlineStr">
        <is>
          <t>273.pdf</t>
        </is>
      </c>
      <c r="C75" s="44" t="n">
        <v>46113</v>
      </c>
      <c r="D75" s="44" t="n">
        <v>46142</v>
      </c>
      <c r="E75" s="44" t="n">
        <v>46132</v>
      </c>
      <c r="F75" s="44" t="n">
        <v>46132</v>
      </c>
      <c r="G75" s="16" t="inlineStr">
        <is>
          <t>EBANK:WIB/1504 EBANK:WIB/1504868004/Edfs</t>
        </is>
      </c>
      <c r="H75" s="14" t="str"/>
      <c r="I75" s="14" t="inlineStr">
        <is>
          <t>Receipt</t>
        </is>
      </c>
      <c r="J75" s="43" t="n">
        <v>0</v>
      </c>
      <c r="K75" s="43" t="n">
        <v>287084.78</v>
      </c>
      <c r="L75" s="43" t="n">
        <v>287084.78</v>
      </c>
      <c r="M75" s="43" t="n">
        <v>-8168187.08</v>
      </c>
      <c r="N75" s="14" t="inlineStr">
        <is>
          <t>High Transaction; Recurring Transaction</t>
        </is>
      </c>
      <c r="O75" s="14" t="inlineStr">
        <is>
          <t>Yes</t>
        </is>
      </c>
      <c r="P75" s="14" t="inlineStr">
        <is>
          <t>EBANKWIB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4" t="n">
        <v>46132</v>
      </c>
      <c r="AB75" s="46">
        <f>HYPERLINK("#'Transactions'!A81", "View Source Row")</f>
        <v/>
      </c>
    </row>
    <row r="76">
      <c r="A76" s="14" t="n">
        <v>81</v>
      </c>
      <c r="B76" s="14" t="inlineStr">
        <is>
          <t>273.pdf</t>
        </is>
      </c>
      <c r="C76" s="44" t="n">
        <v>46113</v>
      </c>
      <c r="D76" s="44" t="n">
        <v>46142</v>
      </c>
      <c r="E76" s="44" t="n">
        <v>46133</v>
      </c>
      <c r="F76" s="44" t="n">
        <v>46133</v>
      </c>
      <c r="G76" s="16" t="inlineStr">
        <is>
          <t>EBANK:WIB/1504 EBANK:WIB/1504892301/Edfs</t>
        </is>
      </c>
      <c r="H76" s="14" t="str"/>
      <c r="I76" s="14" t="inlineStr">
        <is>
          <t>Receipt</t>
        </is>
      </c>
      <c r="J76" s="43" t="n">
        <v>0</v>
      </c>
      <c r="K76" s="43" t="n">
        <v>333445.92</v>
      </c>
      <c r="L76" s="43" t="n">
        <v>333445.92</v>
      </c>
      <c r="M76" s="43" t="n">
        <v>-7834741.16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EBANKWIB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4" t="n">
        <v>46133</v>
      </c>
      <c r="AB76" s="46">
        <f>HYPERLINK("#'Transactions'!A82", "View Source Row")</f>
        <v/>
      </c>
    </row>
    <row r="77">
      <c r="A77" s="14" t="n">
        <v>83</v>
      </c>
      <c r="B77" s="14" t="inlineStr">
        <is>
          <t>273.pdf</t>
        </is>
      </c>
      <c r="C77" s="44" t="n">
        <v>46113</v>
      </c>
      <c r="D77" s="44" t="n">
        <v>46142</v>
      </c>
      <c r="E77" s="44" t="n">
        <v>46133</v>
      </c>
      <c r="F77" s="44" t="n">
        <v>46133</v>
      </c>
      <c r="G77" s="16" t="inlineStr">
        <is>
          <t>RTGS-BARBR5202 RTGS-BARBR52026042100866436-HINDUSTAN PETROLEUM CO</t>
        </is>
      </c>
      <c r="H77" s="14" t="str"/>
      <c r="I77" s="14" t="inlineStr">
        <is>
          <t>Payment</t>
        </is>
      </c>
      <c r="J77" s="43" t="n">
        <v>2042157.6</v>
      </c>
      <c r="K77" s="43" t="n">
        <v>0</v>
      </c>
      <c r="L77" s="43" t="n">
        <v>2042157.6</v>
      </c>
      <c r="M77" s="43" t="n">
        <v>-9876905.640000001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BARBR RTGS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4" t="n">
        <v>46133</v>
      </c>
      <c r="AB77" s="46">
        <f>HYPERLINK("#'Transactions'!A84", "View Source Row")</f>
        <v/>
      </c>
    </row>
    <row r="78">
      <c r="A78" s="14" t="n">
        <v>84</v>
      </c>
      <c r="B78" s="14" t="inlineStr">
        <is>
          <t>273.pdf</t>
        </is>
      </c>
      <c r="C78" s="44" t="n">
        <v>46113</v>
      </c>
      <c r="D78" s="44" t="n">
        <v>46142</v>
      </c>
      <c r="E78" s="44" t="n">
        <v>46133</v>
      </c>
      <c r="F78" s="44" t="n">
        <v>46133</v>
      </c>
      <c r="G78" s="16" t="inlineStr">
        <is>
          <t>BY CASH BY CASH</t>
        </is>
      </c>
      <c r="H78" s="14" t="str"/>
      <c r="I78" s="14" t="inlineStr">
        <is>
          <t>Receipt</t>
        </is>
      </c>
      <c r="J78" s="43" t="n">
        <v>0</v>
      </c>
      <c r="K78" s="43" t="n">
        <v>150500</v>
      </c>
      <c r="L78" s="43" t="n">
        <v>150500</v>
      </c>
      <c r="M78" s="43" t="n">
        <v>-9726405.640000001</v>
      </c>
      <c r="N78" s="14" t="inlineStr">
        <is>
          <t>Cash; High Transaction; Recurring Transaction</t>
        </is>
      </c>
      <c r="O78" s="14" t="inlineStr">
        <is>
          <t>Yes</t>
        </is>
      </c>
      <c r="P78" s="14" t="inlineStr">
        <is>
          <t>BY CASH BY CASH</t>
        </is>
      </c>
      <c r="Q78" s="14" t="n">
        <v>1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4" t="n">
        <v>46133</v>
      </c>
      <c r="AB78" s="46">
        <f>HYPERLINK("#'Transactions'!A85", "View Source Row")</f>
        <v/>
      </c>
    </row>
    <row r="79">
      <c r="A79" s="14" t="n">
        <v>85</v>
      </c>
      <c r="B79" s="14" t="inlineStr">
        <is>
          <t>273.pdf</t>
        </is>
      </c>
      <c r="C79" s="44" t="n">
        <v>46113</v>
      </c>
      <c r="D79" s="44" t="n">
        <v>46142</v>
      </c>
      <c r="E79" s="44" t="n">
        <v>46133</v>
      </c>
      <c r="F79" s="44" t="n">
        <v>46133</v>
      </c>
      <c r="G79" s="16" t="inlineStr">
        <is>
          <t>EBANK:WIB/1505 EBANK:WIB/1505043394/Edfs</t>
        </is>
      </c>
      <c r="H79" s="14" t="str"/>
      <c r="I79" s="14" t="inlineStr">
        <is>
          <t>Receipt</t>
        </is>
      </c>
      <c r="J79" s="43" t="n">
        <v>0</v>
      </c>
      <c r="K79" s="43" t="n">
        <v>108963.7</v>
      </c>
      <c r="L79" s="43" t="n">
        <v>108963.7</v>
      </c>
      <c r="M79" s="43" t="n">
        <v>-9617441.939999999</v>
      </c>
      <c r="N79" s="14" t="inlineStr">
        <is>
          <t>High Transaction; Recurring Transaction</t>
        </is>
      </c>
      <c r="O79" s="14" t="inlineStr">
        <is>
          <t>Yes</t>
        </is>
      </c>
      <c r="P79" s="14" t="inlineStr">
        <is>
          <t>EBANKWIB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4" t="n">
        <v>46133</v>
      </c>
      <c r="AB79" s="46">
        <f>HYPERLINK("#'Transactions'!A86", "View Source Row")</f>
        <v/>
      </c>
    </row>
    <row r="80">
      <c r="A80" s="14" t="n">
        <v>86</v>
      </c>
      <c r="B80" s="14" t="inlineStr">
        <is>
          <t>273.pdf</t>
        </is>
      </c>
      <c r="C80" s="44" t="n">
        <v>46113</v>
      </c>
      <c r="D80" s="44" t="n">
        <v>46142</v>
      </c>
      <c r="E80" s="44" t="n">
        <v>46134</v>
      </c>
      <c r="F80" s="44" t="n">
        <v>46134</v>
      </c>
      <c r="G80" s="16" t="inlineStr">
        <is>
          <t>0000-MUMBAI/IN INT260407DEAL6316451</t>
        </is>
      </c>
      <c r="H80" s="14" t="str"/>
      <c r="I80" s="14" t="inlineStr">
        <is>
          <t>Payment</t>
        </is>
      </c>
      <c r="J80" s="43" t="n">
        <v>6617.14</v>
      </c>
      <c r="K80" s="43" t="n">
        <v>0</v>
      </c>
      <c r="L80" s="43" t="n">
        <v>6617.14</v>
      </c>
      <c r="M80" s="43" t="n">
        <v>-9624059.08</v>
      </c>
      <c r="N80" s="14" t="inlineStr">
        <is>
          <t>Recurring Transaction</t>
        </is>
      </c>
      <c r="O80" s="14" t="inlineStr">
        <is>
          <t>Yes</t>
        </is>
      </c>
      <c r="P80" s="14" t="inlineStr">
        <is>
          <t>IN INTDEAL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4" t="n">
        <v>46134</v>
      </c>
      <c r="AB80" s="46">
        <f>HYPERLINK("#'Transactions'!A87", "View Source Row")</f>
        <v/>
      </c>
    </row>
    <row r="81">
      <c r="A81" s="14" t="n">
        <v>87</v>
      </c>
      <c r="B81" s="14" t="inlineStr">
        <is>
          <t>273.pdf</t>
        </is>
      </c>
      <c r="C81" s="44" t="n">
        <v>46113</v>
      </c>
      <c r="D81" s="44" t="n">
        <v>46142</v>
      </c>
      <c r="E81" s="44" t="n">
        <v>46134</v>
      </c>
      <c r="F81" s="44" t="n">
        <v>46134</v>
      </c>
      <c r="G81" s="16" t="inlineStr">
        <is>
          <t>EBANK:WIB/1505 EBANK:WIB/1505048812/Edfs</t>
        </is>
      </c>
      <c r="H81" s="14" t="str"/>
      <c r="I81" s="14" t="inlineStr">
        <is>
          <t>Receipt</t>
        </is>
      </c>
      <c r="J81" s="43" t="n">
        <v>0</v>
      </c>
      <c r="K81" s="43" t="n">
        <v>259307.24</v>
      </c>
      <c r="L81" s="43" t="n">
        <v>259307.24</v>
      </c>
      <c r="M81" s="43" t="n">
        <v>-9364751.84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EBANKWIB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4" t="n">
        <v>46134</v>
      </c>
      <c r="AB81" s="46">
        <f>HYPERLINK("#'Transactions'!A88", "View Source Row")</f>
        <v/>
      </c>
    </row>
    <row r="82">
      <c r="A82" s="14" t="n">
        <v>88</v>
      </c>
      <c r="B82" s="14" t="inlineStr">
        <is>
          <t>273.pdf</t>
        </is>
      </c>
      <c r="C82" s="44" t="n">
        <v>46113</v>
      </c>
      <c r="D82" s="44" t="n">
        <v>46142</v>
      </c>
      <c r="E82" s="44" t="n">
        <v>46134</v>
      </c>
      <c r="F82" s="44" t="n">
        <v>46134</v>
      </c>
      <c r="G82" s="16" t="inlineStr">
        <is>
          <t>0000-MUMBAI/IN INT260407DEAL6316451</t>
        </is>
      </c>
      <c r="H82" s="14" t="str"/>
      <c r="I82" s="14" t="inlineStr">
        <is>
          <t>Receipt</t>
        </is>
      </c>
      <c r="J82" s="43" t="n">
        <v>0</v>
      </c>
      <c r="K82" s="43" t="n">
        <v>25.67</v>
      </c>
      <c r="L82" s="43" t="n">
        <v>25.67</v>
      </c>
      <c r="M82" s="43" t="n">
        <v>-9364726.17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IN INTDEAL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4" t="n">
        <v>46134</v>
      </c>
      <c r="AB82" s="46">
        <f>HYPERLINK("#'Transactions'!A89", "View Source Row")</f>
        <v/>
      </c>
    </row>
    <row r="83">
      <c r="A83" s="14" t="n">
        <v>89</v>
      </c>
      <c r="B83" s="14" t="inlineStr">
        <is>
          <t>273.pdf</t>
        </is>
      </c>
      <c r="C83" s="44" t="n">
        <v>46113</v>
      </c>
      <c r="D83" s="44" t="n">
        <v>46142</v>
      </c>
      <c r="E83" s="44" t="n">
        <v>46134</v>
      </c>
      <c r="F83" s="44" t="n">
        <v>46134</v>
      </c>
      <c r="G83" s="16" t="inlineStr">
        <is>
          <t>BY CASH BY CASH</t>
        </is>
      </c>
      <c r="H83" s="14" t="str"/>
      <c r="I83" s="14" t="inlineStr">
        <is>
          <t>Receipt</t>
        </is>
      </c>
      <c r="J83" s="43" t="n">
        <v>0</v>
      </c>
      <c r="K83" s="43" t="n">
        <v>609000</v>
      </c>
      <c r="L83" s="43" t="n">
        <v>609000</v>
      </c>
      <c r="M83" s="43" t="n">
        <v>-8755726.17</v>
      </c>
      <c r="N83" s="14" t="inlineStr">
        <is>
          <t>Cash; High Transaction; Recurring Transaction</t>
        </is>
      </c>
      <c r="O83" s="14" t="inlineStr">
        <is>
          <t>Yes</t>
        </is>
      </c>
      <c r="P83" s="14" t="inlineStr">
        <is>
          <t>BY CASH BY CASH</t>
        </is>
      </c>
      <c r="Q83" s="14" t="n">
        <v>1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4" t="n">
        <v>46134</v>
      </c>
      <c r="AB83" s="46">
        <f>HYPERLINK("#'Transactions'!A90", "View Source Row")</f>
        <v/>
      </c>
    </row>
    <row r="84">
      <c r="A84" s="14" t="n">
        <v>90</v>
      </c>
      <c r="B84" s="14" t="inlineStr">
        <is>
          <t>273.pdf</t>
        </is>
      </c>
      <c r="C84" s="44" t="n">
        <v>46113</v>
      </c>
      <c r="D84" s="44" t="n">
        <v>46142</v>
      </c>
      <c r="E84" s="44" t="n">
        <v>46134</v>
      </c>
      <c r="F84" s="44" t="n">
        <v>46134</v>
      </c>
      <c r="G84" s="16" t="inlineStr">
        <is>
          <t>EBANK:WIB/1505 EBANK:WIB/1505171210/Edfs</t>
        </is>
      </c>
      <c r="H84" s="14" t="str"/>
      <c r="I84" s="14" t="inlineStr">
        <is>
          <t>Receipt</t>
        </is>
      </c>
      <c r="J84" s="43" t="n">
        <v>0</v>
      </c>
      <c r="K84" s="43" t="n">
        <v>356256.8</v>
      </c>
      <c r="L84" s="43" t="n">
        <v>356256.8</v>
      </c>
      <c r="M84" s="43" t="n">
        <v>-8399469.369999999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EBANKWIB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4" t="n">
        <v>46134</v>
      </c>
      <c r="AB84" s="46">
        <f>HYPERLINK("#'Transactions'!A91", "View Source Row")</f>
        <v/>
      </c>
    </row>
    <row r="85">
      <c r="A85" s="14" t="n">
        <v>91</v>
      </c>
      <c r="B85" s="14" t="inlineStr">
        <is>
          <t>273.pdf</t>
        </is>
      </c>
      <c r="C85" s="44" t="n">
        <v>46113</v>
      </c>
      <c r="D85" s="44" t="n">
        <v>46142</v>
      </c>
      <c r="E85" s="44" t="n">
        <v>46134</v>
      </c>
      <c r="F85" s="44" t="n">
        <v>46134</v>
      </c>
      <c r="G85" s="16" t="inlineStr">
        <is>
          <t>RTGS-BARBR5202 RTGS-BARBR52026042200989175-HINDUSTAN PETROLEUM CO</t>
        </is>
      </c>
      <c r="H85" s="14" t="str"/>
      <c r="I85" s="14" t="inlineStr">
        <is>
          <t>Payment</t>
        </is>
      </c>
      <c r="J85" s="43" t="n">
        <v>1600530</v>
      </c>
      <c r="K85" s="43" t="n">
        <v>0</v>
      </c>
      <c r="L85" s="43" t="n">
        <v>1600530</v>
      </c>
      <c r="M85" s="43" t="n">
        <v>-9999999.369999999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BARBR RTGS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4" t="n">
        <v>46134</v>
      </c>
      <c r="AB85" s="46">
        <f>HYPERLINK("#'Transactions'!A92", "View Source Row")</f>
        <v/>
      </c>
    </row>
    <row r="86">
      <c r="A86" s="14" t="n">
        <v>92</v>
      </c>
      <c r="B86" s="14" t="inlineStr">
        <is>
          <t>273.pdf</t>
        </is>
      </c>
      <c r="C86" s="44" t="n">
        <v>46113</v>
      </c>
      <c r="D86" s="44" t="n">
        <v>46142</v>
      </c>
      <c r="E86" s="44" t="n">
        <v>46134</v>
      </c>
      <c r="F86" s="44" t="n">
        <v>46134</v>
      </c>
      <c r="G86" s="16" t="inlineStr">
        <is>
          <t>EBANK:WIB/1505 EBANK:WIB/1505187993/Edfs</t>
        </is>
      </c>
      <c r="H86" s="14" t="str"/>
      <c r="I86" s="14" t="inlineStr">
        <is>
          <t>Receipt</t>
        </is>
      </c>
      <c r="J86" s="43" t="n">
        <v>0</v>
      </c>
      <c r="K86" s="43" t="n">
        <v>50000</v>
      </c>
      <c r="L86" s="43" t="n">
        <v>50000</v>
      </c>
      <c r="M86" s="43" t="n">
        <v>-9949999.369999999</v>
      </c>
      <c r="N86" s="14" t="inlineStr">
        <is>
          <t>Recurring Transaction</t>
        </is>
      </c>
      <c r="O86" s="14" t="inlineStr">
        <is>
          <t>Yes</t>
        </is>
      </c>
      <c r="P86" s="14" t="inlineStr">
        <is>
          <t>EBANKWIB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4" t="n">
        <v>46134</v>
      </c>
      <c r="AB86" s="46">
        <f>HYPERLINK("#'Transactions'!A93", "View Source Row")</f>
        <v/>
      </c>
    </row>
    <row r="87">
      <c r="A87" s="14" t="n">
        <v>93</v>
      </c>
      <c r="B87" s="14" t="inlineStr">
        <is>
          <t>273.pdf</t>
        </is>
      </c>
      <c r="C87" s="44" t="n">
        <v>46113</v>
      </c>
      <c r="D87" s="44" t="n">
        <v>46142</v>
      </c>
      <c r="E87" s="44" t="n">
        <v>46135</v>
      </c>
      <c r="F87" s="44" t="n">
        <v>46135</v>
      </c>
      <c r="G87" s="16" t="inlineStr">
        <is>
          <t>EBANK:WIB/1505 EBANK:WIB/1505193929/Edfs</t>
        </is>
      </c>
      <c r="H87" s="14" t="str"/>
      <c r="I87" s="14" t="inlineStr">
        <is>
          <t>Receipt</t>
        </is>
      </c>
      <c r="J87" s="43" t="n">
        <v>0</v>
      </c>
      <c r="K87" s="43" t="n">
        <v>224683</v>
      </c>
      <c r="L87" s="43" t="n">
        <v>224683</v>
      </c>
      <c r="M87" s="43" t="n">
        <v>-9725316.369999999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EBANKWIB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4" t="n">
        <v>46135</v>
      </c>
      <c r="AB87" s="46">
        <f>HYPERLINK("#'Transactions'!A94", "View Source Row")</f>
        <v/>
      </c>
    </row>
    <row r="88">
      <c r="A88" s="14" t="n">
        <v>94</v>
      </c>
      <c r="B88" s="14" t="inlineStr">
        <is>
          <t>273.pdf</t>
        </is>
      </c>
      <c r="C88" s="44" t="n">
        <v>46113</v>
      </c>
      <c r="D88" s="44" t="n">
        <v>46142</v>
      </c>
      <c r="E88" s="44" t="n">
        <v>46135</v>
      </c>
      <c r="F88" s="44" t="n">
        <v>46135</v>
      </c>
      <c r="G88" s="16" t="inlineStr">
        <is>
          <t>EBANK:WIB/1505 EBANK:WIB/1505194002/Edfs</t>
        </is>
      </c>
      <c r="H88" s="14" t="str"/>
      <c r="I88" s="14" t="inlineStr">
        <is>
          <t>Receipt</t>
        </is>
      </c>
      <c r="J88" s="43" t="n">
        <v>0</v>
      </c>
      <c r="K88" s="43" t="n">
        <v>82795.52</v>
      </c>
      <c r="L88" s="43" t="n">
        <v>82795.52</v>
      </c>
      <c r="M88" s="43" t="n">
        <v>-9642520.85</v>
      </c>
      <c r="N88" s="14" t="inlineStr">
        <is>
          <t>Recurring Transaction</t>
        </is>
      </c>
      <c r="O88" s="14" t="inlineStr">
        <is>
          <t>Yes</t>
        </is>
      </c>
      <c r="P88" s="14" t="inlineStr">
        <is>
          <t>EBANKWIB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4" t="n">
        <v>46135</v>
      </c>
      <c r="AB88" s="46">
        <f>HYPERLINK("#'Transactions'!A95", "View Source Row")</f>
        <v/>
      </c>
    </row>
    <row r="89">
      <c r="A89" s="14" t="n">
        <v>95</v>
      </c>
      <c r="B89" s="14" t="inlineStr">
        <is>
          <t>273.pdf</t>
        </is>
      </c>
      <c r="C89" s="44" t="n">
        <v>46113</v>
      </c>
      <c r="D89" s="44" t="n">
        <v>46142</v>
      </c>
      <c r="E89" s="44" t="n">
        <v>46135</v>
      </c>
      <c r="F89" s="44" t="n">
        <v>46135</v>
      </c>
      <c r="G89" s="16" t="inlineStr">
        <is>
          <t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89" s="14" t="str"/>
      <c r="I89" s="14" t="inlineStr">
        <is>
          <t>Payment</t>
        </is>
      </c>
      <c r="J89" s="43" t="n">
        <v>16.71</v>
      </c>
      <c r="K89" s="43" t="n">
        <v>0</v>
      </c>
      <c r="L89" s="43" t="n">
        <v>16.71</v>
      </c>
      <c r="M89" s="43" t="n">
        <v>-9642537.560000001</v>
      </c>
      <c r="N89" s="14" t="inlineStr">
        <is>
          <t>Recurring Transaction</t>
        </is>
      </c>
      <c r="O89" s="14" t="inlineStr">
        <is>
          <t>Yes</t>
        </is>
      </c>
      <c r="P89" s="14" t="inlineStr">
        <is>
          <t>PAGE TOTAL   DR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4" t="n">
        <v>46135</v>
      </c>
      <c r="AB89" s="46">
        <f>HYPERLINK("#'Transactions'!A96", "View Source Row")</f>
        <v/>
      </c>
    </row>
    <row r="90">
      <c r="A90" s="14" t="n">
        <v>96</v>
      </c>
      <c r="B90" s="14" t="inlineStr">
        <is>
          <t>273.pdf</t>
        </is>
      </c>
      <c r="C90" s="44" t="n">
        <v>46113</v>
      </c>
      <c r="D90" s="44" t="n">
        <v>46142</v>
      </c>
      <c r="E90" s="44" t="n">
        <v>46135</v>
      </c>
      <c r="F90" s="44" t="n">
        <v>46135</v>
      </c>
      <c r="G90" s="16" t="inlineStr">
        <is>
          <t>EBANK:WIB/1505 EBANK:WIB/1505205959/Edfs</t>
        </is>
      </c>
      <c r="H90" s="14" t="str"/>
      <c r="I90" s="14" t="inlineStr">
        <is>
          <t>Receipt</t>
        </is>
      </c>
      <c r="J90" s="43" t="n">
        <v>0</v>
      </c>
      <c r="K90" s="43" t="n">
        <v>269000</v>
      </c>
      <c r="L90" s="43" t="n">
        <v>269000</v>
      </c>
      <c r="M90" s="43" t="n">
        <v>-9373537.560000001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EBANKWIB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4" t="n">
        <v>46135</v>
      </c>
      <c r="AB90" s="46">
        <f>HYPERLINK("#'Transactions'!A97", "View Source Row")</f>
        <v/>
      </c>
    </row>
    <row r="91">
      <c r="A91" s="14" t="n">
        <v>97</v>
      </c>
      <c r="B91" s="14" t="inlineStr">
        <is>
          <t>273.pdf</t>
        </is>
      </c>
      <c r="C91" s="44" t="n">
        <v>46113</v>
      </c>
      <c r="D91" s="44" t="n">
        <v>46142</v>
      </c>
      <c r="E91" s="44" t="n">
        <v>46135</v>
      </c>
      <c r="F91" s="44" t="n">
        <v>46135</v>
      </c>
      <c r="G91" s="16" t="inlineStr">
        <is>
          <t>RTGS-BARBR5202 RTGS-BARBR52026042300993365-HINDUSTAN PETROLEUM CO</t>
        </is>
      </c>
      <c r="H91" s="14" t="str"/>
      <c r="I91" s="14" t="inlineStr">
        <is>
          <t>Payment</t>
        </is>
      </c>
      <c r="J91" s="43" t="n">
        <v>428234.82</v>
      </c>
      <c r="K91" s="43" t="n">
        <v>0</v>
      </c>
      <c r="L91" s="43" t="n">
        <v>428234.82</v>
      </c>
      <c r="M91" s="43" t="n">
        <v>-9801772.380000001</v>
      </c>
      <c r="N91" s="14" t="inlineStr">
        <is>
          <t>High Transaction; Recurring Transaction</t>
        </is>
      </c>
      <c r="O91" s="14" t="inlineStr">
        <is>
          <t>Yes</t>
        </is>
      </c>
      <c r="P91" s="14" t="inlineStr">
        <is>
          <t>BARBR RTGS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4" t="n">
        <v>46135</v>
      </c>
      <c r="AB91" s="46">
        <f>HYPERLINK("#'Transactions'!A98", "View Source Row")</f>
        <v/>
      </c>
    </row>
    <row r="92">
      <c r="A92" s="14" t="n">
        <v>98</v>
      </c>
      <c r="B92" s="14" t="inlineStr">
        <is>
          <t>273.pdf</t>
        </is>
      </c>
      <c r="C92" s="44" t="n">
        <v>46113</v>
      </c>
      <c r="D92" s="44" t="n">
        <v>46142</v>
      </c>
      <c r="E92" s="44" t="n">
        <v>46135</v>
      </c>
      <c r="F92" s="44" t="n">
        <v>46135</v>
      </c>
      <c r="G92" s="16" t="inlineStr">
        <is>
          <t>BY CASH BY CASH</t>
        </is>
      </c>
      <c r="H92" s="14" t="str"/>
      <c r="I92" s="14" t="inlineStr">
        <is>
          <t>Receipt</t>
        </is>
      </c>
      <c r="J92" s="43" t="n">
        <v>0</v>
      </c>
      <c r="K92" s="43" t="n">
        <v>253500</v>
      </c>
      <c r="L92" s="43" t="n">
        <v>253500</v>
      </c>
      <c r="M92" s="43" t="n">
        <v>-9548272.380000001</v>
      </c>
      <c r="N92" s="14" t="inlineStr">
        <is>
          <t>Cash; High Transaction; Recurring Transaction</t>
        </is>
      </c>
      <c r="O92" s="14" t="inlineStr">
        <is>
          <t>Yes</t>
        </is>
      </c>
      <c r="P92" s="14" t="inlineStr">
        <is>
          <t>BY CASH BY CASH</t>
        </is>
      </c>
      <c r="Q92" s="14" t="n">
        <v>1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4" t="n">
        <v>46135</v>
      </c>
      <c r="AB92" s="46">
        <f>HYPERLINK("#'Transactions'!A99", "View Source Row")</f>
        <v/>
      </c>
    </row>
    <row r="93">
      <c r="A93" s="14" t="n">
        <v>99</v>
      </c>
      <c r="B93" s="14" t="inlineStr">
        <is>
          <t>273.pdf</t>
        </is>
      </c>
      <c r="C93" s="44" t="n">
        <v>46113</v>
      </c>
      <c r="D93" s="44" t="n">
        <v>46142</v>
      </c>
      <c r="E93" s="44" t="n">
        <v>46135</v>
      </c>
      <c r="F93" s="44" t="n">
        <v>46135</v>
      </c>
      <c r="G93" s="16" t="inlineStr">
        <is>
          <t>RTGS-BARBR5202 RTGS-BARBR52026042300772587-HINDUSTAN PETROLEUM CO</t>
        </is>
      </c>
      <c r="H93" s="14" t="str"/>
      <c r="I93" s="14" t="inlineStr">
        <is>
          <t>Payment</t>
        </is>
      </c>
      <c r="J93" s="43" t="n">
        <v>451000</v>
      </c>
      <c r="K93" s="43" t="n">
        <v>0</v>
      </c>
      <c r="L93" s="43" t="n">
        <v>451000</v>
      </c>
      <c r="M93" s="43" t="n">
        <v>-9999272.380000001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BARBR RTGS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4" t="n">
        <v>46135</v>
      </c>
      <c r="AB93" s="46">
        <f>HYPERLINK("#'Transactions'!A100", "View Source Row")</f>
        <v/>
      </c>
    </row>
    <row r="94">
      <c r="A94" s="14" t="n">
        <v>100</v>
      </c>
      <c r="B94" s="14" t="inlineStr">
        <is>
          <t>273.pdf</t>
        </is>
      </c>
      <c r="C94" s="44" t="n">
        <v>46113</v>
      </c>
      <c r="D94" s="44" t="n">
        <v>46142</v>
      </c>
      <c r="E94" s="44" t="n">
        <v>46135</v>
      </c>
      <c r="F94" s="44" t="n">
        <v>46135</v>
      </c>
      <c r="G94" s="16" t="inlineStr">
        <is>
          <t>EBANK:WIB/1505 EBANK:WIB/1505315722/Edfs</t>
        </is>
      </c>
      <c r="H94" s="14" t="str"/>
      <c r="I94" s="14" t="inlineStr">
        <is>
          <t>Receipt</t>
        </is>
      </c>
      <c r="J94" s="43" t="n">
        <v>0</v>
      </c>
      <c r="K94" s="43" t="n">
        <v>222635.35</v>
      </c>
      <c r="L94" s="43" t="n">
        <v>222635.35</v>
      </c>
      <c r="M94" s="43" t="n">
        <v>-9776637.029999999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EBANKWIB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4" t="n">
        <v>46135</v>
      </c>
      <c r="AB94" s="46">
        <f>HYPERLINK("#'Transactions'!A101", "View Source Row")</f>
        <v/>
      </c>
    </row>
    <row r="95">
      <c r="A95" s="14" t="n">
        <v>101</v>
      </c>
      <c r="B95" s="14" t="inlineStr">
        <is>
          <t>273.pdf</t>
        </is>
      </c>
      <c r="C95" s="44" t="n">
        <v>46113</v>
      </c>
      <c r="D95" s="44" t="n">
        <v>46142</v>
      </c>
      <c r="E95" s="44" t="n">
        <v>46136</v>
      </c>
      <c r="F95" s="44" t="n">
        <v>46136</v>
      </c>
      <c r="G95" s="16" t="inlineStr">
        <is>
          <t>EBANK:WIB/1505 EBANK:WIB/1505337172/Edfs</t>
        </is>
      </c>
      <c r="H95" s="14" t="str"/>
      <c r="I95" s="14" t="inlineStr">
        <is>
          <t>Receipt</t>
        </is>
      </c>
      <c r="J95" s="43" t="n">
        <v>0</v>
      </c>
      <c r="K95" s="43" t="n">
        <v>400403</v>
      </c>
      <c r="L95" s="43" t="n">
        <v>400403</v>
      </c>
      <c r="M95" s="43" t="n">
        <v>-9376234.029999999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EBANKWIB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4" t="n">
        <v>46136</v>
      </c>
      <c r="AB95" s="46">
        <f>HYPERLINK("#'Transactions'!A102", "View Source Row")</f>
        <v/>
      </c>
    </row>
    <row r="96">
      <c r="A96" s="14" t="n">
        <v>102</v>
      </c>
      <c r="B96" s="14" t="inlineStr">
        <is>
          <t>273.pdf</t>
        </is>
      </c>
      <c r="C96" s="44" t="n">
        <v>46113</v>
      </c>
      <c r="D96" s="44" t="n">
        <v>46142</v>
      </c>
      <c r="E96" s="44" t="n">
        <v>46136</v>
      </c>
      <c r="F96" s="44" t="n">
        <v>46136</v>
      </c>
      <c r="G96" s="16" t="inlineStr">
        <is>
          <t>BY CASH BY CASH</t>
        </is>
      </c>
      <c r="H96" s="14" t="str"/>
      <c r="I96" s="14" t="inlineStr">
        <is>
          <t>Receipt</t>
        </is>
      </c>
      <c r="J96" s="43" t="n">
        <v>0</v>
      </c>
      <c r="K96" s="43" t="n">
        <v>281000</v>
      </c>
      <c r="L96" s="43" t="n">
        <v>281000</v>
      </c>
      <c r="M96" s="43" t="n">
        <v>-9095234.029999999</v>
      </c>
      <c r="N96" s="14" t="inlineStr">
        <is>
          <t>Cash; High Transaction; Recurring Transaction</t>
        </is>
      </c>
      <c r="O96" s="14" t="inlineStr">
        <is>
          <t>Yes</t>
        </is>
      </c>
      <c r="P96" s="14" t="inlineStr">
        <is>
          <t>BY CASH BY CASH</t>
        </is>
      </c>
      <c r="Q96" s="14" t="n">
        <v>1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4" t="n">
        <v>46136</v>
      </c>
      <c r="AB96" s="46">
        <f>HYPERLINK("#'Transactions'!A103", "View Source Row")</f>
        <v/>
      </c>
    </row>
    <row r="97">
      <c r="A97" s="14" t="n">
        <v>103</v>
      </c>
      <c r="B97" s="14" t="inlineStr">
        <is>
          <t>273.pdf</t>
        </is>
      </c>
      <c r="C97" s="44" t="n">
        <v>46113</v>
      </c>
      <c r="D97" s="44" t="n">
        <v>46142</v>
      </c>
      <c r="E97" s="44" t="n">
        <v>46136</v>
      </c>
      <c r="F97" s="44" t="n">
        <v>46136</v>
      </c>
      <c r="G97" s="16" t="inlineStr">
        <is>
          <t>VIRARW-THANE/B BY CASH</t>
        </is>
      </c>
      <c r="H97" s="14" t="str"/>
      <c r="I97" s="14" t="inlineStr">
        <is>
          <t>Receipt</t>
        </is>
      </c>
      <c r="J97" s="43" t="n">
        <v>0</v>
      </c>
      <c r="K97" s="43" t="n">
        <v>250000</v>
      </c>
      <c r="L97" s="43" t="n">
        <v>250000</v>
      </c>
      <c r="M97" s="43" t="n">
        <v>-8845234.029999999</v>
      </c>
      <c r="N97" s="14" t="inlineStr">
        <is>
          <t>Cash; High Transaction; Recurring Transaction</t>
        </is>
      </c>
      <c r="O97" s="14" t="inlineStr">
        <is>
          <t>Yes</t>
        </is>
      </c>
      <c r="P97" s="14" t="inlineStr">
        <is>
          <t>B BY CASH</t>
        </is>
      </c>
      <c r="Q97" s="14" t="n">
        <v>1</v>
      </c>
      <c r="R97" s="14" t="n">
        <v>1</v>
      </c>
      <c r="S97" s="14" t="n">
        <v>0</v>
      </c>
      <c r="T97" s="14" t="n">
        <v>0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4" t="n">
        <v>46136</v>
      </c>
      <c r="AB97" s="46">
        <f>HYPERLINK("#'Transactions'!A104", "View Source Row")</f>
        <v/>
      </c>
    </row>
    <row r="98">
      <c r="A98" s="14" t="n">
        <v>106</v>
      </c>
      <c r="B98" s="14" t="inlineStr">
        <is>
          <t>273.pdf</t>
        </is>
      </c>
      <c r="C98" s="44" t="n">
        <v>46113</v>
      </c>
      <c r="D98" s="44" t="n">
        <v>46142</v>
      </c>
      <c r="E98" s="44" t="n">
        <v>46136</v>
      </c>
      <c r="F98" s="44" t="n">
        <v>46136</v>
      </c>
      <c r="G98" s="16" t="inlineStr">
        <is>
          <t>RTGS-BARBR5202 RTGS-BARBR52026042400851908-HINDUSTAN PETROLEUM CO</t>
        </is>
      </c>
      <c r="H98" s="14" t="str"/>
      <c r="I98" s="14" t="inlineStr">
        <is>
          <t>Payment</t>
        </is>
      </c>
      <c r="J98" s="43" t="n">
        <v>1148985</v>
      </c>
      <c r="K98" s="43" t="n">
        <v>0</v>
      </c>
      <c r="L98" s="43" t="n">
        <v>1148985</v>
      </c>
      <c r="M98" s="43" t="n">
        <v>-9999999.33</v>
      </c>
      <c r="N98" s="14" t="inlineStr">
        <is>
          <t>High Transaction; Recurring Transaction</t>
        </is>
      </c>
      <c r="O98" s="14" t="inlineStr">
        <is>
          <t>Yes</t>
        </is>
      </c>
      <c r="P98" s="14" t="inlineStr">
        <is>
          <t>BARBR RTGS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1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4" t="n">
        <v>46136</v>
      </c>
      <c r="AB98" s="46">
        <f>HYPERLINK("#'Transactions'!A107", "View Source Row")</f>
        <v/>
      </c>
    </row>
    <row r="99">
      <c r="A99" s="14" t="n">
        <v>107</v>
      </c>
      <c r="B99" s="14" t="inlineStr">
        <is>
          <t>273.pdf</t>
        </is>
      </c>
      <c r="C99" s="44" t="n">
        <v>46113</v>
      </c>
      <c r="D99" s="44" t="n">
        <v>46142</v>
      </c>
      <c r="E99" s="44" t="n">
        <v>46136</v>
      </c>
      <c r="F99" s="44" t="n">
        <v>46136</v>
      </c>
      <c r="G99" s="16" t="inlineStr">
        <is>
          <t>EBANK:WIB/1505 EBANK:WIB/1505452714/Edfs https://cbdrpt101.bankofbaroda.co.in:22000/finbranch/arjspmorph/INFENG/tran_rpt.jsp?... 04-05-2026</t>
        </is>
      </c>
      <c r="H99" s="14" t="str"/>
      <c r="I99" s="14" t="inlineStr">
        <is>
          <t>Receipt</t>
        </is>
      </c>
      <c r="J99" s="43" t="n">
        <v>0</v>
      </c>
      <c r="K99" s="43" t="n">
        <v>115069</v>
      </c>
      <c r="L99" s="43" t="n">
        <v>115069</v>
      </c>
      <c r="M99" s="43" t="n">
        <v>-9884930.33</v>
      </c>
      <c r="N99" s="14" t="inlineStr">
        <is>
          <t>High Transaction; Recurring Transaction</t>
        </is>
      </c>
      <c r="O99" s="14" t="inlineStr">
        <is>
          <t>Yes</t>
        </is>
      </c>
      <c r="P99" s="14" t="inlineStr">
        <is>
          <t>EBANKWIB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1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4" t="n">
        <v>46136</v>
      </c>
      <c r="AB99" s="46">
        <f>HYPERLINK("#'Transactions'!A108", "View Source Row")</f>
        <v/>
      </c>
    </row>
    <row r="100">
      <c r="A100" s="14" t="n">
        <v>109</v>
      </c>
      <c r="B100" s="14" t="inlineStr">
        <is>
          <t>273.pdf</t>
        </is>
      </c>
      <c r="C100" s="44" t="n">
        <v>46113</v>
      </c>
      <c r="D100" s="44" t="n">
        <v>46142</v>
      </c>
      <c r="E100" s="44" t="n">
        <v>46137</v>
      </c>
      <c r="F100" s="44" t="n">
        <v>46137</v>
      </c>
      <c r="G100" s="16" t="inlineStr">
        <is>
          <t>EBANK:WIB/1505 EBANK:WIB/1505471306/Edfs</t>
        </is>
      </c>
      <c r="H100" s="14" t="str"/>
      <c r="I100" s="14" t="inlineStr">
        <is>
          <t>Receipt</t>
        </is>
      </c>
      <c r="J100" s="43" t="n">
        <v>0</v>
      </c>
      <c r="K100" s="43" t="n">
        <v>273418</v>
      </c>
      <c r="L100" s="43" t="n">
        <v>273418</v>
      </c>
      <c r="M100" s="43" t="n">
        <v>-9726581.33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EBANKWIB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4" t="n">
        <v>46137</v>
      </c>
      <c r="AB100" s="46">
        <f>HYPERLINK("#'Transactions'!A110", "View Source Row")</f>
        <v/>
      </c>
    </row>
    <row r="101">
      <c r="A101" s="14" t="n">
        <v>110</v>
      </c>
      <c r="B101" s="14" t="inlineStr">
        <is>
          <t>273.pdf</t>
        </is>
      </c>
      <c r="C101" s="44" t="n">
        <v>46113</v>
      </c>
      <c r="D101" s="44" t="n">
        <v>46142</v>
      </c>
      <c r="E101" s="44" t="n">
        <v>46137</v>
      </c>
      <c r="F101" s="44" t="n">
        <v>46137</v>
      </c>
      <c r="G101" s="16" t="inlineStr">
        <is>
          <t>EBANK:WIB/1505 EBANK:WIB/1505471386/Edfs</t>
        </is>
      </c>
      <c r="H101" s="14" t="str"/>
      <c r="I101" s="14" t="inlineStr">
        <is>
          <t>Receipt</t>
        </is>
      </c>
      <c r="J101" s="43" t="n">
        <v>0</v>
      </c>
      <c r="K101" s="43" t="n">
        <v>72545.92999999999</v>
      </c>
      <c r="L101" s="43" t="n">
        <v>72545.92999999999</v>
      </c>
      <c r="M101" s="43" t="n">
        <v>-9654035.4</v>
      </c>
      <c r="N101" s="14" t="inlineStr">
        <is>
          <t>Recurring Transaction</t>
        </is>
      </c>
      <c r="O101" s="14" t="inlineStr">
        <is>
          <t>Yes</t>
        </is>
      </c>
      <c r="P101" s="14" t="inlineStr">
        <is>
          <t>EBANKWIB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4" t="n">
        <v>46137</v>
      </c>
      <c r="AB101" s="46">
        <f>HYPERLINK("#'Transactions'!A111", "View Source Row")</f>
        <v/>
      </c>
    </row>
    <row r="102">
      <c r="A102" s="14" t="n">
        <v>111</v>
      </c>
      <c r="B102" s="14" t="inlineStr">
        <is>
          <t>273.pdf</t>
        </is>
      </c>
      <c r="C102" s="44" t="n">
        <v>46113</v>
      </c>
      <c r="D102" s="44" t="n">
        <v>46142</v>
      </c>
      <c r="E102" s="44" t="n">
        <v>46137</v>
      </c>
      <c r="F102" s="44" t="n">
        <v>46137</v>
      </c>
      <c r="G102" s="16" t="inlineStr">
        <is>
          <t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02" s="14" t="str"/>
      <c r="I102" s="14" t="inlineStr">
        <is>
          <t>Payment</t>
        </is>
      </c>
      <c r="J102" s="43" t="n">
        <v>329650</v>
      </c>
      <c r="K102" s="43" t="n">
        <v>0</v>
      </c>
      <c r="L102" s="43" t="n">
        <v>329650</v>
      </c>
      <c r="M102" s="43" t="n">
        <v>-9983685.4</v>
      </c>
      <c r="N102" s="14" t="inlineStr">
        <is>
          <t>High Transaction; Recurring Transaction</t>
        </is>
      </c>
      <c r="O102" s="14" t="inlineStr">
        <is>
          <t>Yes</t>
        </is>
      </c>
      <c r="P102" s="14" t="inlineStr">
        <is>
          <t>PAGE TOTAL   DR</t>
        </is>
      </c>
      <c r="Q102" s="14" t="n">
        <v>0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4" t="n">
        <v>46137</v>
      </c>
      <c r="AB102" s="46">
        <f>HYPERLINK("#'Transactions'!A112", "View Source Row")</f>
        <v/>
      </c>
    </row>
    <row r="103">
      <c r="A103" s="14" t="n">
        <v>112</v>
      </c>
      <c r="B103" s="14" t="inlineStr">
        <is>
          <t>273.pdf</t>
        </is>
      </c>
      <c r="C103" s="44" t="n">
        <v>46113</v>
      </c>
      <c r="D103" s="44" t="n">
        <v>46142</v>
      </c>
      <c r="E103" s="44" t="n">
        <v>46137</v>
      </c>
      <c r="F103" s="44" t="n">
        <v>46137</v>
      </c>
      <c r="G103" s="16" t="inlineStr">
        <is>
          <t>EBANK:WIB/1505 EBANK:WIB/1505585919/Edfs</t>
        </is>
      </c>
      <c r="H103" s="14" t="str"/>
      <c r="I103" s="14" t="inlineStr">
        <is>
          <t>Receipt</t>
        </is>
      </c>
      <c r="J103" s="43" t="n">
        <v>0</v>
      </c>
      <c r="K103" s="43" t="n">
        <v>172247.15</v>
      </c>
      <c r="L103" s="43" t="n">
        <v>172247.15</v>
      </c>
      <c r="M103" s="43" t="n">
        <v>-9811438.25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EBANKWIB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4" t="n">
        <v>46137</v>
      </c>
      <c r="AB103" s="46">
        <f>HYPERLINK("#'Transactions'!A113", "View Source Row")</f>
        <v/>
      </c>
    </row>
    <row r="104">
      <c r="A104" s="14" t="n">
        <v>113</v>
      </c>
      <c r="B104" s="14" t="inlineStr">
        <is>
          <t>273.pdf</t>
        </is>
      </c>
      <c r="C104" s="44" t="n">
        <v>46113</v>
      </c>
      <c r="D104" s="44" t="n">
        <v>46142</v>
      </c>
      <c r="E104" s="44" t="n">
        <v>46138</v>
      </c>
      <c r="F104" s="44" t="n">
        <v>46138</v>
      </c>
      <c r="G104" s="16" t="inlineStr">
        <is>
          <t>EBANK:WIB/1505 EBANK:WIB/1505590344/Edfs</t>
        </is>
      </c>
      <c r="H104" s="14" t="str"/>
      <c r="I104" s="14" t="inlineStr">
        <is>
          <t>Receipt</t>
        </is>
      </c>
      <c r="J104" s="43" t="n">
        <v>0</v>
      </c>
      <c r="K104" s="43" t="n">
        <v>300990.79</v>
      </c>
      <c r="L104" s="43" t="n">
        <v>300990.79</v>
      </c>
      <c r="M104" s="43" t="n">
        <v>-9510447.460000001</v>
      </c>
      <c r="N104" s="14" t="inlineStr">
        <is>
          <t>High Transaction; Recurring Transaction</t>
        </is>
      </c>
      <c r="O104" s="14" t="inlineStr">
        <is>
          <t>Yes</t>
        </is>
      </c>
      <c r="P104" s="14" t="inlineStr">
        <is>
          <t>EBANKWIB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4" t="n">
        <v>46138</v>
      </c>
      <c r="AB104" s="46">
        <f>HYPERLINK("#'Transactions'!A114", "View Source Row")</f>
        <v/>
      </c>
    </row>
    <row r="105">
      <c r="A105" s="14" t="n">
        <v>114</v>
      </c>
      <c r="B105" s="14" t="inlineStr">
        <is>
          <t>273.pdf</t>
        </is>
      </c>
      <c r="C105" s="44" t="n">
        <v>46113</v>
      </c>
      <c r="D105" s="44" t="n">
        <v>46142</v>
      </c>
      <c r="E105" s="44" t="n">
        <v>46138</v>
      </c>
      <c r="F105" s="44" t="n">
        <v>46138</v>
      </c>
      <c r="G105" s="16" t="inlineStr">
        <is>
          <t>EBANK:WIB/1505 EBANK:WIB/1505633295/Edfs</t>
        </is>
      </c>
      <c r="H105" s="14" t="str"/>
      <c r="I105" s="14" t="inlineStr">
        <is>
          <t>Receipt</t>
        </is>
      </c>
      <c r="J105" s="43" t="n">
        <v>0</v>
      </c>
      <c r="K105" s="43" t="n">
        <v>114728</v>
      </c>
      <c r="L105" s="43" t="n">
        <v>114728</v>
      </c>
      <c r="M105" s="43" t="n">
        <v>-9395719.460000001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EBANKWIB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4" t="n">
        <v>46138</v>
      </c>
      <c r="AB105" s="46">
        <f>HYPERLINK("#'Transactions'!A115", "View Source Row")</f>
        <v/>
      </c>
    </row>
    <row r="106">
      <c r="A106" s="14" t="n">
        <v>115</v>
      </c>
      <c r="B106" s="14" t="inlineStr">
        <is>
          <t>273.pdf</t>
        </is>
      </c>
      <c r="C106" s="44" t="n">
        <v>46113</v>
      </c>
      <c r="D106" s="44" t="n">
        <v>46142</v>
      </c>
      <c r="E106" s="44" t="n">
        <v>46139</v>
      </c>
      <c r="F106" s="44" t="n">
        <v>46139</v>
      </c>
      <c r="G106" s="16" t="inlineStr">
        <is>
          <t>EBANK:WIB/1505 EBANK:WIB/1505672686/Edfs</t>
        </is>
      </c>
      <c r="H106" s="14" t="str"/>
      <c r="I106" s="14" t="inlineStr">
        <is>
          <t>Receipt</t>
        </is>
      </c>
      <c r="J106" s="43" t="n">
        <v>0</v>
      </c>
      <c r="K106" s="43" t="n">
        <v>460000.8</v>
      </c>
      <c r="L106" s="43" t="n">
        <v>460000.8</v>
      </c>
      <c r="M106" s="43" t="n">
        <v>-8935718.66</v>
      </c>
      <c r="N106" s="14" t="inlineStr">
        <is>
          <t>High Transaction; Recurring Transaction</t>
        </is>
      </c>
      <c r="O106" s="14" t="inlineStr">
        <is>
          <t>Yes</t>
        </is>
      </c>
      <c r="P106" s="14" t="inlineStr">
        <is>
          <t>EBANKWIB</t>
        </is>
      </c>
      <c r="Q106" s="14" t="n">
        <v>0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4" t="n">
        <v>46139</v>
      </c>
      <c r="AB106" s="46">
        <f>HYPERLINK("#'Transactions'!A116", "View Source Row")</f>
        <v/>
      </c>
    </row>
    <row r="107">
      <c r="A107" s="14" t="n">
        <v>116</v>
      </c>
      <c r="B107" s="14" t="inlineStr">
        <is>
          <t>273.pdf</t>
        </is>
      </c>
      <c r="C107" s="44" t="n">
        <v>46113</v>
      </c>
      <c r="D107" s="44" t="n">
        <v>46142</v>
      </c>
      <c r="E107" s="44" t="n">
        <v>46139</v>
      </c>
      <c r="F107" s="44" t="n">
        <v>46139</v>
      </c>
      <c r="G107" s="16" t="inlineStr">
        <is>
          <t>BY CASH BY CASH</t>
        </is>
      </c>
      <c r="H107" s="14" t="str"/>
      <c r="I107" s="14" t="inlineStr">
        <is>
          <t>Receipt</t>
        </is>
      </c>
      <c r="J107" s="43" t="n">
        <v>0</v>
      </c>
      <c r="K107" s="43" t="n">
        <v>774500</v>
      </c>
      <c r="L107" s="43" t="n">
        <v>774500</v>
      </c>
      <c r="M107" s="43" t="n">
        <v>-8161218.66</v>
      </c>
      <c r="N107" s="14" t="inlineStr">
        <is>
          <t>Cash; High Transaction; Recurring Transaction</t>
        </is>
      </c>
      <c r="O107" s="14" t="inlineStr">
        <is>
          <t>Yes</t>
        </is>
      </c>
      <c r="P107" s="14" t="inlineStr">
        <is>
          <t>BY CASH BY CASH</t>
        </is>
      </c>
      <c r="Q107" s="14" t="n">
        <v>1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4" t="n">
        <v>46139</v>
      </c>
      <c r="AB107" s="46">
        <f>HYPERLINK("#'Transactions'!A117", "View Source Row")</f>
        <v/>
      </c>
    </row>
    <row r="108">
      <c r="A108" s="14" t="n">
        <v>117</v>
      </c>
      <c r="B108" s="14" t="inlineStr">
        <is>
          <t>273.pdf</t>
        </is>
      </c>
      <c r="C108" s="44" t="n">
        <v>46113</v>
      </c>
      <c r="D108" s="44" t="n">
        <v>46142</v>
      </c>
      <c r="E108" s="44" t="n">
        <v>46139</v>
      </c>
      <c r="F108" s="44" t="n">
        <v>46139</v>
      </c>
      <c r="G108" s="16" t="inlineStr">
        <is>
          <t>DIGITA-MUMBAI/ INT260413DEAL6345818</t>
        </is>
      </c>
      <c r="H108" s="14" t="str"/>
      <c r="I108" s="14" t="inlineStr">
        <is>
          <t>Payment</t>
        </is>
      </c>
      <c r="J108" s="43" t="n">
        <v>5991.69</v>
      </c>
      <c r="K108" s="43" t="n">
        <v>0</v>
      </c>
      <c r="L108" s="43" t="n">
        <v>5991.69</v>
      </c>
      <c r="M108" s="43" t="n">
        <v>-8167210.35</v>
      </c>
      <c r="N108" s="14" t="inlineStr">
        <is>
          <t>Recurring Transaction</t>
        </is>
      </c>
      <c r="O108" s="14" t="inlineStr">
        <is>
          <t>Yes</t>
        </is>
      </c>
      <c r="P108" s="14" t="inlineStr">
        <is>
          <t>DIGITA-MUMBAI/ INT#DEAL#</t>
        </is>
      </c>
      <c r="Q108" s="14" t="n">
        <v>0</v>
      </c>
      <c r="R108" s="14" t="n">
        <v>1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4" t="n">
        <v>46139</v>
      </c>
      <c r="AB108" s="46">
        <f>HYPERLINK("#'Transactions'!A118", "View Source Row")</f>
        <v/>
      </c>
    </row>
    <row r="109">
      <c r="A109" s="14" t="n">
        <v>118</v>
      </c>
      <c r="B109" s="14" t="inlineStr">
        <is>
          <t>273.pdf</t>
        </is>
      </c>
      <c r="C109" s="44" t="n">
        <v>46113</v>
      </c>
      <c r="D109" s="44" t="n">
        <v>46142</v>
      </c>
      <c r="E109" s="44" t="n">
        <v>46139</v>
      </c>
      <c r="F109" s="44" t="n">
        <v>46139</v>
      </c>
      <c r="G109" s="16" t="inlineStr">
        <is>
          <t>EBANK:WIB/1505 EBANK:WIB/1505752441/Edfs</t>
        </is>
      </c>
      <c r="H109" s="14" t="str"/>
      <c r="I109" s="14" t="inlineStr">
        <is>
          <t>Receipt</t>
        </is>
      </c>
      <c r="J109" s="43" t="n">
        <v>0</v>
      </c>
      <c r="K109" s="43" t="n">
        <v>365005</v>
      </c>
      <c r="L109" s="43" t="n">
        <v>365005</v>
      </c>
      <c r="M109" s="43" t="n">
        <v>-7802205.35</v>
      </c>
      <c r="N109" s="14" t="inlineStr">
        <is>
          <t>High Transaction; Recurring Transaction</t>
        </is>
      </c>
      <c r="O109" s="14" t="inlineStr">
        <is>
          <t>Yes</t>
        </is>
      </c>
      <c r="P109" s="14" t="inlineStr">
        <is>
          <t>EBANKWIB</t>
        </is>
      </c>
      <c r="Q109" s="14" t="n">
        <v>0</v>
      </c>
      <c r="R109" s="14" t="n">
        <v>1</v>
      </c>
      <c r="S109" s="14" t="n">
        <v>0</v>
      </c>
      <c r="T109" s="14" t="n">
        <v>0</v>
      </c>
      <c r="U109" s="14" t="n">
        <v>1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4" t="n">
        <v>46139</v>
      </c>
      <c r="AB109" s="46">
        <f>HYPERLINK("#'Transactions'!A119", "View Source Row")</f>
        <v/>
      </c>
    </row>
    <row r="110">
      <c r="A110" s="14" t="n">
        <v>119</v>
      </c>
      <c r="B110" s="14" t="inlineStr">
        <is>
          <t>273.pdf</t>
        </is>
      </c>
      <c r="C110" s="44" t="n">
        <v>46113</v>
      </c>
      <c r="D110" s="44" t="n">
        <v>46142</v>
      </c>
      <c r="E110" s="44" t="n">
        <v>46139</v>
      </c>
      <c r="F110" s="44" t="n">
        <v>46139</v>
      </c>
      <c r="G110" s="16" t="inlineStr">
        <is>
          <t>RTGS-BARBR5202 RTGS-BARBR52026042700952483-HINDUSTAN PETROLEUM CO</t>
        </is>
      </c>
      <c r="H110" s="14" t="str"/>
      <c r="I110" s="14" t="inlineStr">
        <is>
          <t>Payment</t>
        </is>
      </c>
      <c r="J110" s="43" t="n">
        <v>1064000</v>
      </c>
      <c r="K110" s="43" t="n">
        <v>0</v>
      </c>
      <c r="L110" s="43" t="n">
        <v>1064000</v>
      </c>
      <c r="M110" s="43" t="n">
        <v>-8866205.35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BARBR RTGS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4" t="n">
        <v>46139</v>
      </c>
      <c r="AB110" s="46">
        <f>HYPERLINK("#'Transactions'!A120", "View Source Row")</f>
        <v/>
      </c>
    </row>
    <row r="111">
      <c r="A111" s="14" t="n">
        <v>120</v>
      </c>
      <c r="B111" s="14" t="inlineStr">
        <is>
          <t>273.pdf</t>
        </is>
      </c>
      <c r="C111" s="44" t="n">
        <v>46113</v>
      </c>
      <c r="D111" s="44" t="n">
        <v>46142</v>
      </c>
      <c r="E111" s="44" t="n">
        <v>46139</v>
      </c>
      <c r="F111" s="44" t="n">
        <v>46139</v>
      </c>
      <c r="G111" s="16" t="inlineStr">
        <is>
          <t>RTGS-BARBR5202 RTGS-BARBR52026042700958299-HINDUSTAN PETROLEUM CO</t>
        </is>
      </c>
      <c r="H111" s="14" t="str"/>
      <c r="I111" s="14" t="inlineStr">
        <is>
          <t>Payment</t>
        </is>
      </c>
      <c r="J111" s="43" t="n">
        <v>768789</v>
      </c>
      <c r="K111" s="43" t="n">
        <v>0</v>
      </c>
      <c r="L111" s="43" t="n">
        <v>768789</v>
      </c>
      <c r="M111" s="43" t="n">
        <v>-9634994.35</v>
      </c>
      <c r="N111" s="14" t="inlineStr">
        <is>
          <t>High Transaction; Recurring Transaction</t>
        </is>
      </c>
      <c r="O111" s="14" t="inlineStr">
        <is>
          <t>Yes</t>
        </is>
      </c>
      <c r="P111" s="14" t="inlineStr">
        <is>
          <t>BARBR RTGS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1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4" t="n">
        <v>46139</v>
      </c>
      <c r="AB111" s="46">
        <f>HYPERLINK("#'Transactions'!A121", "View Source Row")</f>
        <v/>
      </c>
    </row>
    <row r="112">
      <c r="A112" s="14" t="n">
        <v>121</v>
      </c>
      <c r="B112" s="14" t="inlineStr">
        <is>
          <t>273.pdf</t>
        </is>
      </c>
      <c r="C112" s="44" t="n">
        <v>46113</v>
      </c>
      <c r="D112" s="44" t="n">
        <v>46142</v>
      </c>
      <c r="E112" s="44" t="n">
        <v>46140</v>
      </c>
      <c r="F112" s="44" t="n">
        <v>46140</v>
      </c>
      <c r="G112" s="16" t="inlineStr">
        <is>
          <t>BY CASH BY CASH</t>
        </is>
      </c>
      <c r="H112" s="14" t="str"/>
      <c r="I112" s="14" t="inlineStr">
        <is>
          <t>Receipt</t>
        </is>
      </c>
      <c r="J112" s="43" t="n">
        <v>0</v>
      </c>
      <c r="K112" s="43" t="n">
        <v>246500</v>
      </c>
      <c r="L112" s="43" t="n">
        <v>246500</v>
      </c>
      <c r="M112" s="43" t="n">
        <v>-9388494.35</v>
      </c>
      <c r="N112" s="14" t="inlineStr">
        <is>
          <t>Cash; High Transaction; Recurring Transaction</t>
        </is>
      </c>
      <c r="O112" s="14" t="inlineStr">
        <is>
          <t>Yes</t>
        </is>
      </c>
      <c r="P112" s="14" t="inlineStr">
        <is>
          <t>BY CASH BY CASH</t>
        </is>
      </c>
      <c r="Q112" s="14" t="n">
        <v>1</v>
      </c>
      <c r="R112" s="14" t="n">
        <v>1</v>
      </c>
      <c r="S112" s="14" t="n">
        <v>0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4" t="n">
        <v>46140</v>
      </c>
      <c r="AB112" s="46">
        <f>HYPERLINK("#'Transactions'!A122", "View Source Row")</f>
        <v/>
      </c>
    </row>
    <row r="113">
      <c r="A113" s="14" t="n">
        <v>122</v>
      </c>
      <c r="B113" s="14" t="inlineStr">
        <is>
          <t>273.pdf</t>
        </is>
      </c>
      <c r="C113" s="44" t="n">
        <v>46113</v>
      </c>
      <c r="D113" s="44" t="n">
        <v>46142</v>
      </c>
      <c r="E113" s="44" t="n">
        <v>46140</v>
      </c>
      <c r="F113" s="44" t="n">
        <v>46140</v>
      </c>
      <c r="G113" s="16" t="inlineStr">
        <is>
          <t>EBANK:WIB/1505 EBANK:WIB/1505883831/Edfs</t>
        </is>
      </c>
      <c r="H113" s="14" t="str"/>
      <c r="I113" s="14" t="inlineStr">
        <is>
          <t>Receipt</t>
        </is>
      </c>
      <c r="J113" s="43" t="n">
        <v>0</v>
      </c>
      <c r="K113" s="43" t="n">
        <v>402798.6</v>
      </c>
      <c r="L113" s="43" t="n">
        <v>402798.6</v>
      </c>
      <c r="M113" s="43" t="n">
        <v>-8985695.75</v>
      </c>
      <c r="N113" s="14" t="inlineStr">
        <is>
          <t>High Transaction; Recurring Transaction</t>
        </is>
      </c>
      <c r="O113" s="14" t="inlineStr">
        <is>
          <t>Yes</t>
        </is>
      </c>
      <c r="P113" s="14" t="inlineStr">
        <is>
          <t>EBANKWIB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4" t="n">
        <v>46140</v>
      </c>
      <c r="AB113" s="46">
        <f>HYPERLINK("#'Transactions'!A123", "View Source Row")</f>
        <v/>
      </c>
    </row>
    <row r="114">
      <c r="A114" s="14" t="n">
        <v>123</v>
      </c>
      <c r="B114" s="14" t="inlineStr">
        <is>
          <t>273.pdf</t>
        </is>
      </c>
      <c r="C114" s="44" t="n">
        <v>46113</v>
      </c>
      <c r="D114" s="44" t="n">
        <v>46142</v>
      </c>
      <c r="E114" s="44" t="n">
        <v>46140</v>
      </c>
      <c r="F114" s="44" t="n">
        <v>46140</v>
      </c>
      <c r="G114" s="16" t="inlineStr">
        <is>
          <t>EBANK:WIB/1505 EBANK:WIB/1505948506/Edfs</t>
        </is>
      </c>
      <c r="H114" s="14" t="str"/>
      <c r="I114" s="14" t="inlineStr">
        <is>
          <t>Receipt</t>
        </is>
      </c>
      <c r="J114" s="43" t="n">
        <v>0</v>
      </c>
      <c r="K114" s="43" t="n">
        <v>192251.79</v>
      </c>
      <c r="L114" s="43" t="n">
        <v>192251.79</v>
      </c>
      <c r="M114" s="43" t="n">
        <v>-8793443.960000001</v>
      </c>
      <c r="N114" s="14" t="inlineStr">
        <is>
          <t>High Transaction; 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1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4" t="n">
        <v>46140</v>
      </c>
      <c r="AB114" s="46">
        <f>HYPERLINK("#'Transactions'!A124", "View Source Row")</f>
        <v/>
      </c>
    </row>
    <row r="115">
      <c r="A115" s="14" t="n">
        <v>124</v>
      </c>
      <c r="B115" s="14" t="inlineStr">
        <is>
          <t>273.pdf</t>
        </is>
      </c>
      <c r="C115" s="44" t="n">
        <v>46113</v>
      </c>
      <c r="D115" s="44" t="n">
        <v>46142</v>
      </c>
      <c r="E115" s="44" t="n">
        <v>46141</v>
      </c>
      <c r="F115" s="44" t="n">
        <v>46141</v>
      </c>
      <c r="G115" s="16" t="inlineStr">
        <is>
          <t>EBANK:WIB/1505 EBANK:WIB/1505959390/Edfs</t>
        </is>
      </c>
      <c r="H115" s="14" t="str"/>
      <c r="I115" s="14" t="inlineStr">
        <is>
          <t>Receipt</t>
        </is>
      </c>
      <c r="J115" s="43" t="n">
        <v>0</v>
      </c>
      <c r="K115" s="43" t="n">
        <v>383365.33</v>
      </c>
      <c r="L115" s="43" t="n">
        <v>383365.33</v>
      </c>
      <c r="M115" s="43" t="n">
        <v>-8410078.630000001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EBANKWIB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4" t="n">
        <v>46141</v>
      </c>
      <c r="AB115" s="46">
        <f>HYPERLINK("#'Transactions'!A125", "View Source Row")</f>
        <v/>
      </c>
    </row>
    <row r="116">
      <c r="A116" s="14" t="n">
        <v>127</v>
      </c>
      <c r="B116" s="14" t="inlineStr">
        <is>
          <t>273.pdf</t>
        </is>
      </c>
      <c r="C116" s="44" t="n">
        <v>46113</v>
      </c>
      <c r="D116" s="44" t="n">
        <v>46142</v>
      </c>
      <c r="E116" s="44" t="n">
        <v>46141</v>
      </c>
      <c r="F116" s="44" t="n">
        <v>46141</v>
      </c>
      <c r="G116" s="16" t="inlineStr">
        <is>
          <t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116" s="14" t="str"/>
      <c r="I116" s="14" t="inlineStr">
        <is>
          <t>Receipt</t>
        </is>
      </c>
      <c r="J116" s="43" t="n">
        <v>0</v>
      </c>
      <c r="K116" s="43" t="n">
        <v>161953</v>
      </c>
      <c r="L116" s="43" t="n">
        <v>161953</v>
      </c>
      <c r="M116" s="43" t="n">
        <v>-8254025.08</v>
      </c>
      <c r="N116" s="14" t="inlineStr">
        <is>
          <t>High Transaction; Recurring Transaction</t>
        </is>
      </c>
      <c r="O116" s="14" t="inlineStr">
        <is>
          <t>Yes</t>
        </is>
      </c>
      <c r="P116" s="14" t="inlineStr">
        <is>
          <t>EBANKWIB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4" t="n">
        <v>46141</v>
      </c>
      <c r="AB116" s="46">
        <f>HYPERLINK("#'Transactions'!A128", "View Source Row")</f>
        <v/>
      </c>
    </row>
    <row r="117">
      <c r="A117" s="14" t="n">
        <v>129</v>
      </c>
      <c r="B117" s="14" t="inlineStr">
        <is>
          <t>273.pdf</t>
        </is>
      </c>
      <c r="C117" s="44" t="n">
        <v>46113</v>
      </c>
      <c r="D117" s="44" t="n">
        <v>46142</v>
      </c>
      <c r="E117" s="44" t="n">
        <v>46141</v>
      </c>
      <c r="F117" s="44" t="n">
        <v>46141</v>
      </c>
      <c r="G117" s="16" t="inlineStr">
        <is>
          <t>BY CASH BY CASH</t>
        </is>
      </c>
      <c r="H117" s="14" t="str"/>
      <c r="I117" s="14" t="inlineStr">
        <is>
          <t>Receipt</t>
        </is>
      </c>
      <c r="J117" s="43" t="n">
        <v>0</v>
      </c>
      <c r="K117" s="43" t="n">
        <v>116500</v>
      </c>
      <c r="L117" s="43" t="n">
        <v>116500</v>
      </c>
      <c r="M117" s="43" t="n">
        <v>-8137649.75</v>
      </c>
      <c r="N117" s="14" t="inlineStr">
        <is>
          <t>Cash; High Transaction; Recurring Transaction</t>
        </is>
      </c>
      <c r="O117" s="14" t="inlineStr">
        <is>
          <t>Yes</t>
        </is>
      </c>
      <c r="P117" s="14" t="inlineStr">
        <is>
          <t>BY CASH BY CASH</t>
        </is>
      </c>
      <c r="Q117" s="14" t="n">
        <v>1</v>
      </c>
      <c r="R117" s="14" t="n">
        <v>1</v>
      </c>
      <c r="S117" s="14" t="n">
        <v>0</v>
      </c>
      <c r="T117" s="14" t="n">
        <v>0</v>
      </c>
      <c r="U117" s="14" t="n">
        <v>1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4" t="n">
        <v>46141</v>
      </c>
      <c r="AB117" s="46">
        <f>HYPERLINK("#'Transactions'!A130", "View Source Row")</f>
        <v/>
      </c>
    </row>
    <row r="118">
      <c r="A118" s="14" t="n">
        <v>130</v>
      </c>
      <c r="B118" s="14" t="inlineStr">
        <is>
          <t>273.pdf</t>
        </is>
      </c>
      <c r="C118" s="44" t="n">
        <v>46113</v>
      </c>
      <c r="D118" s="44" t="n">
        <v>46142</v>
      </c>
      <c r="E118" s="44" t="n">
        <v>46141</v>
      </c>
      <c r="F118" s="44" t="n">
        <v>46141</v>
      </c>
      <c r="G118" s="16" t="inlineStr">
        <is>
          <t>RTGS-BARBR5202 RTGS-BARBR52026042900818962-HINDUSTAN PETROLEUM CO</t>
        </is>
      </c>
      <c r="H118" s="14" t="str"/>
      <c r="I118" s="14" t="inlineStr">
        <is>
          <t>Payment</t>
        </is>
      </c>
      <c r="J118" s="43" t="n">
        <v>1745850</v>
      </c>
      <c r="K118" s="43" t="n">
        <v>0</v>
      </c>
      <c r="L118" s="43" t="n">
        <v>1745850</v>
      </c>
      <c r="M118" s="43" t="n">
        <v>-9883499.75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BARBR RTGS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4" t="n">
        <v>46141</v>
      </c>
      <c r="AB118" s="46">
        <f>HYPERLINK("#'Transactions'!A131", "View Source Row")</f>
        <v/>
      </c>
    </row>
    <row r="119">
      <c r="A119" s="14" t="n">
        <v>131</v>
      </c>
      <c r="B119" s="14" t="inlineStr">
        <is>
          <t>273.pdf</t>
        </is>
      </c>
      <c r="C119" s="44" t="n">
        <v>46113</v>
      </c>
      <c r="D119" s="44" t="n">
        <v>46142</v>
      </c>
      <c r="E119" s="44" t="n">
        <v>46141</v>
      </c>
      <c r="F119" s="44" t="n">
        <v>46141</v>
      </c>
      <c r="G119" s="16" t="inlineStr">
        <is>
          <t>EBANK:WIB/1506 EBANK:WIB/1506085309/Edfs</t>
        </is>
      </c>
      <c r="H119" s="14" t="str"/>
      <c r="I119" s="14" t="inlineStr">
        <is>
          <t>Receipt</t>
        </is>
      </c>
      <c r="J119" s="43" t="n">
        <v>0</v>
      </c>
      <c r="K119" s="43" t="n">
        <v>93264</v>
      </c>
      <c r="L119" s="43" t="n">
        <v>93264</v>
      </c>
      <c r="M119" s="43" t="n">
        <v>-9790235.75</v>
      </c>
      <c r="N119" s="14" t="inlineStr">
        <is>
          <t>Recurring Transaction</t>
        </is>
      </c>
      <c r="O119" s="14" t="inlineStr">
        <is>
          <t>Yes</t>
        </is>
      </c>
      <c r="P119" s="14" t="inlineStr">
        <is>
          <t>EBANKWIB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4" t="n">
        <v>46141</v>
      </c>
      <c r="AB119" s="46">
        <f>HYPERLINK("#'Transactions'!A132", "View Source Row")</f>
        <v/>
      </c>
    </row>
    <row r="120">
      <c r="A120" s="14" t="n">
        <v>133</v>
      </c>
      <c r="B120" s="14" t="inlineStr">
        <is>
          <t>273.pdf</t>
        </is>
      </c>
      <c r="C120" s="44" t="n">
        <v>46113</v>
      </c>
      <c r="D120" s="44" t="n">
        <v>46142</v>
      </c>
      <c r="E120" s="44" t="n">
        <v>46141</v>
      </c>
      <c r="F120" s="44" t="n">
        <v>46141</v>
      </c>
      <c r="G120" s="16" t="inlineStr">
        <is>
          <t>EBANK:WIB/1506 EBANK:WIB/1506102762/Edfs</t>
        </is>
      </c>
      <c r="H120" s="14" t="str"/>
      <c r="I120" s="14" t="inlineStr">
        <is>
          <t>Receipt</t>
        </is>
      </c>
      <c r="J120" s="43" t="n">
        <v>0</v>
      </c>
      <c r="K120" s="43" t="n">
        <v>92240</v>
      </c>
      <c r="L120" s="43" t="n">
        <v>92240</v>
      </c>
      <c r="M120" s="43" t="n">
        <v>-9814495.75</v>
      </c>
      <c r="N120" s="14" t="inlineStr">
        <is>
          <t>Recurring Transaction</t>
        </is>
      </c>
      <c r="O120" s="14" t="inlineStr">
        <is>
          <t>Yes</t>
        </is>
      </c>
      <c r="P120" s="14" t="inlineStr">
        <is>
          <t>EBANKWIB</t>
        </is>
      </c>
      <c r="Q120" s="14" t="n">
        <v>0</v>
      </c>
      <c r="R120" s="14" t="n">
        <v>1</v>
      </c>
      <c r="S120" s="14" t="n">
        <v>0</v>
      </c>
      <c r="T120" s="14" t="n">
        <v>0</v>
      </c>
      <c r="U120" s="14" t="n">
        <v>0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4" t="n">
        <v>46141</v>
      </c>
      <c r="AB120" s="46">
        <f>HYPERLINK("#'Transactions'!A134", "View Source Row")</f>
        <v/>
      </c>
    </row>
    <row r="121">
      <c r="A121" s="14" t="n">
        <v>134</v>
      </c>
      <c r="B121" s="14" t="inlineStr">
        <is>
          <t>273.pdf</t>
        </is>
      </c>
      <c r="C121" s="44" t="n">
        <v>46113</v>
      </c>
      <c r="D121" s="44" t="n">
        <v>46142</v>
      </c>
      <c r="E121" s="44" t="n">
        <v>46142</v>
      </c>
      <c r="F121" s="44" t="n">
        <v>46142</v>
      </c>
      <c r="G121" s="16" t="inlineStr">
        <is>
          <t>EBANK:WIB/1506 EBANK:WIB/1506112730/Edfs</t>
        </is>
      </c>
      <c r="H121" s="14" t="str"/>
      <c r="I121" s="14" t="inlineStr">
        <is>
          <t>Receipt</t>
        </is>
      </c>
      <c r="J121" s="43" t="n">
        <v>0</v>
      </c>
      <c r="K121" s="43" t="n">
        <v>44070</v>
      </c>
      <c r="L121" s="43" t="n">
        <v>44070</v>
      </c>
      <c r="M121" s="43" t="n">
        <v>-9770425.75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EBANKWIB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4" t="n">
        <v>46142</v>
      </c>
      <c r="AB121" s="46">
        <f>HYPERLINK("#'Transactions'!A135", "View Source Row")</f>
        <v/>
      </c>
    </row>
    <row r="122">
      <c r="A122" s="14" t="n">
        <v>135</v>
      </c>
      <c r="B122" s="14" t="inlineStr">
        <is>
          <t>273.pdf</t>
        </is>
      </c>
      <c r="C122" s="44" t="n">
        <v>46113</v>
      </c>
      <c r="D122" s="44" t="n">
        <v>46142</v>
      </c>
      <c r="E122" s="44" t="n">
        <v>46142</v>
      </c>
      <c r="F122" s="44" t="n">
        <v>46142</v>
      </c>
      <c r="G122" s="16" t="inlineStr">
        <is>
          <t>EBANK:WIB/1506 EBANK:WIB/1506112904/Edfs</t>
        </is>
      </c>
      <c r="H122" s="14" t="str"/>
      <c r="I122" s="14" t="inlineStr">
        <is>
          <t>Receipt</t>
        </is>
      </c>
      <c r="J122" s="43" t="n">
        <v>0</v>
      </c>
      <c r="K122" s="43" t="n">
        <v>429587.11</v>
      </c>
      <c r="L122" s="43" t="n">
        <v>429587.11</v>
      </c>
      <c r="M122" s="43" t="n">
        <v>-9340838.640000001</v>
      </c>
      <c r="N122" s="14" t="inlineStr">
        <is>
          <t>High Transaction; Recurring Transaction</t>
        </is>
      </c>
      <c r="O122" s="14" t="inlineStr">
        <is>
          <t>Yes</t>
        </is>
      </c>
      <c r="P122" s="14" t="inlineStr">
        <is>
          <t>EBANKWIB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1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4" t="n">
        <v>46142</v>
      </c>
      <c r="AB122" s="46">
        <f>HYPERLINK("#'Transactions'!A136", "View Source Row")</f>
        <v/>
      </c>
    </row>
    <row r="123">
      <c r="A123" s="14" t="n">
        <v>137</v>
      </c>
      <c r="B123" s="14" t="inlineStr">
        <is>
          <t>273.pdf</t>
        </is>
      </c>
      <c r="C123" s="44" t="n">
        <v>46113</v>
      </c>
      <c r="D123" s="44" t="n">
        <v>46142</v>
      </c>
      <c r="E123" s="44" t="n">
        <v>46142</v>
      </c>
      <c r="F123" s="44" t="n">
        <v>46142</v>
      </c>
      <c r="G123" s="16" t="inlineStr">
        <is>
          <t>RTGS-BARBR5202 RTGS-BARBR52026043000849921-HINDUSTAN PETROLEUM CO</t>
        </is>
      </c>
      <c r="H123" s="14" t="str"/>
      <c r="I123" s="14" t="inlineStr">
        <is>
          <t>Payment</t>
        </is>
      </c>
      <c r="J123" s="43" t="n">
        <v>229000</v>
      </c>
      <c r="K123" s="43" t="n">
        <v>0</v>
      </c>
      <c r="L123" s="43" t="n">
        <v>229000</v>
      </c>
      <c r="M123" s="43" t="n">
        <v>-9663102.640000001</v>
      </c>
      <c r="N123" s="14" t="inlineStr">
        <is>
          <t>High Transaction; Recurring Transaction</t>
        </is>
      </c>
      <c r="O123" s="14" t="inlineStr">
        <is>
          <t>Yes</t>
        </is>
      </c>
      <c r="P123" s="14" t="inlineStr">
        <is>
          <t>BARBR RTGS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1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4" t="n">
        <v>46142</v>
      </c>
      <c r="AB123" s="46">
        <f>HYPERLINK("#'Transactions'!A138", "View Source Row")</f>
        <v/>
      </c>
    </row>
    <row r="124">
      <c r="A124" s="14" t="n">
        <v>138</v>
      </c>
      <c r="B124" s="14" t="inlineStr">
        <is>
          <t>273.pdf</t>
        </is>
      </c>
      <c r="C124" s="44" t="n">
        <v>46113</v>
      </c>
      <c r="D124" s="44" t="n">
        <v>46142</v>
      </c>
      <c r="E124" s="44" t="n">
        <v>46142</v>
      </c>
      <c r="F124" s="44" t="n">
        <v>46142</v>
      </c>
      <c r="G124" s="16" t="inlineStr">
        <is>
          <t>BY CASH BY CASH</t>
        </is>
      </c>
      <c r="H124" s="14" t="str"/>
      <c r="I124" s="14" t="inlineStr">
        <is>
          <t>Receipt</t>
        </is>
      </c>
      <c r="J124" s="43" t="n">
        <v>0</v>
      </c>
      <c r="K124" s="43" t="n">
        <v>273000</v>
      </c>
      <c r="L124" s="43" t="n">
        <v>273000</v>
      </c>
      <c r="M124" s="43" t="n">
        <v>-9390102.640000001</v>
      </c>
      <c r="N124" s="14" t="inlineStr">
        <is>
          <t>Cash; High Transaction; Recurring Transaction</t>
        </is>
      </c>
      <c r="O124" s="14" t="inlineStr">
        <is>
          <t>Yes</t>
        </is>
      </c>
      <c r="P124" s="14" t="inlineStr">
        <is>
          <t>BY CASH BY CASH</t>
        </is>
      </c>
      <c r="Q124" s="14" t="n">
        <v>1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4" t="n">
        <v>46142</v>
      </c>
      <c r="AB124" s="46">
        <f>HYPERLINK("#'Transactions'!A139", "View Source Row")</f>
        <v/>
      </c>
    </row>
    <row r="125">
      <c r="A125" s="14" t="n">
        <v>139</v>
      </c>
      <c r="B125" s="14" t="inlineStr">
        <is>
          <t>273.pdf</t>
        </is>
      </c>
      <c r="C125" s="44" t="n">
        <v>46113</v>
      </c>
      <c r="D125" s="44" t="n">
        <v>46142</v>
      </c>
      <c r="E125" s="44" t="n">
        <v>46142</v>
      </c>
      <c r="F125" s="44" t="n">
        <v>46142</v>
      </c>
      <c r="G125" s="16" t="inlineStr">
        <is>
          <t>EBANK:WIB/1506 EBANK:WIB/1506237357/Edfs</t>
        </is>
      </c>
      <c r="H125" s="14" t="str"/>
      <c r="I125" s="14" t="inlineStr">
        <is>
          <t>Receipt</t>
        </is>
      </c>
      <c r="J125" s="43" t="n">
        <v>0</v>
      </c>
      <c r="K125" s="43" t="n">
        <v>307440.05</v>
      </c>
      <c r="L125" s="43" t="n">
        <v>307440.05</v>
      </c>
      <c r="M125" s="43" t="n">
        <v>-9082662.59</v>
      </c>
      <c r="N125" s="14" t="inlineStr">
        <is>
          <t>High Transaction; Recurring Transaction</t>
        </is>
      </c>
      <c r="O125" s="14" t="inlineStr">
        <is>
          <t>Yes</t>
        </is>
      </c>
      <c r="P125" s="14" t="inlineStr">
        <is>
          <t>EBANKWIB</t>
        </is>
      </c>
      <c r="Q125" s="14" t="n">
        <v>0</v>
      </c>
      <c r="R125" s="14" t="n">
        <v>1</v>
      </c>
      <c r="S125" s="14" t="n">
        <v>0</v>
      </c>
      <c r="T125" s="14" t="n">
        <v>0</v>
      </c>
      <c r="U125" s="14" t="n">
        <v>1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4" t="n">
        <v>46142</v>
      </c>
      <c r="AB125" s="46">
        <f>HYPERLINK("#'Transactions'!A140", "View Source Row")</f>
        <v/>
      </c>
    </row>
    <row r="126">
      <c r="A126" s="14" t="n">
        <v>140</v>
      </c>
      <c r="B126" s="14" t="inlineStr">
        <is>
          <t>273.pdf</t>
        </is>
      </c>
      <c r="C126" s="44" t="n">
        <v>46113</v>
      </c>
      <c r="D126" s="44" t="n">
        <v>46142</v>
      </c>
      <c r="E126" s="44" t="n">
        <v>46142</v>
      </c>
      <c r="F126" s="44" t="n">
        <v>46142</v>
      </c>
      <c r="G126" s="16" t="inlineStr">
        <is>
          <t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t>
        </is>
      </c>
      <c r="H126" s="14" t="str"/>
      <c r="I126" s="14" t="inlineStr">
        <is>
          <t>Receipt</t>
        </is>
      </c>
      <c r="J126" s="43" t="n">
        <v>0</v>
      </c>
      <c r="K126" s="43" t="n">
        <v>128623.2</v>
      </c>
      <c r="L126" s="43" t="n">
        <v>128623.2</v>
      </c>
      <c r="M126" s="43" t="n">
        <v>-8954039.390000001</v>
      </c>
      <c r="N126" s="14" t="inlineStr">
        <is>
          <t>High Transaction; Recurring Transaction</t>
        </is>
      </c>
      <c r="O126" s="14" t="inlineStr">
        <is>
          <t>Yes</t>
        </is>
      </c>
      <c r="P126" s="14" t="inlineStr">
        <is>
          <t>EBANKWIB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1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4" t="n">
        <v>46142</v>
      </c>
      <c r="AB126" s="46">
        <f>HYPERLINK("#'Transactions'!A141",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EMI Transactions</t>
        </is>
      </c>
    </row>
    <row r="2">
      <c r="A2" s="33" t="inlineStr">
        <is>
          <t>Rows</t>
        </is>
      </c>
      <c r="B2" s="33" t="n">
        <v>0</v>
      </c>
      <c r="C2" s="33" t="inlineStr">
        <is>
          <t>Match</t>
        </is>
      </c>
      <c r="D2" s="33" t="inlineStr">
        <is>
          <t>EMI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4" t="inlineStr">
        <is>
          <t>No matching transactions.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</row>
  </sheetData>
  <mergeCells count="1">
    <mergeCell ref="B1:A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Salary Transactions</t>
        </is>
      </c>
    </row>
    <row r="2">
      <c r="A2" s="33" t="inlineStr">
        <is>
          <t>Rows</t>
        </is>
      </c>
      <c r="B2" s="33" t="n">
        <v>0</v>
      </c>
      <c r="C2" s="33" t="inlineStr">
        <is>
          <t>Match</t>
        </is>
      </c>
      <c r="D2" s="33" t="inlineStr">
        <is>
          <t>Salary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4" t="inlineStr">
        <is>
          <t>No matching transactions.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</row>
  </sheetData>
  <mergeCells count="1">
    <mergeCell ref="B1:A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9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High Transaction Transactions</t>
        </is>
      </c>
    </row>
    <row r="2">
      <c r="A2" s="33" t="inlineStr">
        <is>
          <t>Rows</t>
        </is>
      </c>
      <c r="B2" s="33" t="n">
        <v>92</v>
      </c>
      <c r="C2" s="33" t="inlineStr">
        <is>
          <t>Match</t>
        </is>
      </c>
      <c r="D2" s="33" t="inlineStr">
        <is>
          <t>High Transaction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273.pdf</t>
        </is>
      </c>
      <c r="C5" s="44" t="n">
        <v>46113</v>
      </c>
      <c r="D5" s="44" t="n">
        <v>46142</v>
      </c>
      <c r="E5" s="44" t="n">
        <v>46114</v>
      </c>
      <c r="F5" s="44" t="n">
        <v>46114</v>
      </c>
      <c r="G5" s="16" t="inlineStr">
        <is>
          <t>EBANK:WIB/1502 EBANK:WIB/1502021829/Edfs</t>
        </is>
      </c>
      <c r="H5" s="14" t="str"/>
      <c r="I5" s="14" t="inlineStr">
        <is>
          <t>Receipt</t>
        </is>
      </c>
      <c r="J5" s="43" t="n">
        <v>0</v>
      </c>
      <c r="K5" s="43" t="n">
        <v>681881.6</v>
      </c>
      <c r="L5" s="43" t="n">
        <v>681881.6</v>
      </c>
      <c r="M5" s="43" t="n">
        <v>-9317737.199999999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EBANKWIB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4" t="n">
        <v>46114</v>
      </c>
      <c r="AB5" s="46">
        <f>HYPERLINK("#'Transactions'!A2", "View Source Row")</f>
        <v/>
      </c>
    </row>
    <row r="6">
      <c r="A6" s="14" t="n">
        <v>3</v>
      </c>
      <c r="B6" s="14" t="inlineStr">
        <is>
          <t>273.pdf</t>
        </is>
      </c>
      <c r="C6" s="44" t="n">
        <v>46113</v>
      </c>
      <c r="D6" s="44" t="n">
        <v>46142</v>
      </c>
      <c r="E6" s="44" t="n">
        <v>46114</v>
      </c>
      <c r="F6" s="44" t="n">
        <v>46114</v>
      </c>
      <c r="G6" s="16" t="inlineStr">
        <is>
          <t>EBANK:WIB/1502 EBANK:WIB/1502110539/Edfs</t>
        </is>
      </c>
      <c r="H6" s="14" t="str"/>
      <c r="I6" s="14" t="inlineStr">
        <is>
          <t>Receipt</t>
        </is>
      </c>
      <c r="J6" s="43" t="n">
        <v>0</v>
      </c>
      <c r="K6" s="43" t="n">
        <v>248340</v>
      </c>
      <c r="L6" s="43" t="n">
        <v>248340</v>
      </c>
      <c r="M6" s="43" t="n">
        <v>-9074643.800000001</v>
      </c>
      <c r="N6" s="14" t="inlineStr">
        <is>
          <t>High Transaction; Recurring Transaction</t>
        </is>
      </c>
      <c r="O6" s="14" t="inlineStr">
        <is>
          <t>Yes</t>
        </is>
      </c>
      <c r="P6" s="14" t="inlineStr">
        <is>
          <t>EBANKWIB</t>
        </is>
      </c>
      <c r="Q6" s="14" t="n">
        <v>0</v>
      </c>
      <c r="R6" s="14" t="n">
        <v>1</v>
      </c>
      <c r="S6" s="14" t="n">
        <v>0</v>
      </c>
      <c r="T6" s="14" t="n">
        <v>0</v>
      </c>
      <c r="U6" s="14" t="n">
        <v>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4" t="n">
        <v>46114</v>
      </c>
      <c r="AB6" s="46">
        <f>HYPERLINK("#'Transactions'!A4", "View Source Row")</f>
        <v/>
      </c>
    </row>
    <row r="7">
      <c r="A7" s="14" t="n">
        <v>5</v>
      </c>
      <c r="B7" s="14" t="inlineStr">
        <is>
          <t>273.pdf</t>
        </is>
      </c>
      <c r="C7" s="44" t="n">
        <v>46113</v>
      </c>
      <c r="D7" s="44" t="n">
        <v>46142</v>
      </c>
      <c r="E7" s="44" t="n">
        <v>46114</v>
      </c>
      <c r="F7" s="44" t="n">
        <v>46114</v>
      </c>
      <c r="G7" s="16" t="inlineStr">
        <is>
          <t>VIRARW-THANE/B BY CASH</t>
        </is>
      </c>
      <c r="H7" s="14" t="str"/>
      <c r="I7" s="14" t="inlineStr">
        <is>
          <t>Receipt</t>
        </is>
      </c>
      <c r="J7" s="43" t="n">
        <v>0</v>
      </c>
      <c r="K7" s="43" t="n">
        <v>426000</v>
      </c>
      <c r="L7" s="43" t="n">
        <v>426000</v>
      </c>
      <c r="M7" s="43" t="n">
        <v>-8581143.800000001</v>
      </c>
      <c r="N7" s="14" t="inlineStr">
        <is>
          <t>Cash; High Transaction; Recurring Transaction</t>
        </is>
      </c>
      <c r="O7" s="14" t="inlineStr">
        <is>
          <t>Yes</t>
        </is>
      </c>
      <c r="P7" s="14" t="inlineStr">
        <is>
          <t>B BY CASH</t>
        </is>
      </c>
      <c r="Q7" s="14" t="n">
        <v>1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4" t="n">
        <v>46114</v>
      </c>
      <c r="AB7" s="46">
        <f>HYPERLINK("#'Transactions'!A6", "View Source Row")</f>
        <v/>
      </c>
    </row>
    <row r="8">
      <c r="A8" s="14" t="n">
        <v>6</v>
      </c>
      <c r="B8" s="14" t="inlineStr">
        <is>
          <t>273.pdf</t>
        </is>
      </c>
      <c r="C8" s="44" t="n">
        <v>46113</v>
      </c>
      <c r="D8" s="44" t="n">
        <v>46142</v>
      </c>
      <c r="E8" s="44" t="n">
        <v>46114</v>
      </c>
      <c r="F8" s="44" t="n">
        <v>46114</v>
      </c>
      <c r="G8" s="16" t="inlineStr">
        <is>
          <t>EBANK:WIB/1502 EBANK:WIB/1502234210/Edfs</t>
        </is>
      </c>
      <c r="H8" s="14" t="str"/>
      <c r="I8" s="14" t="inlineStr">
        <is>
          <t>Receipt</t>
        </is>
      </c>
      <c r="J8" s="43" t="n">
        <v>0</v>
      </c>
      <c r="K8" s="43" t="n">
        <v>791482.5</v>
      </c>
      <c r="L8" s="43" t="n">
        <v>791482.5</v>
      </c>
      <c r="M8" s="43" t="n">
        <v>-7789661.3</v>
      </c>
      <c r="N8" s="14" t="inlineStr">
        <is>
          <t>High Transaction; Recurring Transaction</t>
        </is>
      </c>
      <c r="O8" s="14" t="inlineStr">
        <is>
          <t>Yes</t>
        </is>
      </c>
      <c r="P8" s="14" t="inlineStr">
        <is>
          <t>EBANKWIB</t>
        </is>
      </c>
      <c r="Q8" s="14" t="n">
        <v>0</v>
      </c>
      <c r="R8" s="14" t="n">
        <v>1</v>
      </c>
      <c r="S8" s="14" t="n">
        <v>0</v>
      </c>
      <c r="T8" s="14" t="n">
        <v>0</v>
      </c>
      <c r="U8" s="14" t="n">
        <v>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4" t="n">
        <v>46114</v>
      </c>
      <c r="AB8" s="46">
        <f>HYPERLINK("#'Transactions'!A7", "View Source Row")</f>
        <v/>
      </c>
    </row>
    <row r="9">
      <c r="A9" s="14" t="n">
        <v>7</v>
      </c>
      <c r="B9" s="14" t="inlineStr">
        <is>
          <t>273.pdf</t>
        </is>
      </c>
      <c r="C9" s="44" t="n">
        <v>46113</v>
      </c>
      <c r="D9" s="44" t="n">
        <v>46142</v>
      </c>
      <c r="E9" s="44" t="n">
        <v>46114</v>
      </c>
      <c r="F9" s="44" t="n">
        <v>46114</v>
      </c>
      <c r="G9" s="16" t="inlineStr">
        <is>
          <t>RTGS-BARBR5202 RTGS-BARBR52026040200930050-HINDUSTAN PETROLEUM CO</t>
        </is>
      </c>
      <c r="H9" s="14" t="str"/>
      <c r="I9" s="14" t="inlineStr">
        <is>
          <t>Payment</t>
        </is>
      </c>
      <c r="J9" s="43" t="n">
        <v>1410247.26</v>
      </c>
      <c r="K9" s="43" t="n">
        <v>0</v>
      </c>
      <c r="L9" s="43" t="n">
        <v>1410247.26</v>
      </c>
      <c r="M9" s="43" t="n">
        <v>-9199908.560000001</v>
      </c>
      <c r="N9" s="14" t="inlineStr">
        <is>
          <t>High Transaction; Recurring Transaction</t>
        </is>
      </c>
      <c r="O9" s="14" t="inlineStr">
        <is>
          <t>Yes</t>
        </is>
      </c>
      <c r="P9" s="14" t="inlineStr">
        <is>
          <t>BARBR RTGS</t>
        </is>
      </c>
      <c r="Q9" s="14" t="n">
        <v>0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4" t="n">
        <v>46114</v>
      </c>
      <c r="AB9" s="46">
        <f>HYPERLINK("#'Transactions'!A8", "View Source Row")</f>
        <v/>
      </c>
    </row>
    <row r="10">
      <c r="A10" s="14" t="n">
        <v>8</v>
      </c>
      <c r="B10" s="14" t="inlineStr">
        <is>
          <t>273.pdf</t>
        </is>
      </c>
      <c r="C10" s="44" t="n">
        <v>46113</v>
      </c>
      <c r="D10" s="44" t="n">
        <v>46142</v>
      </c>
      <c r="E10" s="44" t="n">
        <v>46115</v>
      </c>
      <c r="F10" s="44" t="n">
        <v>46115</v>
      </c>
      <c r="G10" s="16" t="inlineStr">
        <is>
          <t>EBANK:WIB/1502 EBANK:WIB/1502413595/Edfs</t>
        </is>
      </c>
      <c r="H10" s="14" t="str"/>
      <c r="I10" s="14" t="inlineStr">
        <is>
          <t>Receipt</t>
        </is>
      </c>
      <c r="J10" s="43" t="n">
        <v>0</v>
      </c>
      <c r="K10" s="43" t="n">
        <v>790104.58</v>
      </c>
      <c r="L10" s="43" t="n">
        <v>790104.58</v>
      </c>
      <c r="M10" s="43" t="n">
        <v>-8409803.98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4" t="n">
        <v>46115</v>
      </c>
      <c r="AB10" s="46">
        <f>HYPERLINK("#'Transactions'!A9", "View Source Row")</f>
        <v/>
      </c>
    </row>
    <row r="11">
      <c r="A11" s="14" t="n">
        <v>11</v>
      </c>
      <c r="B11" s="14" t="inlineStr">
        <is>
          <t>273.pdf</t>
        </is>
      </c>
      <c r="C11" s="44" t="n">
        <v>46113</v>
      </c>
      <c r="D11" s="44" t="n">
        <v>46142</v>
      </c>
      <c r="E11" s="44" t="n">
        <v>46116</v>
      </c>
      <c r="F11" s="44" t="n">
        <v>46116</v>
      </c>
      <c r="G11" s="16" t="inlineStr">
        <is>
          <t>EBANK:WIB/1502 EBANK:WIB/1502423934/Edfs</t>
        </is>
      </c>
      <c r="H11" s="14" t="str"/>
      <c r="I11" s="14" t="inlineStr">
        <is>
          <t>Receipt</t>
        </is>
      </c>
      <c r="J11" s="43" t="n">
        <v>0</v>
      </c>
      <c r="K11" s="43" t="n">
        <v>240091</v>
      </c>
      <c r="L11" s="43" t="n">
        <v>240091</v>
      </c>
      <c r="M11" s="43" t="n">
        <v>-8174971.7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EBANKWIB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4" t="n">
        <v>46116</v>
      </c>
      <c r="AB11" s="46">
        <f>HYPERLINK("#'Transactions'!A12", "View Source Row")</f>
        <v/>
      </c>
    </row>
    <row r="12">
      <c r="A12" s="14" t="n">
        <v>12</v>
      </c>
      <c r="B12" s="14" t="inlineStr">
        <is>
          <t>273.pdf</t>
        </is>
      </c>
      <c r="C12" s="44" t="n">
        <v>46113</v>
      </c>
      <c r="D12" s="44" t="n">
        <v>46142</v>
      </c>
      <c r="E12" s="44" t="n">
        <v>46116</v>
      </c>
      <c r="F12" s="44" t="n">
        <v>46116</v>
      </c>
      <c r="G12" s="16" t="inlineStr">
        <is>
          <t>BY CASH BY CASH</t>
        </is>
      </c>
      <c r="H12" s="14" t="str"/>
      <c r="I12" s="14" t="inlineStr">
        <is>
          <t>Receipt</t>
        </is>
      </c>
      <c r="J12" s="43" t="n">
        <v>0</v>
      </c>
      <c r="K12" s="43" t="n">
        <v>423500</v>
      </c>
      <c r="L12" s="43" t="n">
        <v>423500</v>
      </c>
      <c r="M12" s="43" t="n">
        <v>-7751471.7</v>
      </c>
      <c r="N12" s="14" t="inlineStr">
        <is>
          <t>Cash; High Transaction; Recurring Transaction</t>
        </is>
      </c>
      <c r="O12" s="14" t="inlineStr">
        <is>
          <t>Yes</t>
        </is>
      </c>
      <c r="P12" s="14" t="inlineStr">
        <is>
          <t>BY CASH BY CASH</t>
        </is>
      </c>
      <c r="Q12" s="14" t="n">
        <v>1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4" t="n">
        <v>46116</v>
      </c>
      <c r="AB12" s="46">
        <f>HYPERLINK("#'Transactions'!A13", "View Source Row")</f>
        <v/>
      </c>
    </row>
    <row r="13">
      <c r="A13" s="14" t="n">
        <v>13</v>
      </c>
      <c r="B13" s="14" t="inlineStr">
        <is>
          <t>273.pdf</t>
        </is>
      </c>
      <c r="C13" s="44" t="n">
        <v>46113</v>
      </c>
      <c r="D13" s="44" t="n">
        <v>46142</v>
      </c>
      <c r="E13" s="44" t="n">
        <v>46116</v>
      </c>
      <c r="F13" s="44" t="n">
        <v>46116</v>
      </c>
      <c r="G13" s="16" t="inlineStr">
        <is>
          <t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3" s="14" t="str"/>
      <c r="I13" s="14" t="inlineStr">
        <is>
          <t>Receipt</t>
        </is>
      </c>
      <c r="J13" s="43" t="n">
        <v>0</v>
      </c>
      <c r="K13" s="43" t="n">
        <v>120330.37</v>
      </c>
      <c r="L13" s="43" t="n">
        <v>120330.37</v>
      </c>
      <c r="M13" s="43" t="n">
        <v>-7631141.33</v>
      </c>
      <c r="N13" s="14" t="inlineStr">
        <is>
          <t>High Transaction; Recurring Transaction</t>
        </is>
      </c>
      <c r="O13" s="14" t="inlineStr">
        <is>
          <t>Yes</t>
        </is>
      </c>
      <c r="P13" s="14" t="inlineStr">
        <is>
          <t>EBANKWIB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1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4" t="n">
        <v>46116</v>
      </c>
      <c r="AB13" s="46">
        <f>HYPERLINK("#'Transactions'!A14", "View Source Row")</f>
        <v/>
      </c>
    </row>
    <row r="14">
      <c r="A14" s="14" t="n">
        <v>14</v>
      </c>
      <c r="B14" s="14" t="inlineStr">
        <is>
          <t>273.pdf</t>
        </is>
      </c>
      <c r="C14" s="44" t="n">
        <v>46113</v>
      </c>
      <c r="D14" s="44" t="n">
        <v>46142</v>
      </c>
      <c r="E14" s="44" t="n">
        <v>46116</v>
      </c>
      <c r="F14" s="44" t="n">
        <v>46116</v>
      </c>
      <c r="G14" s="16" t="inlineStr">
        <is>
          <t>RTGS-BARBR5202 RTGS-BARBR52026040400789528-HINDUSTAN PETROLEUM CO</t>
        </is>
      </c>
      <c r="H14" s="14" t="str"/>
      <c r="I14" s="14" t="inlineStr">
        <is>
          <t>Payment</t>
        </is>
      </c>
      <c r="J14" s="43" t="n">
        <v>1854884.36</v>
      </c>
      <c r="K14" s="43" t="n">
        <v>0</v>
      </c>
      <c r="L14" s="43" t="n">
        <v>1854884.36</v>
      </c>
      <c r="M14" s="43" t="n">
        <v>-9486025.689999999</v>
      </c>
      <c r="N14" s="14" t="inlineStr">
        <is>
          <t>High Transaction; Recurring Transaction</t>
        </is>
      </c>
      <c r="O14" s="14" t="inlineStr">
        <is>
          <t>Yes</t>
        </is>
      </c>
      <c r="P14" s="14" t="inlineStr">
        <is>
          <t>BARBR RTGS</t>
        </is>
      </c>
      <c r="Q14" s="14" t="n">
        <v>0</v>
      </c>
      <c r="R14" s="14" t="n">
        <v>1</v>
      </c>
      <c r="S14" s="14" t="n">
        <v>0</v>
      </c>
      <c r="T14" s="14" t="n">
        <v>0</v>
      </c>
      <c r="U14" s="14" t="n">
        <v>1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4" t="n">
        <v>46116</v>
      </c>
      <c r="AB14" s="46">
        <f>HYPERLINK("#'Transactions'!A15", "View Source Row")</f>
        <v/>
      </c>
    </row>
    <row r="15">
      <c r="A15" s="14" t="n">
        <v>15</v>
      </c>
      <c r="B15" s="14" t="inlineStr">
        <is>
          <t>273.pdf</t>
        </is>
      </c>
      <c r="C15" s="44" t="n">
        <v>46113</v>
      </c>
      <c r="D15" s="44" t="n">
        <v>46142</v>
      </c>
      <c r="E15" s="44" t="n">
        <v>46117</v>
      </c>
      <c r="F15" s="44" t="n">
        <v>46117</v>
      </c>
      <c r="G15" s="16" t="inlineStr">
        <is>
          <t>EBANK:WIB/1502 EBANK:WIB/1502577386/Edfs</t>
        </is>
      </c>
      <c r="H15" s="14" t="str"/>
      <c r="I15" s="14" t="inlineStr">
        <is>
          <t>Receipt</t>
        </is>
      </c>
      <c r="J15" s="43" t="n">
        <v>0</v>
      </c>
      <c r="K15" s="43" t="n">
        <v>300403.36</v>
      </c>
      <c r="L15" s="43" t="n">
        <v>300403.36</v>
      </c>
      <c r="M15" s="43" t="n">
        <v>-9185622.33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EBANKWIB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4" t="n">
        <v>46117</v>
      </c>
      <c r="AB15" s="46">
        <f>HYPERLINK("#'Transactions'!A16", "View Source Row")</f>
        <v/>
      </c>
    </row>
    <row r="16">
      <c r="A16" s="14" t="n">
        <v>16</v>
      </c>
      <c r="B16" s="14" t="inlineStr">
        <is>
          <t>273.pdf</t>
        </is>
      </c>
      <c r="C16" s="44" t="n">
        <v>46113</v>
      </c>
      <c r="D16" s="44" t="n">
        <v>46142</v>
      </c>
      <c r="E16" s="44" t="n">
        <v>46118</v>
      </c>
      <c r="F16" s="44" t="n">
        <v>46118</v>
      </c>
      <c r="G16" s="16" t="inlineStr">
        <is>
          <t>EBANK:WIB/1502 https://cbdrpt101.bankofbaroda.co.in:22000/finbranch/arjspmorph/INFENG/tran_rpt.jsp?... 04-05-2026 EBANK:WIB/1502642025/Edfs</t>
        </is>
      </c>
      <c r="H16" s="14" t="str"/>
      <c r="I16" s="14" t="inlineStr">
        <is>
          <t>Receipt</t>
        </is>
      </c>
      <c r="J16" s="43" t="n">
        <v>0</v>
      </c>
      <c r="K16" s="43" t="n">
        <v>365780.21</v>
      </c>
      <c r="L16" s="43" t="n">
        <v>365780.21</v>
      </c>
      <c r="M16" s="43" t="n">
        <v>-8819842.119999999</v>
      </c>
      <c r="N16" s="14" t="inlineStr">
        <is>
          <t>High Transaction; Recurring Transaction</t>
        </is>
      </c>
      <c r="O16" s="14" t="inlineStr">
        <is>
          <t>Yes</t>
        </is>
      </c>
      <c r="P16" s="14" t="inlineStr">
        <is>
          <t>EBANKWIB</t>
        </is>
      </c>
      <c r="Q16" s="14" t="n">
        <v>0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4" t="n">
        <v>46118</v>
      </c>
      <c r="AB16" s="46">
        <f>HYPERLINK("#'Transactions'!A17", "View Source Row")</f>
        <v/>
      </c>
    </row>
    <row r="17">
      <c r="A17" s="14" t="n">
        <v>17</v>
      </c>
      <c r="B17" s="14" t="inlineStr">
        <is>
          <t>273.pdf</t>
        </is>
      </c>
      <c r="C17" s="44" t="n">
        <v>46113</v>
      </c>
      <c r="D17" s="44" t="n">
        <v>46142</v>
      </c>
      <c r="E17" s="44" t="n">
        <v>46118</v>
      </c>
      <c r="F17" s="44" t="n">
        <v>46118</v>
      </c>
      <c r="G17" s="16" t="inlineStr">
        <is>
          <t>BY CASH BY CASH</t>
        </is>
      </c>
      <c r="H17" s="14" t="str"/>
      <c r="I17" s="14" t="inlineStr">
        <is>
          <t>Receipt</t>
        </is>
      </c>
      <c r="J17" s="43" t="n">
        <v>0</v>
      </c>
      <c r="K17" s="43" t="n">
        <v>273000</v>
      </c>
      <c r="L17" s="43" t="n">
        <v>273000</v>
      </c>
      <c r="M17" s="43" t="n">
        <v>-8546842.119999999</v>
      </c>
      <c r="N17" s="14" t="inlineStr">
        <is>
          <t>Cash; High Transaction; Recurring Transaction</t>
        </is>
      </c>
      <c r="O17" s="14" t="inlineStr">
        <is>
          <t>Yes</t>
        </is>
      </c>
      <c r="P17" s="14" t="inlineStr">
        <is>
          <t>BY CASH BY CASH</t>
        </is>
      </c>
      <c r="Q17" s="14" t="n">
        <v>1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4" t="n">
        <v>46118</v>
      </c>
      <c r="AB17" s="46">
        <f>HYPERLINK("#'Transactions'!A18", "View Source Row")</f>
        <v/>
      </c>
    </row>
    <row r="18">
      <c r="A18" s="14" t="n">
        <v>18</v>
      </c>
      <c r="B18" s="14" t="inlineStr">
        <is>
          <t>273.pdf</t>
        </is>
      </c>
      <c r="C18" s="44" t="n">
        <v>46113</v>
      </c>
      <c r="D18" s="44" t="n">
        <v>46142</v>
      </c>
      <c r="E18" s="44" t="n">
        <v>46118</v>
      </c>
      <c r="F18" s="44" t="n">
        <v>46118</v>
      </c>
      <c r="G18" s="16" t="inlineStr">
        <is>
          <t>EBANK:WIB/1502 EBANK:WIB/1502790855/Edfs</t>
        </is>
      </c>
      <c r="H18" s="14" t="str"/>
      <c r="I18" s="14" t="inlineStr">
        <is>
          <t>Receipt</t>
        </is>
      </c>
      <c r="J18" s="43" t="n">
        <v>0</v>
      </c>
      <c r="K18" s="43" t="n">
        <v>198114</v>
      </c>
      <c r="L18" s="43" t="n">
        <v>198114</v>
      </c>
      <c r="M18" s="43" t="n">
        <v>-8348728.12</v>
      </c>
      <c r="N18" s="14" t="inlineStr">
        <is>
          <t>High Transaction; Recurring Transaction</t>
        </is>
      </c>
      <c r="O18" s="14" t="inlineStr">
        <is>
          <t>Yes</t>
        </is>
      </c>
      <c r="P18" s="14" t="inlineStr">
        <is>
          <t>EBANKWIB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4" t="n">
        <v>46118</v>
      </c>
      <c r="AB18" s="46">
        <f>HYPERLINK("#'Transactions'!A19", "View Source Row")</f>
        <v/>
      </c>
    </row>
    <row r="19">
      <c r="A19" s="14" t="n">
        <v>20</v>
      </c>
      <c r="B19" s="14" t="inlineStr">
        <is>
          <t>273.pdf</t>
        </is>
      </c>
      <c r="C19" s="44" t="n">
        <v>46113</v>
      </c>
      <c r="D19" s="44" t="n">
        <v>46142</v>
      </c>
      <c r="E19" s="44" t="n">
        <v>46119</v>
      </c>
      <c r="F19" s="44" t="n">
        <v>46119</v>
      </c>
      <c r="G19" s="16" t="inlineStr">
        <is>
          <t>EBANK:WIB/1502 EBANK:WIB/1502821939/Edfs</t>
        </is>
      </c>
      <c r="H19" s="14" t="str"/>
      <c r="I19" s="14" t="inlineStr">
        <is>
          <t>Receipt</t>
        </is>
      </c>
      <c r="J19" s="43" t="n">
        <v>0</v>
      </c>
      <c r="K19" s="43" t="n">
        <v>330493.07</v>
      </c>
      <c r="L19" s="43" t="n">
        <v>330493.07</v>
      </c>
      <c r="M19" s="43" t="n">
        <v>-8023967.45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EBANKWIB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4" t="n">
        <v>46119</v>
      </c>
      <c r="AB19" s="46">
        <f>HYPERLINK("#'Transactions'!A21", "View Source Row")</f>
        <v/>
      </c>
    </row>
    <row r="20">
      <c r="A20" s="14" t="n">
        <v>21</v>
      </c>
      <c r="B20" s="14" t="inlineStr">
        <is>
          <t>273.pdf</t>
        </is>
      </c>
      <c r="C20" s="44" t="n">
        <v>46113</v>
      </c>
      <c r="D20" s="44" t="n">
        <v>46142</v>
      </c>
      <c r="E20" s="44" t="n">
        <v>46119</v>
      </c>
      <c r="F20" s="44" t="n">
        <v>46119</v>
      </c>
      <c r="G20" s="16" t="inlineStr">
        <is>
          <t>EBANK:WIB/1502 EBANK:WIB/1502986421/Edfs</t>
        </is>
      </c>
      <c r="H20" s="14" t="str"/>
      <c r="I20" s="14" t="inlineStr">
        <is>
          <t>Receipt</t>
        </is>
      </c>
      <c r="J20" s="43" t="n">
        <v>0</v>
      </c>
      <c r="K20" s="43" t="n">
        <v>137582.35</v>
      </c>
      <c r="L20" s="43" t="n">
        <v>137582.35</v>
      </c>
      <c r="M20" s="43" t="n">
        <v>-7886385.1</v>
      </c>
      <c r="N20" s="14" t="inlineStr">
        <is>
          <t>High Transaction; Recurring Transaction</t>
        </is>
      </c>
      <c r="O20" s="14" t="inlineStr">
        <is>
          <t>Yes</t>
        </is>
      </c>
      <c r="P20" s="14" t="inlineStr">
        <is>
          <t>EBANKWIB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4" t="n">
        <v>46119</v>
      </c>
      <c r="AB20" s="46">
        <f>HYPERLINK("#'Transactions'!A22", "View Source Row")</f>
        <v/>
      </c>
    </row>
    <row r="21">
      <c r="A21" s="14" t="n">
        <v>22</v>
      </c>
      <c r="B21" s="14" t="inlineStr">
        <is>
          <t>273.pdf</t>
        </is>
      </c>
      <c r="C21" s="44" t="n">
        <v>46113</v>
      </c>
      <c r="D21" s="44" t="n">
        <v>46142</v>
      </c>
      <c r="E21" s="44" t="n">
        <v>46119</v>
      </c>
      <c r="F21" s="44" t="n">
        <v>46119</v>
      </c>
      <c r="G21" s="16" t="inlineStr">
        <is>
          <t>RTGS-BARBR5202 RTGS-BARBR52026040700945156-HINDUSTAN PETROLEUM CO</t>
        </is>
      </c>
      <c r="H21" s="14" t="str"/>
      <c r="I21" s="14" t="inlineStr">
        <is>
          <t>Payment</t>
        </is>
      </c>
      <c r="J21" s="43" t="n">
        <v>1902609.28</v>
      </c>
      <c r="K21" s="43" t="n">
        <v>0</v>
      </c>
      <c r="L21" s="43" t="n">
        <v>1902609.28</v>
      </c>
      <c r="M21" s="43" t="n">
        <v>-9788994.380000001</v>
      </c>
      <c r="N21" s="14" t="inlineStr">
        <is>
          <t>High Transaction; Recurring Transaction</t>
        </is>
      </c>
      <c r="O21" s="14" t="inlineStr">
        <is>
          <t>Yes</t>
        </is>
      </c>
      <c r="P21" s="14" t="inlineStr">
        <is>
          <t>BARBR RTGS</t>
        </is>
      </c>
      <c r="Q21" s="14" t="n">
        <v>0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4" t="n">
        <v>46119</v>
      </c>
      <c r="AB21" s="46">
        <f>HYPERLINK("#'Transactions'!A23", "View Source Row")</f>
        <v/>
      </c>
    </row>
    <row r="22">
      <c r="A22" s="14" t="n">
        <v>23</v>
      </c>
      <c r="B22" s="14" t="inlineStr">
        <is>
          <t>273.pdf</t>
        </is>
      </c>
      <c r="C22" s="44" t="n">
        <v>46113</v>
      </c>
      <c r="D22" s="44" t="n">
        <v>46142</v>
      </c>
      <c r="E22" s="44" t="n">
        <v>46120</v>
      </c>
      <c r="F22" s="44" t="n">
        <v>46120</v>
      </c>
      <c r="G22" s="16" t="inlineStr">
        <is>
          <t>EBANK:WIB/1503 EBANK:WIB/1503050809/Edfs</t>
        </is>
      </c>
      <c r="H22" s="14" t="str"/>
      <c r="I22" s="14" t="inlineStr">
        <is>
          <t>Receipt</t>
        </is>
      </c>
      <c r="J22" s="43" t="n">
        <v>0</v>
      </c>
      <c r="K22" s="43" t="n">
        <v>381113</v>
      </c>
      <c r="L22" s="43" t="n">
        <v>381113</v>
      </c>
      <c r="M22" s="43" t="n">
        <v>-9407881.380000001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EBANKWIB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4" t="n">
        <v>46120</v>
      </c>
      <c r="AB22" s="46">
        <f>HYPERLINK("#'Transactions'!A24", "View Source Row")</f>
        <v/>
      </c>
    </row>
    <row r="23">
      <c r="A23" s="14" t="n">
        <v>24</v>
      </c>
      <c r="B23" s="14" t="inlineStr">
        <is>
          <t>273.pdf</t>
        </is>
      </c>
      <c r="C23" s="44" t="n">
        <v>46113</v>
      </c>
      <c r="D23" s="44" t="n">
        <v>46142</v>
      </c>
      <c r="E23" s="44" t="n">
        <v>46120</v>
      </c>
      <c r="F23" s="44" t="n">
        <v>46120</v>
      </c>
      <c r="G23" s="16" t="inlineStr">
        <is>
          <t>BY CASH BY CASH</t>
        </is>
      </c>
      <c r="H23" s="14" t="str"/>
      <c r="I23" s="14" t="inlineStr">
        <is>
          <t>Receipt</t>
        </is>
      </c>
      <c r="J23" s="43" t="n">
        <v>0</v>
      </c>
      <c r="K23" s="43" t="n">
        <v>115000</v>
      </c>
      <c r="L23" s="43" t="n">
        <v>115000</v>
      </c>
      <c r="M23" s="43" t="n">
        <v>-9292881.380000001</v>
      </c>
      <c r="N23" s="14" t="inlineStr">
        <is>
          <t>Cash; High Transaction; Recurring Transaction</t>
        </is>
      </c>
      <c r="O23" s="14" t="inlineStr">
        <is>
          <t>Yes</t>
        </is>
      </c>
      <c r="P23" s="14" t="inlineStr">
        <is>
          <t>BY CASH BY CASH</t>
        </is>
      </c>
      <c r="Q23" s="14" t="n">
        <v>1</v>
      </c>
      <c r="R23" s="14" t="n">
        <v>1</v>
      </c>
      <c r="S23" s="14" t="n">
        <v>0</v>
      </c>
      <c r="T23" s="14" t="n">
        <v>0</v>
      </c>
      <c r="U23" s="14" t="n">
        <v>1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4" t="n">
        <v>46120</v>
      </c>
      <c r="AB23" s="46">
        <f>HYPERLINK("#'Transactions'!A25", "View Source Row")</f>
        <v/>
      </c>
    </row>
    <row r="24">
      <c r="A24" s="14" t="n">
        <v>25</v>
      </c>
      <c r="B24" s="14" t="inlineStr">
        <is>
          <t>273.pdf</t>
        </is>
      </c>
      <c r="C24" s="44" t="n">
        <v>46113</v>
      </c>
      <c r="D24" s="44" t="n">
        <v>46142</v>
      </c>
      <c r="E24" s="44" t="n">
        <v>46120</v>
      </c>
      <c r="F24" s="44" t="n">
        <v>46120</v>
      </c>
      <c r="G24" s="16" t="inlineStr">
        <is>
          <t>EBANK:WIB/1503 EBANK:WIB/1503170712/Edfs</t>
        </is>
      </c>
      <c r="H24" s="14" t="str"/>
      <c r="I24" s="14" t="inlineStr">
        <is>
          <t>Receipt</t>
        </is>
      </c>
      <c r="J24" s="43" t="n">
        <v>0</v>
      </c>
      <c r="K24" s="43" t="n">
        <v>108620</v>
      </c>
      <c r="L24" s="43" t="n">
        <v>108620</v>
      </c>
      <c r="M24" s="43" t="n">
        <v>-9184261.380000001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4" t="n">
        <v>46120</v>
      </c>
      <c r="AB24" s="46">
        <f>HYPERLINK("#'Transactions'!A26", "View Source Row")</f>
        <v/>
      </c>
    </row>
    <row r="25">
      <c r="A25" s="14" t="n">
        <v>28</v>
      </c>
      <c r="B25" s="14" t="inlineStr">
        <is>
          <t>273.pdf</t>
        </is>
      </c>
      <c r="C25" s="44" t="n">
        <v>46113</v>
      </c>
      <c r="D25" s="44" t="n">
        <v>46142</v>
      </c>
      <c r="E25" s="44" t="n">
        <v>46121</v>
      </c>
      <c r="F25" s="44" t="n">
        <v>46121</v>
      </c>
      <c r="G25" s="16" t="inlineStr">
        <is>
          <t>BY CASH BY CASH</t>
        </is>
      </c>
      <c r="H25" s="14" t="str"/>
      <c r="I25" s="14" t="inlineStr">
        <is>
          <t>Receipt</t>
        </is>
      </c>
      <c r="J25" s="43" t="n">
        <v>0</v>
      </c>
      <c r="K25" s="43" t="n">
        <v>180000</v>
      </c>
      <c r="L25" s="43" t="n">
        <v>180000</v>
      </c>
      <c r="M25" s="43" t="n">
        <v>-9009930.720000001</v>
      </c>
      <c r="N25" s="14" t="inlineStr">
        <is>
          <t>Cash; High Transaction; Recurring Transaction</t>
        </is>
      </c>
      <c r="O25" s="14" t="inlineStr">
        <is>
          <t>Yes</t>
        </is>
      </c>
      <c r="P25" s="14" t="inlineStr">
        <is>
          <t>BY CASH BY CASH</t>
        </is>
      </c>
      <c r="Q25" s="14" t="n">
        <v>1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4" t="n">
        <v>46121</v>
      </c>
      <c r="AB25" s="46">
        <f>HYPERLINK("#'Transactions'!A29", "View Source Row")</f>
        <v/>
      </c>
    </row>
    <row r="26">
      <c r="A26" s="14" t="n">
        <v>29</v>
      </c>
      <c r="B26" s="14" t="inlineStr">
        <is>
          <t>273.pdf</t>
        </is>
      </c>
      <c r="C26" s="44" t="n">
        <v>46113</v>
      </c>
      <c r="D26" s="44" t="n">
        <v>46142</v>
      </c>
      <c r="E26" s="44" t="n">
        <v>46121</v>
      </c>
      <c r="F26" s="44" t="n">
        <v>46121</v>
      </c>
      <c r="G26" s="16" t="inlineStr">
        <is>
          <t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26" s="14" t="str"/>
      <c r="I26" s="14" t="inlineStr">
        <is>
          <t>Receipt</t>
        </is>
      </c>
      <c r="J26" s="43" t="n">
        <v>0</v>
      </c>
      <c r="K26" s="43" t="n">
        <v>380118</v>
      </c>
      <c r="L26" s="43" t="n">
        <v>380118</v>
      </c>
      <c r="M26" s="43" t="n">
        <v>-8629812.720000001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EBANKWIB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4" t="n">
        <v>46121</v>
      </c>
      <c r="AB26" s="46">
        <f>HYPERLINK("#'Transactions'!A30", "View Source Row")</f>
        <v/>
      </c>
    </row>
    <row r="27">
      <c r="A27" s="14" t="n">
        <v>30</v>
      </c>
      <c r="B27" s="14" t="inlineStr">
        <is>
          <t>273.pdf</t>
        </is>
      </c>
      <c r="C27" s="44" t="n">
        <v>46113</v>
      </c>
      <c r="D27" s="44" t="n">
        <v>46142</v>
      </c>
      <c r="E27" s="44" t="n">
        <v>46122</v>
      </c>
      <c r="F27" s="44" t="n">
        <v>46122</v>
      </c>
      <c r="G27" s="16" t="inlineStr">
        <is>
          <t>EBANK:WIB/1503 EBANK:WIB/1503339201/Edfs</t>
        </is>
      </c>
      <c r="H27" s="14" t="str"/>
      <c r="I27" s="14" t="inlineStr">
        <is>
          <t>Receipt</t>
        </is>
      </c>
      <c r="J27" s="43" t="n">
        <v>0</v>
      </c>
      <c r="K27" s="43" t="n">
        <v>432999</v>
      </c>
      <c r="L27" s="43" t="n">
        <v>432999</v>
      </c>
      <c r="M27" s="43" t="n">
        <v>-8196813.72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EBANKWIB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4" t="n">
        <v>46122</v>
      </c>
      <c r="AB27" s="46">
        <f>HYPERLINK("#'Transactions'!A31", "View Source Row")</f>
        <v/>
      </c>
    </row>
    <row r="28">
      <c r="A28" s="14" t="n">
        <v>32</v>
      </c>
      <c r="B28" s="14" t="inlineStr">
        <is>
          <t>273.pdf</t>
        </is>
      </c>
      <c r="C28" s="44" t="n">
        <v>46113</v>
      </c>
      <c r="D28" s="44" t="n">
        <v>46142</v>
      </c>
      <c r="E28" s="44" t="n">
        <v>46122</v>
      </c>
      <c r="F28" s="44" t="n">
        <v>46122</v>
      </c>
      <c r="G28" s="16" t="inlineStr">
        <is>
          <t>RTGS-BARBR5202 RTGS-BARBR52026041000833640-HINDUSTAN PETROLEUM CO</t>
        </is>
      </c>
      <c r="H28" s="14" t="str"/>
      <c r="I28" s="14" t="inlineStr">
        <is>
          <t>Payment</t>
        </is>
      </c>
      <c r="J28" s="43" t="n">
        <v>1801993</v>
      </c>
      <c r="K28" s="43" t="n">
        <v>0</v>
      </c>
      <c r="L28" s="43" t="n">
        <v>1801993</v>
      </c>
      <c r="M28" s="43" t="n">
        <v>-9999999.970000001</v>
      </c>
      <c r="N28" s="14" t="inlineStr">
        <is>
          <t>High Transaction; Recurring Transaction</t>
        </is>
      </c>
      <c r="O28" s="14" t="inlineStr">
        <is>
          <t>Yes</t>
        </is>
      </c>
      <c r="P28" s="14" t="inlineStr">
        <is>
          <t>BARBR RTGS</t>
        </is>
      </c>
      <c r="Q28" s="14" t="n">
        <v>0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4" t="n">
        <v>46122</v>
      </c>
      <c r="AB28" s="46">
        <f>HYPERLINK("#'Transactions'!A33", "View Source Row")</f>
        <v/>
      </c>
    </row>
    <row r="29">
      <c r="A29" s="14" t="n">
        <v>34</v>
      </c>
      <c r="B29" s="14" t="inlineStr">
        <is>
          <t>273.pdf</t>
        </is>
      </c>
      <c r="C29" s="44" t="n">
        <v>46113</v>
      </c>
      <c r="D29" s="44" t="n">
        <v>46142</v>
      </c>
      <c r="E29" s="44" t="n">
        <v>46122</v>
      </c>
      <c r="F29" s="44" t="n">
        <v>46122</v>
      </c>
      <c r="G29" s="16" t="inlineStr">
        <is>
          <t>BY CASH BY CASH</t>
        </is>
      </c>
      <c r="H29" s="14" t="str"/>
      <c r="I29" s="14" t="inlineStr">
        <is>
          <t>Receipt</t>
        </is>
      </c>
      <c r="J29" s="43" t="n">
        <v>0</v>
      </c>
      <c r="K29" s="43" t="n">
        <v>171000</v>
      </c>
      <c r="L29" s="43" t="n">
        <v>171000</v>
      </c>
      <c r="M29" s="43" t="n">
        <v>-9779313.970000001</v>
      </c>
      <c r="N29" s="14" t="inlineStr">
        <is>
          <t>Cash; High Transaction; Recurring Transaction</t>
        </is>
      </c>
      <c r="O29" s="14" t="inlineStr">
        <is>
          <t>Yes</t>
        </is>
      </c>
      <c r="P29" s="14" t="inlineStr">
        <is>
          <t>BY CASH BY CASH</t>
        </is>
      </c>
      <c r="Q29" s="14" t="n">
        <v>1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4" t="n">
        <v>46122</v>
      </c>
      <c r="AB29" s="46">
        <f>HYPERLINK("#'Transactions'!A35", "View Source Row")</f>
        <v/>
      </c>
    </row>
    <row r="30">
      <c r="A30" s="14" t="n">
        <v>38</v>
      </c>
      <c r="B30" s="14" t="inlineStr">
        <is>
          <t>273.pdf</t>
        </is>
      </c>
      <c r="C30" s="44" t="n">
        <v>46113</v>
      </c>
      <c r="D30" s="44" t="n">
        <v>46142</v>
      </c>
      <c r="E30" s="44" t="n">
        <v>46123</v>
      </c>
      <c r="F30" s="44" t="n">
        <v>46123</v>
      </c>
      <c r="G30" s="16" t="inlineStr">
        <is>
          <t>EBANK:WIB/1503 EBANK:WIB/1503559058/Edfs</t>
        </is>
      </c>
      <c r="H30" s="14" t="str"/>
      <c r="I30" s="14" t="inlineStr">
        <is>
          <t>Receipt</t>
        </is>
      </c>
      <c r="J30" s="43" t="n">
        <v>0</v>
      </c>
      <c r="K30" s="43" t="n">
        <v>353767.15</v>
      </c>
      <c r="L30" s="43" t="n">
        <v>353767.15</v>
      </c>
      <c r="M30" s="43" t="n">
        <v>-9453445.58</v>
      </c>
      <c r="N30" s="14" t="inlineStr">
        <is>
          <t>High Transaction; Recurring Transaction</t>
        </is>
      </c>
      <c r="O30" s="14" t="inlineStr">
        <is>
          <t>Yes</t>
        </is>
      </c>
      <c r="P30" s="14" t="inlineStr">
        <is>
          <t>EBANKWIB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1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4" t="n">
        <v>46123</v>
      </c>
      <c r="AB30" s="46">
        <f>HYPERLINK("#'Transactions'!A39", "View Source Row")</f>
        <v/>
      </c>
    </row>
    <row r="31">
      <c r="A31" s="14" t="n">
        <v>39</v>
      </c>
      <c r="B31" s="14" t="inlineStr">
        <is>
          <t>273.pdf</t>
        </is>
      </c>
      <c r="C31" s="44" t="n">
        <v>46113</v>
      </c>
      <c r="D31" s="44" t="n">
        <v>46142</v>
      </c>
      <c r="E31" s="44" t="n">
        <v>46124</v>
      </c>
      <c r="F31" s="44" t="n">
        <v>46124</v>
      </c>
      <c r="G31" s="16" t="inlineStr">
        <is>
          <t>EBANK:WIB/1503 EBANK:WIB/1503691094/Edfs</t>
        </is>
      </c>
      <c r="H31" s="14" t="str"/>
      <c r="I31" s="14" t="inlineStr">
        <is>
          <t>Receipt</t>
        </is>
      </c>
      <c r="J31" s="43" t="n">
        <v>0</v>
      </c>
      <c r="K31" s="43" t="n">
        <v>521281.39</v>
      </c>
      <c r="L31" s="43" t="n">
        <v>521281.39</v>
      </c>
      <c r="M31" s="43" t="n">
        <v>-8932164.189999999</v>
      </c>
      <c r="N31" s="14" t="inlineStr">
        <is>
          <t>High Transaction; Recurring Transaction</t>
        </is>
      </c>
      <c r="O31" s="14" t="inlineStr">
        <is>
          <t>Yes</t>
        </is>
      </c>
      <c r="P31" s="14" t="inlineStr">
        <is>
          <t>EBANKWIB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1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4" t="n">
        <v>46124</v>
      </c>
      <c r="AB31" s="46">
        <f>HYPERLINK("#'Transactions'!A40", "View Source Row")</f>
        <v/>
      </c>
    </row>
    <row r="32">
      <c r="A32" s="14" t="n">
        <v>41</v>
      </c>
      <c r="B32" s="14" t="inlineStr">
        <is>
          <t>273.pdf</t>
        </is>
      </c>
      <c r="C32" s="44" t="n">
        <v>46113</v>
      </c>
      <c r="D32" s="44" t="n">
        <v>46142</v>
      </c>
      <c r="E32" s="44" t="n">
        <v>46125</v>
      </c>
      <c r="F32" s="44" t="n">
        <v>46125</v>
      </c>
      <c r="G32" s="16" t="inlineStr">
        <is>
          <t>VIRARW-THANE/B https://cbdrpt101.bankofbaroda.co.in:22000/finbranch/arjspmorph/INFENG/tran_rpt.jsp?... 04-05-2026 BY CASH</t>
        </is>
      </c>
      <c r="H32" s="14" t="str"/>
      <c r="I32" s="14" t="inlineStr">
        <is>
          <t>Receipt</t>
        </is>
      </c>
      <c r="J32" s="43" t="n">
        <v>0</v>
      </c>
      <c r="K32" s="43" t="n">
        <v>439000</v>
      </c>
      <c r="L32" s="43" t="n">
        <v>439000</v>
      </c>
      <c r="M32" s="43" t="n">
        <v>-8493469.689999999</v>
      </c>
      <c r="N32" s="14" t="inlineStr">
        <is>
          <t>Cash; High Transaction</t>
        </is>
      </c>
      <c r="O32" s="14" t="inlineStr">
        <is>
          <t>No</t>
        </is>
      </c>
      <c r="P32" s="14" t="inlineStr">
        <is>
          <t>CBDRPTBANKOFBARODACOIN</t>
        </is>
      </c>
      <c r="Q32" s="14" t="n">
        <v>1</v>
      </c>
      <c r="R32" s="14" t="n">
        <v>0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4" t="n">
        <v>46125</v>
      </c>
      <c r="AB32" s="46">
        <f>HYPERLINK("#'Transactions'!A42", "View Source Row")</f>
        <v/>
      </c>
    </row>
    <row r="33">
      <c r="A33" s="14" t="n">
        <v>43</v>
      </c>
      <c r="B33" s="14" t="inlineStr">
        <is>
          <t>273.pdf</t>
        </is>
      </c>
      <c r="C33" s="44" t="n">
        <v>46113</v>
      </c>
      <c r="D33" s="44" t="n">
        <v>46142</v>
      </c>
      <c r="E33" s="44" t="n">
        <v>46125</v>
      </c>
      <c r="F33" s="44" t="n">
        <v>46125</v>
      </c>
      <c r="G33" s="16" t="inlineStr">
        <is>
          <t>EBANK:WIB/1503 EBANK:WIB/1503777187/Edfs</t>
        </is>
      </c>
      <c r="H33" s="14" t="str"/>
      <c r="I33" s="14" t="inlineStr">
        <is>
          <t>Receipt</t>
        </is>
      </c>
      <c r="J33" s="43" t="n">
        <v>0</v>
      </c>
      <c r="K33" s="43" t="n">
        <v>610444.28</v>
      </c>
      <c r="L33" s="43" t="n">
        <v>610444.28</v>
      </c>
      <c r="M33" s="43" t="n">
        <v>-7883208.16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4" t="n">
        <v>46125</v>
      </c>
      <c r="AB33" s="46">
        <f>HYPERLINK("#'Transactions'!A44", "View Source Row")</f>
        <v/>
      </c>
    </row>
    <row r="34">
      <c r="A34" s="14" t="n">
        <v>46</v>
      </c>
      <c r="B34" s="14" t="inlineStr">
        <is>
          <t>273.pdf</t>
        </is>
      </c>
      <c r="C34" s="44" t="n">
        <v>46113</v>
      </c>
      <c r="D34" s="44" t="n">
        <v>46142</v>
      </c>
      <c r="E34" s="44" t="n">
        <v>46125</v>
      </c>
      <c r="F34" s="44" t="n">
        <v>46125</v>
      </c>
      <c r="G34" s="16" t="inlineStr">
        <is>
          <t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34" s="14" t="str"/>
      <c r="I34" s="14" t="inlineStr">
        <is>
          <t>Receipt</t>
        </is>
      </c>
      <c r="J34" s="43" t="n">
        <v>0</v>
      </c>
      <c r="K34" s="43" t="n">
        <v>107993.78</v>
      </c>
      <c r="L34" s="43" t="n">
        <v>107993.78</v>
      </c>
      <c r="M34" s="43" t="n">
        <v>-7696761.2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4" t="n">
        <v>46125</v>
      </c>
      <c r="AB34" s="46">
        <f>HYPERLINK("#'Transactions'!A47", "View Source Row")</f>
        <v/>
      </c>
    </row>
    <row r="35">
      <c r="A35" s="14" t="n">
        <v>47</v>
      </c>
      <c r="B35" s="14" t="inlineStr">
        <is>
          <t>273.pdf</t>
        </is>
      </c>
      <c r="C35" s="44" t="n">
        <v>46113</v>
      </c>
      <c r="D35" s="44" t="n">
        <v>46142</v>
      </c>
      <c r="E35" s="44" t="n">
        <v>46125</v>
      </c>
      <c r="F35" s="44" t="n">
        <v>46125</v>
      </c>
      <c r="G35" s="16" t="inlineStr">
        <is>
          <t>RTGS-BARBR5202 RTGS-BARBR52026041300983458-HINDUSTAN PETROLEUM CO</t>
        </is>
      </c>
      <c r="H35" s="14" t="str"/>
      <c r="I35" s="14" t="inlineStr">
        <is>
          <t>Payment</t>
        </is>
      </c>
      <c r="J35" s="43" t="n">
        <v>1962976.51</v>
      </c>
      <c r="K35" s="43" t="n">
        <v>0</v>
      </c>
      <c r="L35" s="43" t="n">
        <v>1962976.51</v>
      </c>
      <c r="M35" s="43" t="n">
        <v>-9659737.710000001</v>
      </c>
      <c r="N35" s="14" t="inlineStr">
        <is>
          <t>High Transaction; Recurring Transaction</t>
        </is>
      </c>
      <c r="O35" s="14" t="inlineStr">
        <is>
          <t>Yes</t>
        </is>
      </c>
      <c r="P35" s="14" t="inlineStr">
        <is>
          <t>BARBR RTGS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1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4" t="n">
        <v>46125</v>
      </c>
      <c r="AB35" s="46">
        <f>HYPERLINK("#'Transactions'!A48", "View Source Row")</f>
        <v/>
      </c>
    </row>
    <row r="36">
      <c r="A36" s="14" t="n">
        <v>49</v>
      </c>
      <c r="B36" s="14" t="inlineStr">
        <is>
          <t>273.pdf</t>
        </is>
      </c>
      <c r="C36" s="44" t="n">
        <v>46113</v>
      </c>
      <c r="D36" s="44" t="n">
        <v>46142</v>
      </c>
      <c r="E36" s="44" t="n">
        <v>46126</v>
      </c>
      <c r="F36" s="44" t="n">
        <v>46126</v>
      </c>
      <c r="G36" s="16" t="inlineStr">
        <is>
          <t>EBANK:WIB/1503 EBANK:WIB/1503879023/Edfs</t>
        </is>
      </c>
      <c r="H36" s="14" t="str"/>
      <c r="I36" s="14" t="inlineStr">
        <is>
          <t>Receipt</t>
        </is>
      </c>
      <c r="J36" s="43" t="n">
        <v>0</v>
      </c>
      <c r="K36" s="43" t="n">
        <v>421121.65</v>
      </c>
      <c r="L36" s="43" t="n">
        <v>421121.65</v>
      </c>
      <c r="M36" s="43" t="n">
        <v>-9245743.24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EBANKWIB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4" t="n">
        <v>46126</v>
      </c>
      <c r="AB36" s="46">
        <f>HYPERLINK("#'Transactions'!A50", "View Source Row")</f>
        <v/>
      </c>
    </row>
    <row r="37">
      <c r="A37" s="14" t="n">
        <v>50</v>
      </c>
      <c r="B37" s="14" t="inlineStr">
        <is>
          <t>273.pdf</t>
        </is>
      </c>
      <c r="C37" s="44" t="n">
        <v>46113</v>
      </c>
      <c r="D37" s="44" t="n">
        <v>46142</v>
      </c>
      <c r="E37" s="44" t="n">
        <v>46126</v>
      </c>
      <c r="F37" s="44" t="n">
        <v>46126</v>
      </c>
      <c r="G37" s="16" t="inlineStr">
        <is>
          <t>EBANK:WIB/1504 EBANK:WIB/1504010401/Edfs</t>
        </is>
      </c>
      <c r="H37" s="14" t="str"/>
      <c r="I37" s="14" t="inlineStr">
        <is>
          <t>Receipt</t>
        </is>
      </c>
      <c r="J37" s="43" t="n">
        <v>0</v>
      </c>
      <c r="K37" s="43" t="n">
        <v>240000</v>
      </c>
      <c r="L37" s="43" t="n">
        <v>240000</v>
      </c>
      <c r="M37" s="43" t="n">
        <v>-9005743.24</v>
      </c>
      <c r="N37" s="14" t="inlineStr">
        <is>
          <t>High Transaction; Recurring Transaction</t>
        </is>
      </c>
      <c r="O37" s="14" t="inlineStr">
        <is>
          <t>Yes</t>
        </is>
      </c>
      <c r="P37" s="14" t="inlineStr">
        <is>
          <t>EBANKWIB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1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4" t="n">
        <v>46126</v>
      </c>
      <c r="AB37" s="46">
        <f>HYPERLINK("#'Transactions'!A51", "View Source Row")</f>
        <v/>
      </c>
    </row>
    <row r="38">
      <c r="A38" s="14" t="n">
        <v>52</v>
      </c>
      <c r="B38" s="14" t="inlineStr">
        <is>
          <t>273.pdf</t>
        </is>
      </c>
      <c r="C38" s="44" t="n">
        <v>46113</v>
      </c>
      <c r="D38" s="44" t="n">
        <v>46142</v>
      </c>
      <c r="E38" s="44" t="n">
        <v>46127</v>
      </c>
      <c r="F38" s="44" t="n">
        <v>46127</v>
      </c>
      <c r="G38" s="16" t="inlineStr">
        <is>
          <t>EBANK:WIB/1504 EBANK:WIB/1504019959/Edfs</t>
        </is>
      </c>
      <c r="H38" s="14" t="str"/>
      <c r="I38" s="14" t="inlineStr">
        <is>
          <t>Receipt</t>
        </is>
      </c>
      <c r="J38" s="43" t="n">
        <v>0</v>
      </c>
      <c r="K38" s="43" t="n">
        <v>401141.57</v>
      </c>
      <c r="L38" s="43" t="n">
        <v>401141.57</v>
      </c>
      <c r="M38" s="43" t="n">
        <v>-8606397.460000001</v>
      </c>
      <c r="N38" s="14" t="inlineStr">
        <is>
          <t>High Transaction; Recurring Transaction</t>
        </is>
      </c>
      <c r="O38" s="14" t="inlineStr">
        <is>
          <t>Yes</t>
        </is>
      </c>
      <c r="P38" s="14" t="inlineStr">
        <is>
          <t>EBANKWIB</t>
        </is>
      </c>
      <c r="Q38" s="14" t="n">
        <v>0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4" t="n">
        <v>46127</v>
      </c>
      <c r="AB38" s="46">
        <f>HYPERLINK("#'Transactions'!A53", "View Source Row")</f>
        <v/>
      </c>
    </row>
    <row r="39">
      <c r="A39" s="14" t="n">
        <v>54</v>
      </c>
      <c r="B39" s="14" t="inlineStr">
        <is>
          <t>273.pdf</t>
        </is>
      </c>
      <c r="C39" s="44" t="n">
        <v>46113</v>
      </c>
      <c r="D39" s="44" t="n">
        <v>46142</v>
      </c>
      <c r="E39" s="44" t="n">
        <v>46127</v>
      </c>
      <c r="F39" s="44" t="n">
        <v>46127</v>
      </c>
      <c r="G39" s="16" t="inlineStr">
        <is>
          <t>EBANK:WIB/1504 EBANK:WIB/1504096201/Edfs</t>
        </is>
      </c>
      <c r="H39" s="14" t="str"/>
      <c r="I39" s="14" t="inlineStr">
        <is>
          <t>Receipt</t>
        </is>
      </c>
      <c r="J39" s="43" t="n">
        <v>0</v>
      </c>
      <c r="K39" s="43" t="n">
        <v>125424</v>
      </c>
      <c r="L39" s="43" t="n">
        <v>125424</v>
      </c>
      <c r="M39" s="43" t="n">
        <v>-8481214.99</v>
      </c>
      <c r="N39" s="14" t="inlineStr">
        <is>
          <t>High Transaction; Recurring Transaction</t>
        </is>
      </c>
      <c r="O39" s="14" t="inlineStr">
        <is>
          <t>Yes</t>
        </is>
      </c>
      <c r="P39" s="14" t="inlineStr">
        <is>
          <t>EBANKWIB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4" t="n">
        <v>46127</v>
      </c>
      <c r="AB39" s="46">
        <f>HYPERLINK("#'Transactions'!A55", "View Source Row")</f>
        <v/>
      </c>
    </row>
    <row r="40">
      <c r="A40" s="14" t="n">
        <v>55</v>
      </c>
      <c r="B40" s="14" t="inlineStr">
        <is>
          <t>273.pdf</t>
        </is>
      </c>
      <c r="C40" s="44" t="n">
        <v>46113</v>
      </c>
      <c r="D40" s="44" t="n">
        <v>46142</v>
      </c>
      <c r="E40" s="44" t="n">
        <v>46127</v>
      </c>
      <c r="F40" s="44" t="n">
        <v>46127</v>
      </c>
      <c r="G40" s="16" t="inlineStr">
        <is>
          <t>BY CASH BY CASH</t>
        </is>
      </c>
      <c r="H40" s="14" t="str"/>
      <c r="I40" s="14" t="inlineStr">
        <is>
          <t>Receipt</t>
        </is>
      </c>
      <c r="J40" s="43" t="n">
        <v>0</v>
      </c>
      <c r="K40" s="43" t="n">
        <v>371000</v>
      </c>
      <c r="L40" s="43" t="n">
        <v>371000</v>
      </c>
      <c r="M40" s="43" t="n">
        <v>-8110214.99</v>
      </c>
      <c r="N40" s="14" t="inlineStr">
        <is>
          <t>Cash; High Transaction; Recurring Transaction</t>
        </is>
      </c>
      <c r="O40" s="14" t="inlineStr">
        <is>
          <t>Yes</t>
        </is>
      </c>
      <c r="P40" s="14" t="inlineStr">
        <is>
          <t>BY CASH BY CASH</t>
        </is>
      </c>
      <c r="Q40" s="14" t="n">
        <v>1</v>
      </c>
      <c r="R40" s="14" t="n">
        <v>1</v>
      </c>
      <c r="S40" s="14" t="n">
        <v>0</v>
      </c>
      <c r="T40" s="14" t="n">
        <v>0</v>
      </c>
      <c r="U40" s="14" t="n">
        <v>1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4" t="n">
        <v>46127</v>
      </c>
      <c r="AB40" s="46">
        <f>HYPERLINK("#'Transactions'!A56", "View Source Row")</f>
        <v/>
      </c>
    </row>
    <row r="41">
      <c r="A41" s="14" t="n">
        <v>57</v>
      </c>
      <c r="B41" s="14" t="inlineStr">
        <is>
          <t>273.pdf</t>
        </is>
      </c>
      <c r="C41" s="44" t="n">
        <v>46113</v>
      </c>
      <c r="D41" s="44" t="n">
        <v>46142</v>
      </c>
      <c r="E41" s="44" t="n">
        <v>46127</v>
      </c>
      <c r="F41" s="44" t="n">
        <v>46127</v>
      </c>
      <c r="G41" s="16" t="inlineStr">
        <is>
          <t>RTGS-BARBR5202 RTGS-BARBR52026041500840540-HINDUSTAN PETROLEUM CO</t>
        </is>
      </c>
      <c r="H41" s="14" t="str"/>
      <c r="I41" s="14" t="inlineStr">
        <is>
          <t>Payment</t>
        </is>
      </c>
      <c r="J41" s="43" t="n">
        <v>1889785</v>
      </c>
      <c r="K41" s="43" t="n">
        <v>0</v>
      </c>
      <c r="L41" s="43" t="n">
        <v>1889785</v>
      </c>
      <c r="M41" s="43" t="n">
        <v>-9986263.99</v>
      </c>
      <c r="N41" s="14" t="inlineStr">
        <is>
          <t>High Transaction; Recurring Transaction</t>
        </is>
      </c>
      <c r="O41" s="14" t="inlineStr">
        <is>
          <t>Yes</t>
        </is>
      </c>
      <c r="P41" s="14" t="inlineStr">
        <is>
          <t>BARBR RTGS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1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4" t="n">
        <v>46127</v>
      </c>
      <c r="AB41" s="46">
        <f>HYPERLINK("#'Transactions'!A58", "View Source Row")</f>
        <v/>
      </c>
    </row>
    <row r="42">
      <c r="A42" s="14" t="n">
        <v>62</v>
      </c>
      <c r="B42" s="14" t="inlineStr">
        <is>
          <t>273.pdf</t>
        </is>
      </c>
      <c r="C42" s="44" t="n">
        <v>46113</v>
      </c>
      <c r="D42" s="44" t="n">
        <v>46142</v>
      </c>
      <c r="E42" s="44" t="n">
        <v>46128</v>
      </c>
      <c r="F42" s="44" t="n">
        <v>46128</v>
      </c>
      <c r="G42" s="16" t="inlineStr">
        <is>
          <t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42" s="14" t="str"/>
      <c r="I42" s="14" t="inlineStr">
        <is>
          <t>Receipt</t>
        </is>
      </c>
      <c r="J42" s="43" t="n">
        <v>0</v>
      </c>
      <c r="K42" s="43" t="n">
        <v>898173.78</v>
      </c>
      <c r="L42" s="43" t="n">
        <v>898173.78</v>
      </c>
      <c r="M42" s="43" t="n">
        <v>-9098021.65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4" t="n">
        <v>46128</v>
      </c>
      <c r="AB42" s="46">
        <f>HYPERLINK("#'Transactions'!A63", "View Source Row")</f>
        <v/>
      </c>
    </row>
    <row r="43">
      <c r="A43" s="14" t="n">
        <v>63</v>
      </c>
      <c r="B43" s="14" t="inlineStr">
        <is>
          <t>273.pdf</t>
        </is>
      </c>
      <c r="C43" s="44" t="n">
        <v>46113</v>
      </c>
      <c r="D43" s="44" t="n">
        <v>46142</v>
      </c>
      <c r="E43" s="44" t="n">
        <v>46128</v>
      </c>
      <c r="F43" s="44" t="n">
        <v>46128</v>
      </c>
      <c r="G43" s="16" t="inlineStr">
        <is>
          <t>BY CASH BY CASH</t>
        </is>
      </c>
      <c r="H43" s="14" t="str"/>
      <c r="I43" s="14" t="inlineStr">
        <is>
          <t>Receipt</t>
        </is>
      </c>
      <c r="J43" s="43" t="n">
        <v>0</v>
      </c>
      <c r="K43" s="43" t="n">
        <v>166000</v>
      </c>
      <c r="L43" s="43" t="n">
        <v>166000</v>
      </c>
      <c r="M43" s="43" t="n">
        <v>-8932021.65</v>
      </c>
      <c r="N43" s="14" t="inlineStr">
        <is>
          <t>Cash; High Transaction; Recurring Transaction</t>
        </is>
      </c>
      <c r="O43" s="14" t="inlineStr">
        <is>
          <t>Yes</t>
        </is>
      </c>
      <c r="P43" s="14" t="inlineStr">
        <is>
          <t>BY CASH BY CASH</t>
        </is>
      </c>
      <c r="Q43" s="14" t="n">
        <v>1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4" t="n">
        <v>46128</v>
      </c>
      <c r="AB43" s="46">
        <f>HYPERLINK("#'Transactions'!A64", "View Source Row")</f>
        <v/>
      </c>
    </row>
    <row r="44">
      <c r="A44" s="14" t="n">
        <v>66</v>
      </c>
      <c r="B44" s="14" t="inlineStr">
        <is>
          <t>273.pdf</t>
        </is>
      </c>
      <c r="C44" s="44" t="n">
        <v>46113</v>
      </c>
      <c r="D44" s="44" t="n">
        <v>46142</v>
      </c>
      <c r="E44" s="44" t="n">
        <v>46129</v>
      </c>
      <c r="F44" s="44" t="n">
        <v>46129</v>
      </c>
      <c r="G44" s="16" t="inlineStr">
        <is>
          <t>EBANK:WIB/1504 EBANK:WIB/1504347697/Edfs</t>
        </is>
      </c>
      <c r="H44" s="14" t="str"/>
      <c r="I44" s="14" t="inlineStr">
        <is>
          <t>Receipt</t>
        </is>
      </c>
      <c r="J44" s="43" t="n">
        <v>0</v>
      </c>
      <c r="K44" s="43" t="n">
        <v>328514.76</v>
      </c>
      <c r="L44" s="43" t="n">
        <v>328514.76</v>
      </c>
      <c r="M44" s="43" t="n">
        <v>-8603630.609999999</v>
      </c>
      <c r="N44" s="14" t="inlineStr">
        <is>
          <t>High Transaction; Recurring Transaction</t>
        </is>
      </c>
      <c r="O44" s="14" t="inlineStr">
        <is>
          <t>Yes</t>
        </is>
      </c>
      <c r="P44" s="14" t="inlineStr">
        <is>
          <t>EBANKWIB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1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4" t="n">
        <v>46129</v>
      </c>
      <c r="AB44" s="46">
        <f>HYPERLINK("#'Transactions'!A67", "View Source Row")</f>
        <v/>
      </c>
    </row>
    <row r="45">
      <c r="A45" s="14" t="n">
        <v>68</v>
      </c>
      <c r="B45" s="14" t="inlineStr">
        <is>
          <t>273.pdf</t>
        </is>
      </c>
      <c r="C45" s="44" t="n">
        <v>46113</v>
      </c>
      <c r="D45" s="44" t="n">
        <v>46142</v>
      </c>
      <c r="E45" s="44" t="n">
        <v>46129</v>
      </c>
      <c r="F45" s="44" t="n">
        <v>46129</v>
      </c>
      <c r="G45" s="16" t="inlineStr">
        <is>
          <t>EBANK:WIB/1504 EBANK:WIB/1504424773/Edfs</t>
        </is>
      </c>
      <c r="H45" s="14" t="str"/>
      <c r="I45" s="14" t="inlineStr">
        <is>
          <t>Receipt</t>
        </is>
      </c>
      <c r="J45" s="43" t="n">
        <v>0</v>
      </c>
      <c r="K45" s="43" t="n">
        <v>150000</v>
      </c>
      <c r="L45" s="43" t="n">
        <v>150000</v>
      </c>
      <c r="M45" s="43" t="n">
        <v>-8458487.779999999</v>
      </c>
      <c r="N45" s="14" t="inlineStr">
        <is>
          <t>High Transaction; Recurring Transaction</t>
        </is>
      </c>
      <c r="O45" s="14" t="inlineStr">
        <is>
          <t>Yes</t>
        </is>
      </c>
      <c r="P45" s="14" t="inlineStr">
        <is>
          <t>EBANKWIB</t>
        </is>
      </c>
      <c r="Q45" s="14" t="n">
        <v>0</v>
      </c>
      <c r="R45" s="14" t="n">
        <v>1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4" t="n">
        <v>46129</v>
      </c>
      <c r="AB45" s="46">
        <f>HYPERLINK("#'Transactions'!A69", "View Source Row")</f>
        <v/>
      </c>
    </row>
    <row r="46">
      <c r="A46" s="14" t="n">
        <v>70</v>
      </c>
      <c r="B46" s="14" t="inlineStr">
        <is>
          <t>273.pdf</t>
        </is>
      </c>
      <c r="C46" s="44" t="n">
        <v>46113</v>
      </c>
      <c r="D46" s="44" t="n">
        <v>46142</v>
      </c>
      <c r="E46" s="44" t="n">
        <v>46130</v>
      </c>
      <c r="F46" s="44" t="n">
        <v>46130</v>
      </c>
      <c r="G46" s="16" t="inlineStr">
        <is>
          <t>BY CASH BY CASH</t>
        </is>
      </c>
      <c r="H46" s="14" t="str"/>
      <c r="I46" s="14" t="inlineStr">
        <is>
          <t>Receipt</t>
        </is>
      </c>
      <c r="J46" s="43" t="n">
        <v>0</v>
      </c>
      <c r="K46" s="43" t="n">
        <v>394500</v>
      </c>
      <c r="L46" s="43" t="n">
        <v>394500</v>
      </c>
      <c r="M46" s="43" t="n">
        <v>-8070106.36</v>
      </c>
      <c r="N46" s="14" t="inlineStr">
        <is>
          <t>Cash; High Transaction; Recurring Transaction</t>
        </is>
      </c>
      <c r="O46" s="14" t="inlineStr">
        <is>
          <t>Yes</t>
        </is>
      </c>
      <c r="P46" s="14" t="inlineStr">
        <is>
          <t>BY CASH BY CASH</t>
        </is>
      </c>
      <c r="Q46" s="14" t="n">
        <v>1</v>
      </c>
      <c r="R46" s="14" t="n">
        <v>1</v>
      </c>
      <c r="S46" s="14" t="n">
        <v>0</v>
      </c>
      <c r="T46" s="14" t="n">
        <v>0</v>
      </c>
      <c r="U46" s="14" t="n">
        <v>1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4" t="n">
        <v>46130</v>
      </c>
      <c r="AB46" s="46">
        <f>HYPERLINK("#'Transactions'!A71", "View Source Row")</f>
        <v/>
      </c>
    </row>
    <row r="47">
      <c r="A47" s="14" t="n">
        <v>72</v>
      </c>
      <c r="B47" s="14" t="inlineStr">
        <is>
          <t>273.pdf</t>
        </is>
      </c>
      <c r="C47" s="44" t="n">
        <v>46113</v>
      </c>
      <c r="D47" s="44" t="n">
        <v>46142</v>
      </c>
      <c r="E47" s="44" t="n">
        <v>46130</v>
      </c>
      <c r="F47" s="44" t="n">
        <v>46130</v>
      </c>
      <c r="G47" s="16" t="inlineStr">
        <is>
          <t>EBANK:WIB/1504 EBANK:WIB/1504650433/Edfs</t>
        </is>
      </c>
      <c r="H47" s="14" t="str"/>
      <c r="I47" s="14" t="inlineStr">
        <is>
          <t>Receipt</t>
        </is>
      </c>
      <c r="J47" s="43" t="n">
        <v>0</v>
      </c>
      <c r="K47" s="43" t="n">
        <v>480667.28</v>
      </c>
      <c r="L47" s="43" t="n">
        <v>480667.28</v>
      </c>
      <c r="M47" s="43" t="n">
        <v>-7589532.77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EBANKWIB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4" t="n">
        <v>46130</v>
      </c>
      <c r="AB47" s="46">
        <f>HYPERLINK("#'Transactions'!A73", "View Source Row")</f>
        <v/>
      </c>
    </row>
    <row r="48">
      <c r="A48" s="14" t="n">
        <v>73</v>
      </c>
      <c r="B48" s="14" t="inlineStr">
        <is>
          <t>273.pdf</t>
        </is>
      </c>
      <c r="C48" s="44" t="n">
        <v>46113</v>
      </c>
      <c r="D48" s="44" t="n">
        <v>46142</v>
      </c>
      <c r="E48" s="44" t="n">
        <v>46131</v>
      </c>
      <c r="F48" s="44" t="n">
        <v>46131</v>
      </c>
      <c r="G48" s="16" t="inlineStr">
        <is>
          <t>EBANK:WIB/1504 EBANK:WIB/1504657570/Edfs</t>
        </is>
      </c>
      <c r="H48" s="14" t="str"/>
      <c r="I48" s="14" t="inlineStr">
        <is>
          <t>Receipt</t>
        </is>
      </c>
      <c r="J48" s="43" t="n">
        <v>0</v>
      </c>
      <c r="K48" s="43" t="n">
        <v>259433</v>
      </c>
      <c r="L48" s="43" t="n">
        <v>259433</v>
      </c>
      <c r="M48" s="43" t="n">
        <v>-7330099.77</v>
      </c>
      <c r="N48" s="14" t="inlineStr">
        <is>
          <t>High Transaction; Recurring Transaction</t>
        </is>
      </c>
      <c r="O48" s="14" t="inlineStr">
        <is>
          <t>Yes</t>
        </is>
      </c>
      <c r="P48" s="14" t="inlineStr">
        <is>
          <t>EBANKWIB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4" t="n">
        <v>46131</v>
      </c>
      <c r="AB48" s="46">
        <f>HYPERLINK("#'Transactions'!A74", "View Source Row")</f>
        <v/>
      </c>
    </row>
    <row r="49">
      <c r="A49" s="14" t="n">
        <v>74</v>
      </c>
      <c r="B49" s="14" t="inlineStr">
        <is>
          <t>273.pdf</t>
        </is>
      </c>
      <c r="C49" s="44" t="n">
        <v>46113</v>
      </c>
      <c r="D49" s="44" t="n">
        <v>46142</v>
      </c>
      <c r="E49" s="44" t="n">
        <v>46131</v>
      </c>
      <c r="F49" s="44" t="n">
        <v>46131</v>
      </c>
      <c r="G49" s="16" t="inlineStr">
        <is>
          <t>RTGS-BARBR5202 RTGS-BARBR52026041900792985-HINDUSTAN PETROLEUM CO</t>
        </is>
      </c>
      <c r="H49" s="14" t="str"/>
      <c r="I49" s="14" t="inlineStr">
        <is>
          <t>Payment</t>
        </is>
      </c>
      <c r="J49" s="43" t="n">
        <v>1933014</v>
      </c>
      <c r="K49" s="43" t="n">
        <v>0</v>
      </c>
      <c r="L49" s="43" t="n">
        <v>1933014</v>
      </c>
      <c r="M49" s="43" t="n">
        <v>-9263113.77</v>
      </c>
      <c r="N49" s="14" t="inlineStr">
        <is>
          <t>High Transaction; Recurring Transaction</t>
        </is>
      </c>
      <c r="O49" s="14" t="inlineStr">
        <is>
          <t>Yes</t>
        </is>
      </c>
      <c r="P49" s="14" t="inlineStr">
        <is>
          <t>BARBR RTGS</t>
        </is>
      </c>
      <c r="Q49" s="14" t="n">
        <v>0</v>
      </c>
      <c r="R49" s="14" t="n">
        <v>1</v>
      </c>
      <c r="S49" s="14" t="n">
        <v>0</v>
      </c>
      <c r="T49" s="14" t="n">
        <v>0</v>
      </c>
      <c r="U49" s="14" t="n">
        <v>1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4" t="n">
        <v>46131</v>
      </c>
      <c r="AB49" s="46">
        <f>HYPERLINK("#'Transactions'!A75", "View Source Row")</f>
        <v/>
      </c>
    </row>
    <row r="50">
      <c r="A50" s="14" t="n">
        <v>76</v>
      </c>
      <c r="B50" s="14" t="inlineStr">
        <is>
          <t>273.pdf</t>
        </is>
      </c>
      <c r="C50" s="44" t="n">
        <v>46113</v>
      </c>
      <c r="D50" s="44" t="n">
        <v>46142</v>
      </c>
      <c r="E50" s="44" t="n">
        <v>46131</v>
      </c>
      <c r="F50" s="44" t="n">
        <v>46131</v>
      </c>
      <c r="G50" s="16" t="inlineStr">
        <is>
          <t>EBANK:WIB/1504 EBANK:WIB/1504707135/Edfs</t>
        </is>
      </c>
      <c r="H50" s="14" t="str"/>
      <c r="I50" s="14" t="inlineStr">
        <is>
          <t>Receipt</t>
        </is>
      </c>
      <c r="J50" s="43" t="n">
        <v>0</v>
      </c>
      <c r="K50" s="43" t="n">
        <v>211310.53</v>
      </c>
      <c r="L50" s="43" t="n">
        <v>211310.53</v>
      </c>
      <c r="M50" s="43" t="n">
        <v>-9052129.23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EBANKWIB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4" t="n">
        <v>46131</v>
      </c>
      <c r="AB50" s="46">
        <f>HYPERLINK("#'Transactions'!A77", "View Source Row")</f>
        <v/>
      </c>
    </row>
    <row r="51">
      <c r="A51" s="14" t="n">
        <v>77</v>
      </c>
      <c r="B51" s="14" t="inlineStr">
        <is>
          <t>273.pdf</t>
        </is>
      </c>
      <c r="C51" s="44" t="n">
        <v>46113</v>
      </c>
      <c r="D51" s="44" t="n">
        <v>46142</v>
      </c>
      <c r="E51" s="44" t="n">
        <v>46132</v>
      </c>
      <c r="F51" s="44" t="n">
        <v>46132</v>
      </c>
      <c r="G51" s="16" t="inlineStr">
        <is>
          <t>EBANK:WIB/1504 EBANK:WIB/1504717278/Edfs</t>
        </is>
      </c>
      <c r="H51" s="14" t="str"/>
      <c r="I51" s="14" t="inlineStr">
        <is>
          <t>Receipt</t>
        </is>
      </c>
      <c r="J51" s="43" t="n">
        <v>0</v>
      </c>
      <c r="K51" s="43" t="n">
        <v>260572.52</v>
      </c>
      <c r="L51" s="43" t="n">
        <v>260572.52</v>
      </c>
      <c r="M51" s="43" t="n">
        <v>-8791556.710000001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EBANKWIB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4" t="n">
        <v>46132</v>
      </c>
      <c r="AB51" s="46">
        <f>HYPERLINK("#'Transactions'!A78", "View Source Row")</f>
        <v/>
      </c>
    </row>
    <row r="52">
      <c r="A52" s="14" t="n">
        <v>79</v>
      </c>
      <c r="B52" s="14" t="inlineStr">
        <is>
          <t>273.pdf</t>
        </is>
      </c>
      <c r="C52" s="44" t="n">
        <v>46113</v>
      </c>
      <c r="D52" s="44" t="n">
        <v>46142</v>
      </c>
      <c r="E52" s="44" t="n">
        <v>46132</v>
      </c>
      <c r="F52" s="44" t="n">
        <v>46132</v>
      </c>
      <c r="G52" s="16" t="inlineStr">
        <is>
          <t>BY CASH BY CASH</t>
        </is>
      </c>
      <c r="H52" s="14" t="str"/>
      <c r="I52" s="14" t="inlineStr">
        <is>
          <t>Receipt</t>
        </is>
      </c>
      <c r="J52" s="43" t="n">
        <v>0</v>
      </c>
      <c r="K52" s="43" t="n">
        <v>336500</v>
      </c>
      <c r="L52" s="43" t="n">
        <v>336500</v>
      </c>
      <c r="M52" s="43" t="n">
        <v>-8455271.859999999</v>
      </c>
      <c r="N52" s="14" t="inlineStr">
        <is>
          <t>Cash; High Transaction; Recurring Transaction</t>
        </is>
      </c>
      <c r="O52" s="14" t="inlineStr">
        <is>
          <t>Yes</t>
        </is>
      </c>
      <c r="P52" s="14" t="inlineStr">
        <is>
          <t>BY CASH BY CASH</t>
        </is>
      </c>
      <c r="Q52" s="14" t="n">
        <v>1</v>
      </c>
      <c r="R52" s="14" t="n">
        <v>1</v>
      </c>
      <c r="S52" s="14" t="n">
        <v>0</v>
      </c>
      <c r="T52" s="14" t="n">
        <v>0</v>
      </c>
      <c r="U52" s="14" t="n">
        <v>1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4" t="n">
        <v>46132</v>
      </c>
      <c r="AB52" s="46">
        <f>HYPERLINK("#'Transactions'!A80", "View Source Row")</f>
        <v/>
      </c>
    </row>
    <row r="53">
      <c r="A53" s="14" t="n">
        <v>80</v>
      </c>
      <c r="B53" s="14" t="inlineStr">
        <is>
          <t>273.pdf</t>
        </is>
      </c>
      <c r="C53" s="44" t="n">
        <v>46113</v>
      </c>
      <c r="D53" s="44" t="n">
        <v>46142</v>
      </c>
      <c r="E53" s="44" t="n">
        <v>46132</v>
      </c>
      <c r="F53" s="44" t="n">
        <v>46132</v>
      </c>
      <c r="G53" s="16" t="inlineStr">
        <is>
          <t>EBANK:WIB/1504 EBANK:WIB/1504868004/Edfs</t>
        </is>
      </c>
      <c r="H53" s="14" t="str"/>
      <c r="I53" s="14" t="inlineStr">
        <is>
          <t>Receipt</t>
        </is>
      </c>
      <c r="J53" s="43" t="n">
        <v>0</v>
      </c>
      <c r="K53" s="43" t="n">
        <v>287084.78</v>
      </c>
      <c r="L53" s="43" t="n">
        <v>287084.78</v>
      </c>
      <c r="M53" s="43" t="n">
        <v>-8168187.08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4" t="n">
        <v>46132</v>
      </c>
      <c r="AB53" s="46">
        <f>HYPERLINK("#'Transactions'!A81", "View Source Row")</f>
        <v/>
      </c>
    </row>
    <row r="54">
      <c r="A54" s="14" t="n">
        <v>81</v>
      </c>
      <c r="B54" s="14" t="inlineStr">
        <is>
          <t>273.pdf</t>
        </is>
      </c>
      <c r="C54" s="44" t="n">
        <v>46113</v>
      </c>
      <c r="D54" s="44" t="n">
        <v>46142</v>
      </c>
      <c r="E54" s="44" t="n">
        <v>46133</v>
      </c>
      <c r="F54" s="44" t="n">
        <v>46133</v>
      </c>
      <c r="G54" s="16" t="inlineStr">
        <is>
          <t>EBANK:WIB/1504 EBANK:WIB/1504892301/Edfs</t>
        </is>
      </c>
      <c r="H54" s="14" t="str"/>
      <c r="I54" s="14" t="inlineStr">
        <is>
          <t>Receipt</t>
        </is>
      </c>
      <c r="J54" s="43" t="n">
        <v>0</v>
      </c>
      <c r="K54" s="43" t="n">
        <v>333445.92</v>
      </c>
      <c r="L54" s="43" t="n">
        <v>333445.92</v>
      </c>
      <c r="M54" s="43" t="n">
        <v>-7834741.16</v>
      </c>
      <c r="N54" s="14" t="inlineStr">
        <is>
          <t>High Transaction; Recurring Transaction</t>
        </is>
      </c>
      <c r="O54" s="14" t="inlineStr">
        <is>
          <t>Yes</t>
        </is>
      </c>
      <c r="P54" s="14" t="inlineStr">
        <is>
          <t>EBANKWIB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4" t="n">
        <v>46133</v>
      </c>
      <c r="AB54" s="46">
        <f>HYPERLINK("#'Transactions'!A82", "View Source Row")</f>
        <v/>
      </c>
    </row>
    <row r="55">
      <c r="A55" s="14" t="n">
        <v>83</v>
      </c>
      <c r="B55" s="14" t="inlineStr">
        <is>
          <t>273.pdf</t>
        </is>
      </c>
      <c r="C55" s="44" t="n">
        <v>46113</v>
      </c>
      <c r="D55" s="44" t="n">
        <v>46142</v>
      </c>
      <c r="E55" s="44" t="n">
        <v>46133</v>
      </c>
      <c r="F55" s="44" t="n">
        <v>46133</v>
      </c>
      <c r="G55" s="16" t="inlineStr">
        <is>
          <t>RTGS-BARBR5202 RTGS-BARBR52026042100866436-HINDUSTAN PETROLEUM CO</t>
        </is>
      </c>
      <c r="H55" s="14" t="str"/>
      <c r="I55" s="14" t="inlineStr">
        <is>
          <t>Payment</t>
        </is>
      </c>
      <c r="J55" s="43" t="n">
        <v>2042157.6</v>
      </c>
      <c r="K55" s="43" t="n">
        <v>0</v>
      </c>
      <c r="L55" s="43" t="n">
        <v>2042157.6</v>
      </c>
      <c r="M55" s="43" t="n">
        <v>-9876905.640000001</v>
      </c>
      <c r="N55" s="14" t="inlineStr">
        <is>
          <t>High Transaction; Recurring Transaction</t>
        </is>
      </c>
      <c r="O55" s="14" t="inlineStr">
        <is>
          <t>Yes</t>
        </is>
      </c>
      <c r="P55" s="14" t="inlineStr">
        <is>
          <t>BARBR RTGS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1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4" t="n">
        <v>46133</v>
      </c>
      <c r="AB55" s="46">
        <f>HYPERLINK("#'Transactions'!A84", "View Source Row")</f>
        <v/>
      </c>
    </row>
    <row r="56">
      <c r="A56" s="14" t="n">
        <v>84</v>
      </c>
      <c r="B56" s="14" t="inlineStr">
        <is>
          <t>273.pdf</t>
        </is>
      </c>
      <c r="C56" s="44" t="n">
        <v>46113</v>
      </c>
      <c r="D56" s="44" t="n">
        <v>46142</v>
      </c>
      <c r="E56" s="44" t="n">
        <v>46133</v>
      </c>
      <c r="F56" s="44" t="n">
        <v>46133</v>
      </c>
      <c r="G56" s="16" t="inlineStr">
        <is>
          <t>BY CASH BY CASH</t>
        </is>
      </c>
      <c r="H56" s="14" t="str"/>
      <c r="I56" s="14" t="inlineStr">
        <is>
          <t>Receipt</t>
        </is>
      </c>
      <c r="J56" s="43" t="n">
        <v>0</v>
      </c>
      <c r="K56" s="43" t="n">
        <v>150500</v>
      </c>
      <c r="L56" s="43" t="n">
        <v>150500</v>
      </c>
      <c r="M56" s="43" t="n">
        <v>-9726405.640000001</v>
      </c>
      <c r="N56" s="14" t="inlineStr">
        <is>
          <t>Cash; High Transaction; Recurring Transaction</t>
        </is>
      </c>
      <c r="O56" s="14" t="inlineStr">
        <is>
          <t>Yes</t>
        </is>
      </c>
      <c r="P56" s="14" t="inlineStr">
        <is>
          <t>BY CASH BY CASH</t>
        </is>
      </c>
      <c r="Q56" s="14" t="n">
        <v>1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4" t="n">
        <v>46133</v>
      </c>
      <c r="AB56" s="46">
        <f>HYPERLINK("#'Transactions'!A85", "View Source Row")</f>
        <v/>
      </c>
    </row>
    <row r="57">
      <c r="A57" s="14" t="n">
        <v>85</v>
      </c>
      <c r="B57" s="14" t="inlineStr">
        <is>
          <t>273.pdf</t>
        </is>
      </c>
      <c r="C57" s="44" t="n">
        <v>46113</v>
      </c>
      <c r="D57" s="44" t="n">
        <v>46142</v>
      </c>
      <c r="E57" s="44" t="n">
        <v>46133</v>
      </c>
      <c r="F57" s="44" t="n">
        <v>46133</v>
      </c>
      <c r="G57" s="16" t="inlineStr">
        <is>
          <t>EBANK:WIB/1505 EBANK:WIB/1505043394/Edfs</t>
        </is>
      </c>
      <c r="H57" s="14" t="str"/>
      <c r="I57" s="14" t="inlineStr">
        <is>
          <t>Receipt</t>
        </is>
      </c>
      <c r="J57" s="43" t="n">
        <v>0</v>
      </c>
      <c r="K57" s="43" t="n">
        <v>108963.7</v>
      </c>
      <c r="L57" s="43" t="n">
        <v>108963.7</v>
      </c>
      <c r="M57" s="43" t="n">
        <v>-9617441.939999999</v>
      </c>
      <c r="N57" s="14" t="inlineStr">
        <is>
          <t>High Transaction; Recurring Transaction</t>
        </is>
      </c>
      <c r="O57" s="14" t="inlineStr">
        <is>
          <t>Yes</t>
        </is>
      </c>
      <c r="P57" s="14" t="inlineStr">
        <is>
          <t>EBANKWIB</t>
        </is>
      </c>
      <c r="Q57" s="14" t="n">
        <v>0</v>
      </c>
      <c r="R57" s="14" t="n">
        <v>1</v>
      </c>
      <c r="S57" s="14" t="n">
        <v>0</v>
      </c>
      <c r="T57" s="14" t="n">
        <v>0</v>
      </c>
      <c r="U57" s="14" t="n">
        <v>1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4" t="n">
        <v>46133</v>
      </c>
      <c r="AB57" s="46">
        <f>HYPERLINK("#'Transactions'!A86", "View Source Row")</f>
        <v/>
      </c>
    </row>
    <row r="58">
      <c r="A58" s="14" t="n">
        <v>87</v>
      </c>
      <c r="B58" s="14" t="inlineStr">
        <is>
          <t>273.pdf</t>
        </is>
      </c>
      <c r="C58" s="44" t="n">
        <v>46113</v>
      </c>
      <c r="D58" s="44" t="n">
        <v>46142</v>
      </c>
      <c r="E58" s="44" t="n">
        <v>46134</v>
      </c>
      <c r="F58" s="44" t="n">
        <v>46134</v>
      </c>
      <c r="G58" s="16" t="inlineStr">
        <is>
          <t>EBANK:WIB/1505 EBANK:WIB/1505048812/Edfs</t>
        </is>
      </c>
      <c r="H58" s="14" t="str"/>
      <c r="I58" s="14" t="inlineStr">
        <is>
          <t>Receipt</t>
        </is>
      </c>
      <c r="J58" s="43" t="n">
        <v>0</v>
      </c>
      <c r="K58" s="43" t="n">
        <v>259307.24</v>
      </c>
      <c r="L58" s="43" t="n">
        <v>259307.24</v>
      </c>
      <c r="M58" s="43" t="n">
        <v>-9364751.84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EBANKWIB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4" t="n">
        <v>46134</v>
      </c>
      <c r="AB58" s="46">
        <f>HYPERLINK("#'Transactions'!A88", "View Source Row")</f>
        <v/>
      </c>
    </row>
    <row r="59">
      <c r="A59" s="14" t="n">
        <v>89</v>
      </c>
      <c r="B59" s="14" t="inlineStr">
        <is>
          <t>273.pdf</t>
        </is>
      </c>
      <c r="C59" s="44" t="n">
        <v>46113</v>
      </c>
      <c r="D59" s="44" t="n">
        <v>46142</v>
      </c>
      <c r="E59" s="44" t="n">
        <v>46134</v>
      </c>
      <c r="F59" s="44" t="n">
        <v>46134</v>
      </c>
      <c r="G59" s="16" t="inlineStr">
        <is>
          <t>BY CASH BY CASH</t>
        </is>
      </c>
      <c r="H59" s="14" t="str"/>
      <c r="I59" s="14" t="inlineStr">
        <is>
          <t>Receipt</t>
        </is>
      </c>
      <c r="J59" s="43" t="n">
        <v>0</v>
      </c>
      <c r="K59" s="43" t="n">
        <v>609000</v>
      </c>
      <c r="L59" s="43" t="n">
        <v>609000</v>
      </c>
      <c r="M59" s="43" t="n">
        <v>-8755726.17</v>
      </c>
      <c r="N59" s="14" t="inlineStr">
        <is>
          <t>Cash; High Transaction; Recurring Transaction</t>
        </is>
      </c>
      <c r="O59" s="14" t="inlineStr">
        <is>
          <t>Yes</t>
        </is>
      </c>
      <c r="P59" s="14" t="inlineStr">
        <is>
          <t>BY CASH BY CASH</t>
        </is>
      </c>
      <c r="Q59" s="14" t="n">
        <v>1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4" t="n">
        <v>46134</v>
      </c>
      <c r="AB59" s="46">
        <f>HYPERLINK("#'Transactions'!A90", "View Source Row")</f>
        <v/>
      </c>
    </row>
    <row r="60">
      <c r="A60" s="14" t="n">
        <v>90</v>
      </c>
      <c r="B60" s="14" t="inlineStr">
        <is>
          <t>273.pdf</t>
        </is>
      </c>
      <c r="C60" s="44" t="n">
        <v>46113</v>
      </c>
      <c r="D60" s="44" t="n">
        <v>46142</v>
      </c>
      <c r="E60" s="44" t="n">
        <v>46134</v>
      </c>
      <c r="F60" s="44" t="n">
        <v>46134</v>
      </c>
      <c r="G60" s="16" t="inlineStr">
        <is>
          <t>EBANK:WIB/1505 EBANK:WIB/1505171210/Edfs</t>
        </is>
      </c>
      <c r="H60" s="14" t="str"/>
      <c r="I60" s="14" t="inlineStr">
        <is>
          <t>Receipt</t>
        </is>
      </c>
      <c r="J60" s="43" t="n">
        <v>0</v>
      </c>
      <c r="K60" s="43" t="n">
        <v>356256.8</v>
      </c>
      <c r="L60" s="43" t="n">
        <v>356256.8</v>
      </c>
      <c r="M60" s="43" t="n">
        <v>-8399469.369999999</v>
      </c>
      <c r="N60" s="14" t="inlineStr">
        <is>
          <t>High Transaction; Recurring Transaction</t>
        </is>
      </c>
      <c r="O60" s="14" t="inlineStr">
        <is>
          <t>Yes</t>
        </is>
      </c>
      <c r="P60" s="14" t="inlineStr">
        <is>
          <t>EBANKWIB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1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4" t="n">
        <v>46134</v>
      </c>
      <c r="AB60" s="46">
        <f>HYPERLINK("#'Transactions'!A91", "View Source Row")</f>
        <v/>
      </c>
    </row>
    <row r="61">
      <c r="A61" s="14" t="n">
        <v>91</v>
      </c>
      <c r="B61" s="14" t="inlineStr">
        <is>
          <t>273.pdf</t>
        </is>
      </c>
      <c r="C61" s="44" t="n">
        <v>46113</v>
      </c>
      <c r="D61" s="44" t="n">
        <v>46142</v>
      </c>
      <c r="E61" s="44" t="n">
        <v>46134</v>
      </c>
      <c r="F61" s="44" t="n">
        <v>46134</v>
      </c>
      <c r="G61" s="16" t="inlineStr">
        <is>
          <t>RTGS-BARBR5202 RTGS-BARBR52026042200989175-HINDUSTAN PETROLEUM CO</t>
        </is>
      </c>
      <c r="H61" s="14" t="str"/>
      <c r="I61" s="14" t="inlineStr">
        <is>
          <t>Payment</t>
        </is>
      </c>
      <c r="J61" s="43" t="n">
        <v>1600530</v>
      </c>
      <c r="K61" s="43" t="n">
        <v>0</v>
      </c>
      <c r="L61" s="43" t="n">
        <v>1600530</v>
      </c>
      <c r="M61" s="43" t="n">
        <v>-9999999.369999999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BARBR RTGS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4" t="n">
        <v>46134</v>
      </c>
      <c r="AB61" s="46">
        <f>HYPERLINK("#'Transactions'!A92", "View Source Row")</f>
        <v/>
      </c>
    </row>
    <row r="62">
      <c r="A62" s="14" t="n">
        <v>93</v>
      </c>
      <c r="B62" s="14" t="inlineStr">
        <is>
          <t>273.pdf</t>
        </is>
      </c>
      <c r="C62" s="44" t="n">
        <v>46113</v>
      </c>
      <c r="D62" s="44" t="n">
        <v>46142</v>
      </c>
      <c r="E62" s="44" t="n">
        <v>46135</v>
      </c>
      <c r="F62" s="44" t="n">
        <v>46135</v>
      </c>
      <c r="G62" s="16" t="inlineStr">
        <is>
          <t>EBANK:WIB/1505 EBANK:WIB/1505193929/Edfs</t>
        </is>
      </c>
      <c r="H62" s="14" t="str"/>
      <c r="I62" s="14" t="inlineStr">
        <is>
          <t>Receipt</t>
        </is>
      </c>
      <c r="J62" s="43" t="n">
        <v>0</v>
      </c>
      <c r="K62" s="43" t="n">
        <v>224683</v>
      </c>
      <c r="L62" s="43" t="n">
        <v>224683</v>
      </c>
      <c r="M62" s="43" t="n">
        <v>-9725316.369999999</v>
      </c>
      <c r="N62" s="14" t="inlineStr">
        <is>
          <t>High Transaction; Recurring Transaction</t>
        </is>
      </c>
      <c r="O62" s="14" t="inlineStr">
        <is>
          <t>Yes</t>
        </is>
      </c>
      <c r="P62" s="14" t="inlineStr">
        <is>
          <t>EBANKWIB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1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4" t="n">
        <v>46135</v>
      </c>
      <c r="AB62" s="46">
        <f>HYPERLINK("#'Transactions'!A94", "View Source Row")</f>
        <v/>
      </c>
    </row>
    <row r="63">
      <c r="A63" s="14" t="n">
        <v>96</v>
      </c>
      <c r="B63" s="14" t="inlineStr">
        <is>
          <t>273.pdf</t>
        </is>
      </c>
      <c r="C63" s="44" t="n">
        <v>46113</v>
      </c>
      <c r="D63" s="44" t="n">
        <v>46142</v>
      </c>
      <c r="E63" s="44" t="n">
        <v>46135</v>
      </c>
      <c r="F63" s="44" t="n">
        <v>46135</v>
      </c>
      <c r="G63" s="16" t="inlineStr">
        <is>
          <t>EBANK:WIB/1505 EBANK:WIB/1505205959/Edfs</t>
        </is>
      </c>
      <c r="H63" s="14" t="str"/>
      <c r="I63" s="14" t="inlineStr">
        <is>
          <t>Receipt</t>
        </is>
      </c>
      <c r="J63" s="43" t="n">
        <v>0</v>
      </c>
      <c r="K63" s="43" t="n">
        <v>269000</v>
      </c>
      <c r="L63" s="43" t="n">
        <v>269000</v>
      </c>
      <c r="M63" s="43" t="n">
        <v>-9373537.560000001</v>
      </c>
      <c r="N63" s="14" t="inlineStr">
        <is>
          <t>High Transaction; Recurring Transaction</t>
        </is>
      </c>
      <c r="O63" s="14" t="inlineStr">
        <is>
          <t>Yes</t>
        </is>
      </c>
      <c r="P63" s="14" t="inlineStr">
        <is>
          <t>EBANKWIB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1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4" t="n">
        <v>46135</v>
      </c>
      <c r="AB63" s="46">
        <f>HYPERLINK("#'Transactions'!A97", "View Source Row")</f>
        <v/>
      </c>
    </row>
    <row r="64">
      <c r="A64" s="14" t="n">
        <v>97</v>
      </c>
      <c r="B64" s="14" t="inlineStr">
        <is>
          <t>273.pdf</t>
        </is>
      </c>
      <c r="C64" s="44" t="n">
        <v>46113</v>
      </c>
      <c r="D64" s="44" t="n">
        <v>46142</v>
      </c>
      <c r="E64" s="44" t="n">
        <v>46135</v>
      </c>
      <c r="F64" s="44" t="n">
        <v>46135</v>
      </c>
      <c r="G64" s="16" t="inlineStr">
        <is>
          <t>RTGS-BARBR5202 RTGS-BARBR52026042300993365-HINDUSTAN PETROLEUM CO</t>
        </is>
      </c>
      <c r="H64" s="14" t="str"/>
      <c r="I64" s="14" t="inlineStr">
        <is>
          <t>Payment</t>
        </is>
      </c>
      <c r="J64" s="43" t="n">
        <v>428234.82</v>
      </c>
      <c r="K64" s="43" t="n">
        <v>0</v>
      </c>
      <c r="L64" s="43" t="n">
        <v>428234.82</v>
      </c>
      <c r="M64" s="43" t="n">
        <v>-9801772.380000001</v>
      </c>
      <c r="N64" s="14" t="inlineStr">
        <is>
          <t>High Transaction; Recurring Transaction</t>
        </is>
      </c>
      <c r="O64" s="14" t="inlineStr">
        <is>
          <t>Yes</t>
        </is>
      </c>
      <c r="P64" s="14" t="inlineStr">
        <is>
          <t>BARBR RTGS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1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4" t="n">
        <v>46135</v>
      </c>
      <c r="AB64" s="46">
        <f>HYPERLINK("#'Transactions'!A98", "View Source Row")</f>
        <v/>
      </c>
    </row>
    <row r="65">
      <c r="A65" s="14" t="n">
        <v>98</v>
      </c>
      <c r="B65" s="14" t="inlineStr">
        <is>
          <t>273.pdf</t>
        </is>
      </c>
      <c r="C65" s="44" t="n">
        <v>46113</v>
      </c>
      <c r="D65" s="44" t="n">
        <v>46142</v>
      </c>
      <c r="E65" s="44" t="n">
        <v>46135</v>
      </c>
      <c r="F65" s="44" t="n">
        <v>46135</v>
      </c>
      <c r="G65" s="16" t="inlineStr">
        <is>
          <t>BY CASH BY CASH</t>
        </is>
      </c>
      <c r="H65" s="14" t="str"/>
      <c r="I65" s="14" t="inlineStr">
        <is>
          <t>Receipt</t>
        </is>
      </c>
      <c r="J65" s="43" t="n">
        <v>0</v>
      </c>
      <c r="K65" s="43" t="n">
        <v>253500</v>
      </c>
      <c r="L65" s="43" t="n">
        <v>253500</v>
      </c>
      <c r="M65" s="43" t="n">
        <v>-9548272.380000001</v>
      </c>
      <c r="N65" s="14" t="inlineStr">
        <is>
          <t>Cash; High Transaction; Recurring Transaction</t>
        </is>
      </c>
      <c r="O65" s="14" t="inlineStr">
        <is>
          <t>Yes</t>
        </is>
      </c>
      <c r="P65" s="14" t="inlineStr">
        <is>
          <t>BY CASH BY CASH</t>
        </is>
      </c>
      <c r="Q65" s="14" t="n">
        <v>1</v>
      </c>
      <c r="R65" s="14" t="n">
        <v>1</v>
      </c>
      <c r="S65" s="14" t="n">
        <v>0</v>
      </c>
      <c r="T65" s="14" t="n">
        <v>0</v>
      </c>
      <c r="U65" s="14" t="n">
        <v>1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4" t="n">
        <v>46135</v>
      </c>
      <c r="AB65" s="46">
        <f>HYPERLINK("#'Transactions'!A99", "View Source Row")</f>
        <v/>
      </c>
    </row>
    <row r="66">
      <c r="A66" s="14" t="n">
        <v>99</v>
      </c>
      <c r="B66" s="14" t="inlineStr">
        <is>
          <t>273.pdf</t>
        </is>
      </c>
      <c r="C66" s="44" t="n">
        <v>46113</v>
      </c>
      <c r="D66" s="44" t="n">
        <v>46142</v>
      </c>
      <c r="E66" s="44" t="n">
        <v>46135</v>
      </c>
      <c r="F66" s="44" t="n">
        <v>46135</v>
      </c>
      <c r="G66" s="16" t="inlineStr">
        <is>
          <t>RTGS-BARBR5202 RTGS-BARBR52026042300772587-HINDUSTAN PETROLEUM CO</t>
        </is>
      </c>
      <c r="H66" s="14" t="str"/>
      <c r="I66" s="14" t="inlineStr">
        <is>
          <t>Payment</t>
        </is>
      </c>
      <c r="J66" s="43" t="n">
        <v>451000</v>
      </c>
      <c r="K66" s="43" t="n">
        <v>0</v>
      </c>
      <c r="L66" s="43" t="n">
        <v>451000</v>
      </c>
      <c r="M66" s="43" t="n">
        <v>-9999272.380000001</v>
      </c>
      <c r="N66" s="14" t="inlineStr">
        <is>
          <t>High Transaction; Recurring Transaction</t>
        </is>
      </c>
      <c r="O66" s="14" t="inlineStr">
        <is>
          <t>Yes</t>
        </is>
      </c>
      <c r="P66" s="14" t="inlineStr">
        <is>
          <t>BARBR RTGS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1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4" t="n">
        <v>46135</v>
      </c>
      <c r="AB66" s="46">
        <f>HYPERLINK("#'Transactions'!A100", "View Source Row")</f>
        <v/>
      </c>
    </row>
    <row r="67">
      <c r="A67" s="14" t="n">
        <v>100</v>
      </c>
      <c r="B67" s="14" t="inlineStr">
        <is>
          <t>273.pdf</t>
        </is>
      </c>
      <c r="C67" s="44" t="n">
        <v>46113</v>
      </c>
      <c r="D67" s="44" t="n">
        <v>46142</v>
      </c>
      <c r="E67" s="44" t="n">
        <v>46135</v>
      </c>
      <c r="F67" s="44" t="n">
        <v>46135</v>
      </c>
      <c r="G67" s="16" t="inlineStr">
        <is>
          <t>EBANK:WIB/1505 EBANK:WIB/1505315722/Edfs</t>
        </is>
      </c>
      <c r="H67" s="14" t="str"/>
      <c r="I67" s="14" t="inlineStr">
        <is>
          <t>Receipt</t>
        </is>
      </c>
      <c r="J67" s="43" t="n">
        <v>0</v>
      </c>
      <c r="K67" s="43" t="n">
        <v>222635.35</v>
      </c>
      <c r="L67" s="43" t="n">
        <v>222635.35</v>
      </c>
      <c r="M67" s="43" t="n">
        <v>-9776637.029999999</v>
      </c>
      <c r="N67" s="14" t="inlineStr">
        <is>
          <t>High Transaction; Recurring Transaction</t>
        </is>
      </c>
      <c r="O67" s="14" t="inlineStr">
        <is>
          <t>Yes</t>
        </is>
      </c>
      <c r="P67" s="14" t="inlineStr">
        <is>
          <t>EBANKWIB</t>
        </is>
      </c>
      <c r="Q67" s="14" t="n">
        <v>0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4" t="n">
        <v>46135</v>
      </c>
      <c r="AB67" s="46">
        <f>HYPERLINK("#'Transactions'!A101", "View Source Row")</f>
        <v/>
      </c>
    </row>
    <row r="68">
      <c r="A68" s="14" t="n">
        <v>101</v>
      </c>
      <c r="B68" s="14" t="inlineStr">
        <is>
          <t>273.pdf</t>
        </is>
      </c>
      <c r="C68" s="44" t="n">
        <v>46113</v>
      </c>
      <c r="D68" s="44" t="n">
        <v>46142</v>
      </c>
      <c r="E68" s="44" t="n">
        <v>46136</v>
      </c>
      <c r="F68" s="44" t="n">
        <v>46136</v>
      </c>
      <c r="G68" s="16" t="inlineStr">
        <is>
          <t>EBANK:WIB/1505 EBANK:WIB/1505337172/Edfs</t>
        </is>
      </c>
      <c r="H68" s="14" t="str"/>
      <c r="I68" s="14" t="inlineStr">
        <is>
          <t>Receipt</t>
        </is>
      </c>
      <c r="J68" s="43" t="n">
        <v>0</v>
      </c>
      <c r="K68" s="43" t="n">
        <v>400403</v>
      </c>
      <c r="L68" s="43" t="n">
        <v>400403</v>
      </c>
      <c r="M68" s="43" t="n">
        <v>-9376234.029999999</v>
      </c>
      <c r="N68" s="14" t="inlineStr">
        <is>
          <t>High Transaction; Recurring Transaction</t>
        </is>
      </c>
      <c r="O68" s="14" t="inlineStr">
        <is>
          <t>Yes</t>
        </is>
      </c>
      <c r="P68" s="14" t="inlineStr">
        <is>
          <t>EBANKWIB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1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4" t="n">
        <v>46136</v>
      </c>
      <c r="AB68" s="46">
        <f>HYPERLINK("#'Transactions'!A102", "View Source Row")</f>
        <v/>
      </c>
    </row>
    <row r="69">
      <c r="A69" s="14" t="n">
        <v>102</v>
      </c>
      <c r="B69" s="14" t="inlineStr">
        <is>
          <t>273.pdf</t>
        </is>
      </c>
      <c r="C69" s="44" t="n">
        <v>46113</v>
      </c>
      <c r="D69" s="44" t="n">
        <v>46142</v>
      </c>
      <c r="E69" s="44" t="n">
        <v>46136</v>
      </c>
      <c r="F69" s="44" t="n">
        <v>46136</v>
      </c>
      <c r="G69" s="16" t="inlineStr">
        <is>
          <t>BY CASH BY CASH</t>
        </is>
      </c>
      <c r="H69" s="14" t="str"/>
      <c r="I69" s="14" t="inlineStr">
        <is>
          <t>Receipt</t>
        </is>
      </c>
      <c r="J69" s="43" t="n">
        <v>0</v>
      </c>
      <c r="K69" s="43" t="n">
        <v>281000</v>
      </c>
      <c r="L69" s="43" t="n">
        <v>281000</v>
      </c>
      <c r="M69" s="43" t="n">
        <v>-9095234.029999999</v>
      </c>
      <c r="N69" s="14" t="inlineStr">
        <is>
          <t>Cash; High Transaction; Recurring Transaction</t>
        </is>
      </c>
      <c r="O69" s="14" t="inlineStr">
        <is>
          <t>Yes</t>
        </is>
      </c>
      <c r="P69" s="14" t="inlineStr">
        <is>
          <t>BY CASH BY CASH</t>
        </is>
      </c>
      <c r="Q69" s="14" t="n">
        <v>1</v>
      </c>
      <c r="R69" s="14" t="n">
        <v>1</v>
      </c>
      <c r="S69" s="14" t="n">
        <v>0</v>
      </c>
      <c r="T69" s="14" t="n">
        <v>0</v>
      </c>
      <c r="U69" s="14" t="n">
        <v>1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4" t="n">
        <v>46136</v>
      </c>
      <c r="AB69" s="46">
        <f>HYPERLINK("#'Transactions'!A103", "View Source Row")</f>
        <v/>
      </c>
    </row>
    <row r="70">
      <c r="A70" s="14" t="n">
        <v>103</v>
      </c>
      <c r="B70" s="14" t="inlineStr">
        <is>
          <t>273.pdf</t>
        </is>
      </c>
      <c r="C70" s="44" t="n">
        <v>46113</v>
      </c>
      <c r="D70" s="44" t="n">
        <v>46142</v>
      </c>
      <c r="E70" s="44" t="n">
        <v>46136</v>
      </c>
      <c r="F70" s="44" t="n">
        <v>46136</v>
      </c>
      <c r="G70" s="16" t="inlineStr">
        <is>
          <t>VIRARW-THANE/B BY CASH</t>
        </is>
      </c>
      <c r="H70" s="14" t="str"/>
      <c r="I70" s="14" t="inlineStr">
        <is>
          <t>Receipt</t>
        </is>
      </c>
      <c r="J70" s="43" t="n">
        <v>0</v>
      </c>
      <c r="K70" s="43" t="n">
        <v>250000</v>
      </c>
      <c r="L70" s="43" t="n">
        <v>250000</v>
      </c>
      <c r="M70" s="43" t="n">
        <v>-8845234.029999999</v>
      </c>
      <c r="N70" s="14" t="inlineStr">
        <is>
          <t>Cash; High Transaction; Recurring Transaction</t>
        </is>
      </c>
      <c r="O70" s="14" t="inlineStr">
        <is>
          <t>Yes</t>
        </is>
      </c>
      <c r="P70" s="14" t="inlineStr">
        <is>
          <t>B BY CASH</t>
        </is>
      </c>
      <c r="Q70" s="14" t="n">
        <v>1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4" t="n">
        <v>46136</v>
      </c>
      <c r="AB70" s="46">
        <f>HYPERLINK("#'Transactions'!A104", "View Source Row")</f>
        <v/>
      </c>
    </row>
    <row r="71">
      <c r="A71" s="14" t="n">
        <v>106</v>
      </c>
      <c r="B71" s="14" t="inlineStr">
        <is>
          <t>273.pdf</t>
        </is>
      </c>
      <c r="C71" s="44" t="n">
        <v>46113</v>
      </c>
      <c r="D71" s="44" t="n">
        <v>46142</v>
      </c>
      <c r="E71" s="44" t="n">
        <v>46136</v>
      </c>
      <c r="F71" s="44" t="n">
        <v>46136</v>
      </c>
      <c r="G71" s="16" t="inlineStr">
        <is>
          <t>RTGS-BARBR5202 RTGS-BARBR52026042400851908-HINDUSTAN PETROLEUM CO</t>
        </is>
      </c>
      <c r="H71" s="14" t="str"/>
      <c r="I71" s="14" t="inlineStr">
        <is>
          <t>Payment</t>
        </is>
      </c>
      <c r="J71" s="43" t="n">
        <v>1148985</v>
      </c>
      <c r="K71" s="43" t="n">
        <v>0</v>
      </c>
      <c r="L71" s="43" t="n">
        <v>1148985</v>
      </c>
      <c r="M71" s="43" t="n">
        <v>-9999999.33</v>
      </c>
      <c r="N71" s="14" t="inlineStr">
        <is>
          <t>High Transaction; Recurring Transaction</t>
        </is>
      </c>
      <c r="O71" s="14" t="inlineStr">
        <is>
          <t>Yes</t>
        </is>
      </c>
      <c r="P71" s="14" t="inlineStr">
        <is>
          <t>BARBR RTGS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1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4" t="n">
        <v>46136</v>
      </c>
      <c r="AB71" s="46">
        <f>HYPERLINK("#'Transactions'!A107", "View Source Row")</f>
        <v/>
      </c>
    </row>
    <row r="72">
      <c r="A72" s="14" t="n">
        <v>107</v>
      </c>
      <c r="B72" s="14" t="inlineStr">
        <is>
          <t>273.pdf</t>
        </is>
      </c>
      <c r="C72" s="44" t="n">
        <v>46113</v>
      </c>
      <c r="D72" s="44" t="n">
        <v>46142</v>
      </c>
      <c r="E72" s="44" t="n">
        <v>46136</v>
      </c>
      <c r="F72" s="44" t="n">
        <v>46136</v>
      </c>
      <c r="G72" s="16" t="inlineStr">
        <is>
          <t>EBANK:WIB/1505 EBANK:WIB/1505452714/Edfs https://cbdrpt101.bankofbaroda.co.in:22000/finbranch/arjspmorph/INFENG/tran_rpt.jsp?... 04-05-2026</t>
        </is>
      </c>
      <c r="H72" s="14" t="str"/>
      <c r="I72" s="14" t="inlineStr">
        <is>
          <t>Receipt</t>
        </is>
      </c>
      <c r="J72" s="43" t="n">
        <v>0</v>
      </c>
      <c r="K72" s="43" t="n">
        <v>115069</v>
      </c>
      <c r="L72" s="43" t="n">
        <v>115069</v>
      </c>
      <c r="M72" s="43" t="n">
        <v>-9884930.33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4" t="n">
        <v>46136</v>
      </c>
      <c r="AB72" s="46">
        <f>HYPERLINK("#'Transactions'!A108", "View Source Row")</f>
        <v/>
      </c>
    </row>
    <row r="73">
      <c r="A73" s="14" t="n">
        <v>108</v>
      </c>
      <c r="B73" s="14" t="inlineStr">
        <is>
          <t>273.pdf</t>
        </is>
      </c>
      <c r="C73" s="44" t="n">
        <v>46113</v>
      </c>
      <c r="D73" s="44" t="n">
        <v>46142</v>
      </c>
      <c r="E73" s="44" t="n">
        <v>46136</v>
      </c>
      <c r="F73" s="44" t="n">
        <v>46136</v>
      </c>
      <c r="G73" s="16" t="inlineStr">
        <is>
          <t>NEFT-BARBY2611 NEFT-BARBY26114821805-HINDUSTAN PETROLEUM CORPORAT</t>
        </is>
      </c>
      <c r="H73" s="14" t="str"/>
      <c r="I73" s="14" t="inlineStr">
        <is>
          <t>Payment</t>
        </is>
      </c>
      <c r="J73" s="43" t="n">
        <v>115069</v>
      </c>
      <c r="K73" s="43" t="n">
        <v>0</v>
      </c>
      <c r="L73" s="43" t="n">
        <v>115069</v>
      </c>
      <c r="M73" s="43" t="n">
        <v>-9999999.33</v>
      </c>
      <c r="N73" s="14" t="inlineStr">
        <is>
          <t>High Transaction</t>
        </is>
      </c>
      <c r="O73" s="14" t="inlineStr">
        <is>
          <t>No</t>
        </is>
      </c>
      <c r="P73" s="14" t="inlineStr">
        <is>
          <t>BARBY NEFT</t>
        </is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1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4" t="n">
        <v>46136</v>
      </c>
      <c r="AB73" s="46">
        <f>HYPERLINK("#'Transactions'!A109", "View Source Row")</f>
        <v/>
      </c>
    </row>
    <row r="74">
      <c r="A74" s="14" t="n">
        <v>109</v>
      </c>
      <c r="B74" s="14" t="inlineStr">
        <is>
          <t>273.pdf</t>
        </is>
      </c>
      <c r="C74" s="44" t="n">
        <v>46113</v>
      </c>
      <c r="D74" s="44" t="n">
        <v>46142</v>
      </c>
      <c r="E74" s="44" t="n">
        <v>46137</v>
      </c>
      <c r="F74" s="44" t="n">
        <v>46137</v>
      </c>
      <c r="G74" s="16" t="inlineStr">
        <is>
          <t>EBANK:WIB/1505 EBANK:WIB/1505471306/Edfs</t>
        </is>
      </c>
      <c r="H74" s="14" t="str"/>
      <c r="I74" s="14" t="inlineStr">
        <is>
          <t>Receipt</t>
        </is>
      </c>
      <c r="J74" s="43" t="n">
        <v>0</v>
      </c>
      <c r="K74" s="43" t="n">
        <v>273418</v>
      </c>
      <c r="L74" s="43" t="n">
        <v>273418</v>
      </c>
      <c r="M74" s="43" t="n">
        <v>-9726581.33</v>
      </c>
      <c r="N74" s="14" t="inlineStr">
        <is>
          <t>High Transaction; Recurring Transaction</t>
        </is>
      </c>
      <c r="O74" s="14" t="inlineStr">
        <is>
          <t>Yes</t>
        </is>
      </c>
      <c r="P74" s="14" t="inlineStr">
        <is>
          <t>EBANKWIB</t>
        </is>
      </c>
      <c r="Q74" s="14" t="n">
        <v>0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4" t="n">
        <v>46137</v>
      </c>
      <c r="AB74" s="46">
        <f>HYPERLINK("#'Transactions'!A110", "View Source Row")</f>
        <v/>
      </c>
    </row>
    <row r="75">
      <c r="A75" s="14" t="n">
        <v>111</v>
      </c>
      <c r="B75" s="14" t="inlineStr">
        <is>
          <t>273.pdf</t>
        </is>
      </c>
      <c r="C75" s="44" t="n">
        <v>46113</v>
      </c>
      <c r="D75" s="44" t="n">
        <v>46142</v>
      </c>
      <c r="E75" s="44" t="n">
        <v>46137</v>
      </c>
      <c r="F75" s="44" t="n">
        <v>46137</v>
      </c>
      <c r="G75" s="16" t="inlineStr">
        <is>
          <t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75" s="14" t="str"/>
      <c r="I75" s="14" t="inlineStr">
        <is>
          <t>Payment</t>
        </is>
      </c>
      <c r="J75" s="43" t="n">
        <v>329650</v>
      </c>
      <c r="K75" s="43" t="n">
        <v>0</v>
      </c>
      <c r="L75" s="43" t="n">
        <v>329650</v>
      </c>
      <c r="M75" s="43" t="n">
        <v>-9983685.4</v>
      </c>
      <c r="N75" s="14" t="inlineStr">
        <is>
          <t>High Transaction; Recurring Transaction</t>
        </is>
      </c>
      <c r="O75" s="14" t="inlineStr">
        <is>
          <t>Yes</t>
        </is>
      </c>
      <c r="P75" s="14" t="inlineStr">
        <is>
          <t>PAGE TOTAL   DR</t>
        </is>
      </c>
      <c r="Q75" s="14" t="n">
        <v>0</v>
      </c>
      <c r="R75" s="14" t="n">
        <v>1</v>
      </c>
      <c r="S75" s="14" t="n">
        <v>0</v>
      </c>
      <c r="T75" s="14" t="n">
        <v>0</v>
      </c>
      <c r="U75" s="14" t="n">
        <v>1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4" t="n">
        <v>46137</v>
      </c>
      <c r="AB75" s="46">
        <f>HYPERLINK("#'Transactions'!A112", "View Source Row")</f>
        <v/>
      </c>
    </row>
    <row r="76">
      <c r="A76" s="14" t="n">
        <v>112</v>
      </c>
      <c r="B76" s="14" t="inlineStr">
        <is>
          <t>273.pdf</t>
        </is>
      </c>
      <c r="C76" s="44" t="n">
        <v>46113</v>
      </c>
      <c r="D76" s="44" t="n">
        <v>46142</v>
      </c>
      <c r="E76" s="44" t="n">
        <v>46137</v>
      </c>
      <c r="F76" s="44" t="n">
        <v>46137</v>
      </c>
      <c r="G76" s="16" t="inlineStr">
        <is>
          <t>EBANK:WIB/1505 EBANK:WIB/1505585919/Edfs</t>
        </is>
      </c>
      <c r="H76" s="14" t="str"/>
      <c r="I76" s="14" t="inlineStr">
        <is>
          <t>Receipt</t>
        </is>
      </c>
      <c r="J76" s="43" t="n">
        <v>0</v>
      </c>
      <c r="K76" s="43" t="n">
        <v>172247.15</v>
      </c>
      <c r="L76" s="43" t="n">
        <v>172247.15</v>
      </c>
      <c r="M76" s="43" t="n">
        <v>-9811438.25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EBANKWIB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4" t="n">
        <v>46137</v>
      </c>
      <c r="AB76" s="46">
        <f>HYPERLINK("#'Transactions'!A113", "View Source Row")</f>
        <v/>
      </c>
    </row>
    <row r="77">
      <c r="A77" s="14" t="n">
        <v>113</v>
      </c>
      <c r="B77" s="14" t="inlineStr">
        <is>
          <t>273.pdf</t>
        </is>
      </c>
      <c r="C77" s="44" t="n">
        <v>46113</v>
      </c>
      <c r="D77" s="44" t="n">
        <v>46142</v>
      </c>
      <c r="E77" s="44" t="n">
        <v>46138</v>
      </c>
      <c r="F77" s="44" t="n">
        <v>46138</v>
      </c>
      <c r="G77" s="16" t="inlineStr">
        <is>
          <t>EBANK:WIB/1505 EBANK:WIB/1505590344/Edfs</t>
        </is>
      </c>
      <c r="H77" s="14" t="str"/>
      <c r="I77" s="14" t="inlineStr">
        <is>
          <t>Receipt</t>
        </is>
      </c>
      <c r="J77" s="43" t="n">
        <v>0</v>
      </c>
      <c r="K77" s="43" t="n">
        <v>300990.79</v>
      </c>
      <c r="L77" s="43" t="n">
        <v>300990.79</v>
      </c>
      <c r="M77" s="43" t="n">
        <v>-9510447.460000001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EBANKWIB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4" t="n">
        <v>46138</v>
      </c>
      <c r="AB77" s="46">
        <f>HYPERLINK("#'Transactions'!A114", "View Source Row")</f>
        <v/>
      </c>
    </row>
    <row r="78">
      <c r="A78" s="14" t="n">
        <v>114</v>
      </c>
      <c r="B78" s="14" t="inlineStr">
        <is>
          <t>273.pdf</t>
        </is>
      </c>
      <c r="C78" s="44" t="n">
        <v>46113</v>
      </c>
      <c r="D78" s="44" t="n">
        <v>46142</v>
      </c>
      <c r="E78" s="44" t="n">
        <v>46138</v>
      </c>
      <c r="F78" s="44" t="n">
        <v>46138</v>
      </c>
      <c r="G78" s="16" t="inlineStr">
        <is>
          <t>EBANK:WIB/1505 EBANK:WIB/1505633295/Edfs</t>
        </is>
      </c>
      <c r="H78" s="14" t="str"/>
      <c r="I78" s="14" t="inlineStr">
        <is>
          <t>Receipt</t>
        </is>
      </c>
      <c r="J78" s="43" t="n">
        <v>0</v>
      </c>
      <c r="K78" s="43" t="n">
        <v>114728</v>
      </c>
      <c r="L78" s="43" t="n">
        <v>114728</v>
      </c>
      <c r="M78" s="43" t="n">
        <v>-9395719.460000001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EBANKWIB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4" t="n">
        <v>46138</v>
      </c>
      <c r="AB78" s="46">
        <f>HYPERLINK("#'Transactions'!A115", "View Source Row")</f>
        <v/>
      </c>
    </row>
    <row r="79">
      <c r="A79" s="14" t="n">
        <v>115</v>
      </c>
      <c r="B79" s="14" t="inlineStr">
        <is>
          <t>273.pdf</t>
        </is>
      </c>
      <c r="C79" s="44" t="n">
        <v>46113</v>
      </c>
      <c r="D79" s="44" t="n">
        <v>46142</v>
      </c>
      <c r="E79" s="44" t="n">
        <v>46139</v>
      </c>
      <c r="F79" s="44" t="n">
        <v>46139</v>
      </c>
      <c r="G79" s="16" t="inlineStr">
        <is>
          <t>EBANK:WIB/1505 EBANK:WIB/1505672686/Edfs</t>
        </is>
      </c>
      <c r="H79" s="14" t="str"/>
      <c r="I79" s="14" t="inlineStr">
        <is>
          <t>Receipt</t>
        </is>
      </c>
      <c r="J79" s="43" t="n">
        <v>0</v>
      </c>
      <c r="K79" s="43" t="n">
        <v>460000.8</v>
      </c>
      <c r="L79" s="43" t="n">
        <v>460000.8</v>
      </c>
      <c r="M79" s="43" t="n">
        <v>-8935718.66</v>
      </c>
      <c r="N79" s="14" t="inlineStr">
        <is>
          <t>High Transaction; Recurring Transaction</t>
        </is>
      </c>
      <c r="O79" s="14" t="inlineStr">
        <is>
          <t>Yes</t>
        </is>
      </c>
      <c r="P79" s="14" t="inlineStr">
        <is>
          <t>EBANKWIB</t>
        </is>
      </c>
      <c r="Q79" s="14" t="n">
        <v>0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4" t="n">
        <v>46139</v>
      </c>
      <c r="AB79" s="46">
        <f>HYPERLINK("#'Transactions'!A116", "View Source Row")</f>
        <v/>
      </c>
    </row>
    <row r="80">
      <c r="A80" s="14" t="n">
        <v>116</v>
      </c>
      <c r="B80" s="14" t="inlineStr">
        <is>
          <t>273.pdf</t>
        </is>
      </c>
      <c r="C80" s="44" t="n">
        <v>46113</v>
      </c>
      <c r="D80" s="44" t="n">
        <v>46142</v>
      </c>
      <c r="E80" s="44" t="n">
        <v>46139</v>
      </c>
      <c r="F80" s="44" t="n">
        <v>46139</v>
      </c>
      <c r="G80" s="16" t="inlineStr">
        <is>
          <t>BY CASH BY CASH</t>
        </is>
      </c>
      <c r="H80" s="14" t="str"/>
      <c r="I80" s="14" t="inlineStr">
        <is>
          <t>Receipt</t>
        </is>
      </c>
      <c r="J80" s="43" t="n">
        <v>0</v>
      </c>
      <c r="K80" s="43" t="n">
        <v>774500</v>
      </c>
      <c r="L80" s="43" t="n">
        <v>774500</v>
      </c>
      <c r="M80" s="43" t="n">
        <v>-8161218.66</v>
      </c>
      <c r="N80" s="14" t="inlineStr">
        <is>
          <t>Cash; High Transaction; Recurring Transaction</t>
        </is>
      </c>
      <c r="O80" s="14" t="inlineStr">
        <is>
          <t>Yes</t>
        </is>
      </c>
      <c r="P80" s="14" t="inlineStr">
        <is>
          <t>BY CASH BY CASH</t>
        </is>
      </c>
      <c r="Q80" s="14" t="n">
        <v>1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4" t="n">
        <v>46139</v>
      </c>
      <c r="AB80" s="46">
        <f>HYPERLINK("#'Transactions'!A117", "View Source Row")</f>
        <v/>
      </c>
    </row>
    <row r="81">
      <c r="A81" s="14" t="n">
        <v>118</v>
      </c>
      <c r="B81" s="14" t="inlineStr">
        <is>
          <t>273.pdf</t>
        </is>
      </c>
      <c r="C81" s="44" t="n">
        <v>46113</v>
      </c>
      <c r="D81" s="44" t="n">
        <v>46142</v>
      </c>
      <c r="E81" s="44" t="n">
        <v>46139</v>
      </c>
      <c r="F81" s="44" t="n">
        <v>46139</v>
      </c>
      <c r="G81" s="16" t="inlineStr">
        <is>
          <t>EBANK:WIB/1505 EBANK:WIB/1505752441/Edfs</t>
        </is>
      </c>
      <c r="H81" s="14" t="str"/>
      <c r="I81" s="14" t="inlineStr">
        <is>
          <t>Receipt</t>
        </is>
      </c>
      <c r="J81" s="43" t="n">
        <v>0</v>
      </c>
      <c r="K81" s="43" t="n">
        <v>365005</v>
      </c>
      <c r="L81" s="43" t="n">
        <v>365005</v>
      </c>
      <c r="M81" s="43" t="n">
        <v>-7802205.35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EBANKWIB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4" t="n">
        <v>46139</v>
      </c>
      <c r="AB81" s="46">
        <f>HYPERLINK("#'Transactions'!A119", "View Source Row")</f>
        <v/>
      </c>
    </row>
    <row r="82">
      <c r="A82" s="14" t="n">
        <v>119</v>
      </c>
      <c r="B82" s="14" t="inlineStr">
        <is>
          <t>273.pdf</t>
        </is>
      </c>
      <c r="C82" s="44" t="n">
        <v>46113</v>
      </c>
      <c r="D82" s="44" t="n">
        <v>46142</v>
      </c>
      <c r="E82" s="44" t="n">
        <v>46139</v>
      </c>
      <c r="F82" s="44" t="n">
        <v>46139</v>
      </c>
      <c r="G82" s="16" t="inlineStr">
        <is>
          <t>RTGS-BARBR5202 RTGS-BARBR52026042700952483-HINDUSTAN PETROLEUM CO</t>
        </is>
      </c>
      <c r="H82" s="14" t="str"/>
      <c r="I82" s="14" t="inlineStr">
        <is>
          <t>Payment</t>
        </is>
      </c>
      <c r="J82" s="43" t="n">
        <v>1064000</v>
      </c>
      <c r="K82" s="43" t="n">
        <v>0</v>
      </c>
      <c r="L82" s="43" t="n">
        <v>1064000</v>
      </c>
      <c r="M82" s="43" t="n">
        <v>-8866205.35</v>
      </c>
      <c r="N82" s="14" t="inlineStr">
        <is>
          <t>High Transaction; Recurring Transaction</t>
        </is>
      </c>
      <c r="O82" s="14" t="inlineStr">
        <is>
          <t>Yes</t>
        </is>
      </c>
      <c r="P82" s="14" t="inlineStr">
        <is>
          <t>BARBR RTGS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1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4" t="n">
        <v>46139</v>
      </c>
      <c r="AB82" s="46">
        <f>HYPERLINK("#'Transactions'!A120", "View Source Row")</f>
        <v/>
      </c>
    </row>
    <row r="83">
      <c r="A83" s="14" t="n">
        <v>120</v>
      </c>
      <c r="B83" s="14" t="inlineStr">
        <is>
          <t>273.pdf</t>
        </is>
      </c>
      <c r="C83" s="44" t="n">
        <v>46113</v>
      </c>
      <c r="D83" s="44" t="n">
        <v>46142</v>
      </c>
      <c r="E83" s="44" t="n">
        <v>46139</v>
      </c>
      <c r="F83" s="44" t="n">
        <v>46139</v>
      </c>
      <c r="G83" s="16" t="inlineStr">
        <is>
          <t>RTGS-BARBR5202 RTGS-BARBR52026042700958299-HINDUSTAN PETROLEUM CO</t>
        </is>
      </c>
      <c r="H83" s="14" t="str"/>
      <c r="I83" s="14" t="inlineStr">
        <is>
          <t>Payment</t>
        </is>
      </c>
      <c r="J83" s="43" t="n">
        <v>768789</v>
      </c>
      <c r="K83" s="43" t="n">
        <v>0</v>
      </c>
      <c r="L83" s="43" t="n">
        <v>768789</v>
      </c>
      <c r="M83" s="43" t="n">
        <v>-9634994.35</v>
      </c>
      <c r="N83" s="14" t="inlineStr">
        <is>
          <t>High Transaction; Recurring Transaction</t>
        </is>
      </c>
      <c r="O83" s="14" t="inlineStr">
        <is>
          <t>Yes</t>
        </is>
      </c>
      <c r="P83" s="14" t="inlineStr">
        <is>
          <t>BARBR RTGS</t>
        </is>
      </c>
      <c r="Q83" s="14" t="n">
        <v>0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4" t="n">
        <v>46139</v>
      </c>
      <c r="AB83" s="46">
        <f>HYPERLINK("#'Transactions'!A121", "View Source Row")</f>
        <v/>
      </c>
    </row>
    <row r="84">
      <c r="A84" s="14" t="n">
        <v>121</v>
      </c>
      <c r="B84" s="14" t="inlineStr">
        <is>
          <t>273.pdf</t>
        </is>
      </c>
      <c r="C84" s="44" t="n">
        <v>46113</v>
      </c>
      <c r="D84" s="44" t="n">
        <v>46142</v>
      </c>
      <c r="E84" s="44" t="n">
        <v>46140</v>
      </c>
      <c r="F84" s="44" t="n">
        <v>46140</v>
      </c>
      <c r="G84" s="16" t="inlineStr">
        <is>
          <t>BY CASH BY CASH</t>
        </is>
      </c>
      <c r="H84" s="14" t="str"/>
      <c r="I84" s="14" t="inlineStr">
        <is>
          <t>Receipt</t>
        </is>
      </c>
      <c r="J84" s="43" t="n">
        <v>0</v>
      </c>
      <c r="K84" s="43" t="n">
        <v>246500</v>
      </c>
      <c r="L84" s="43" t="n">
        <v>246500</v>
      </c>
      <c r="M84" s="43" t="n">
        <v>-9388494.35</v>
      </c>
      <c r="N84" s="14" t="inlineStr">
        <is>
          <t>Cash; High Transaction; Recurring Transaction</t>
        </is>
      </c>
      <c r="O84" s="14" t="inlineStr">
        <is>
          <t>Yes</t>
        </is>
      </c>
      <c r="P84" s="14" t="inlineStr">
        <is>
          <t>BY CASH BY CASH</t>
        </is>
      </c>
      <c r="Q84" s="14" t="n">
        <v>1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4" t="n">
        <v>46140</v>
      </c>
      <c r="AB84" s="46">
        <f>HYPERLINK("#'Transactions'!A122", "View Source Row")</f>
        <v/>
      </c>
    </row>
    <row r="85">
      <c r="A85" s="14" t="n">
        <v>122</v>
      </c>
      <c r="B85" s="14" t="inlineStr">
        <is>
          <t>273.pdf</t>
        </is>
      </c>
      <c r="C85" s="44" t="n">
        <v>46113</v>
      </c>
      <c r="D85" s="44" t="n">
        <v>46142</v>
      </c>
      <c r="E85" s="44" t="n">
        <v>46140</v>
      </c>
      <c r="F85" s="44" t="n">
        <v>46140</v>
      </c>
      <c r="G85" s="16" t="inlineStr">
        <is>
          <t>EBANK:WIB/1505 EBANK:WIB/1505883831/Edfs</t>
        </is>
      </c>
      <c r="H85" s="14" t="str"/>
      <c r="I85" s="14" t="inlineStr">
        <is>
          <t>Receipt</t>
        </is>
      </c>
      <c r="J85" s="43" t="n">
        <v>0</v>
      </c>
      <c r="K85" s="43" t="n">
        <v>402798.6</v>
      </c>
      <c r="L85" s="43" t="n">
        <v>402798.6</v>
      </c>
      <c r="M85" s="43" t="n">
        <v>-8985695.75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4" t="n">
        <v>46140</v>
      </c>
      <c r="AB85" s="46">
        <f>HYPERLINK("#'Transactions'!A123", "View Source Row")</f>
        <v/>
      </c>
    </row>
    <row r="86">
      <c r="A86" s="14" t="n">
        <v>123</v>
      </c>
      <c r="B86" s="14" t="inlineStr">
        <is>
          <t>273.pdf</t>
        </is>
      </c>
      <c r="C86" s="44" t="n">
        <v>46113</v>
      </c>
      <c r="D86" s="44" t="n">
        <v>46142</v>
      </c>
      <c r="E86" s="44" t="n">
        <v>46140</v>
      </c>
      <c r="F86" s="44" t="n">
        <v>46140</v>
      </c>
      <c r="G86" s="16" t="inlineStr">
        <is>
          <t>EBANK:WIB/1505 EBANK:WIB/1505948506/Edfs</t>
        </is>
      </c>
      <c r="H86" s="14" t="str"/>
      <c r="I86" s="14" t="inlineStr">
        <is>
          <t>Receipt</t>
        </is>
      </c>
      <c r="J86" s="43" t="n">
        <v>0</v>
      </c>
      <c r="K86" s="43" t="n">
        <v>192251.79</v>
      </c>
      <c r="L86" s="43" t="n">
        <v>192251.79</v>
      </c>
      <c r="M86" s="43" t="n">
        <v>-8793443.960000001</v>
      </c>
      <c r="N86" s="14" t="inlineStr">
        <is>
          <t>High Transaction; Recurring Transaction</t>
        </is>
      </c>
      <c r="O86" s="14" t="inlineStr">
        <is>
          <t>Yes</t>
        </is>
      </c>
      <c r="P86" s="14" t="inlineStr">
        <is>
          <t>EBANKWIB</t>
        </is>
      </c>
      <c r="Q86" s="14" t="n">
        <v>0</v>
      </c>
      <c r="R86" s="14" t="n">
        <v>1</v>
      </c>
      <c r="S86" s="14" t="n">
        <v>0</v>
      </c>
      <c r="T86" s="14" t="n">
        <v>0</v>
      </c>
      <c r="U86" s="14" t="n">
        <v>1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4" t="n">
        <v>46140</v>
      </c>
      <c r="AB86" s="46">
        <f>HYPERLINK("#'Transactions'!A124", "View Source Row")</f>
        <v/>
      </c>
    </row>
    <row r="87">
      <c r="A87" s="14" t="n">
        <v>124</v>
      </c>
      <c r="B87" s="14" t="inlineStr">
        <is>
          <t>273.pdf</t>
        </is>
      </c>
      <c r="C87" s="44" t="n">
        <v>46113</v>
      </c>
      <c r="D87" s="44" t="n">
        <v>46142</v>
      </c>
      <c r="E87" s="44" t="n">
        <v>46141</v>
      </c>
      <c r="F87" s="44" t="n">
        <v>46141</v>
      </c>
      <c r="G87" s="16" t="inlineStr">
        <is>
          <t>EBANK:WIB/1505 EBANK:WIB/1505959390/Edfs</t>
        </is>
      </c>
      <c r="H87" s="14" t="str"/>
      <c r="I87" s="14" t="inlineStr">
        <is>
          <t>Receipt</t>
        </is>
      </c>
      <c r="J87" s="43" t="n">
        <v>0</v>
      </c>
      <c r="K87" s="43" t="n">
        <v>383365.33</v>
      </c>
      <c r="L87" s="43" t="n">
        <v>383365.33</v>
      </c>
      <c r="M87" s="43" t="n">
        <v>-8410078.630000001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EBANKWIB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4" t="n">
        <v>46141</v>
      </c>
      <c r="AB87" s="46">
        <f>HYPERLINK("#'Transactions'!A125", "View Source Row")</f>
        <v/>
      </c>
    </row>
    <row r="88">
      <c r="A88" s="14" t="n">
        <v>127</v>
      </c>
      <c r="B88" s="14" t="inlineStr">
        <is>
          <t>273.pdf</t>
        </is>
      </c>
      <c r="C88" s="44" t="n">
        <v>46113</v>
      </c>
      <c r="D88" s="44" t="n">
        <v>46142</v>
      </c>
      <c r="E88" s="44" t="n">
        <v>46141</v>
      </c>
      <c r="F88" s="44" t="n">
        <v>46141</v>
      </c>
      <c r="G88" s="16" t="inlineStr">
        <is>
          <t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88" s="14" t="str"/>
      <c r="I88" s="14" t="inlineStr">
        <is>
          <t>Receipt</t>
        </is>
      </c>
      <c r="J88" s="43" t="n">
        <v>0</v>
      </c>
      <c r="K88" s="43" t="n">
        <v>161953</v>
      </c>
      <c r="L88" s="43" t="n">
        <v>161953</v>
      </c>
      <c r="M88" s="43" t="n">
        <v>-8254025.08</v>
      </c>
      <c r="N88" s="14" t="inlineStr">
        <is>
          <t>High Transaction; Recurring Transaction</t>
        </is>
      </c>
      <c r="O88" s="14" t="inlineStr">
        <is>
          <t>Yes</t>
        </is>
      </c>
      <c r="P88" s="14" t="inlineStr">
        <is>
          <t>EBANKWIB</t>
        </is>
      </c>
      <c r="Q88" s="14" t="n">
        <v>0</v>
      </c>
      <c r="R88" s="14" t="n">
        <v>1</v>
      </c>
      <c r="S88" s="14" t="n">
        <v>0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4" t="n">
        <v>46141</v>
      </c>
      <c r="AB88" s="46">
        <f>HYPERLINK("#'Transactions'!A128", "View Source Row")</f>
        <v/>
      </c>
    </row>
    <row r="89">
      <c r="A89" s="14" t="n">
        <v>129</v>
      </c>
      <c r="B89" s="14" t="inlineStr">
        <is>
          <t>273.pdf</t>
        </is>
      </c>
      <c r="C89" s="44" t="n">
        <v>46113</v>
      </c>
      <c r="D89" s="44" t="n">
        <v>46142</v>
      </c>
      <c r="E89" s="44" t="n">
        <v>46141</v>
      </c>
      <c r="F89" s="44" t="n">
        <v>46141</v>
      </c>
      <c r="G89" s="16" t="inlineStr">
        <is>
          <t>BY CASH BY CASH</t>
        </is>
      </c>
      <c r="H89" s="14" t="str"/>
      <c r="I89" s="14" t="inlineStr">
        <is>
          <t>Receipt</t>
        </is>
      </c>
      <c r="J89" s="43" t="n">
        <v>0</v>
      </c>
      <c r="K89" s="43" t="n">
        <v>116500</v>
      </c>
      <c r="L89" s="43" t="n">
        <v>116500</v>
      </c>
      <c r="M89" s="43" t="n">
        <v>-8137649.75</v>
      </c>
      <c r="N89" s="14" t="inlineStr">
        <is>
          <t>Cash; High Transaction; Recurring Transaction</t>
        </is>
      </c>
      <c r="O89" s="14" t="inlineStr">
        <is>
          <t>Yes</t>
        </is>
      </c>
      <c r="P89" s="14" t="inlineStr">
        <is>
          <t>BY CASH BY CASH</t>
        </is>
      </c>
      <c r="Q89" s="14" t="n">
        <v>1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4" t="n">
        <v>46141</v>
      </c>
      <c r="AB89" s="46">
        <f>HYPERLINK("#'Transactions'!A130", "View Source Row")</f>
        <v/>
      </c>
    </row>
    <row r="90">
      <c r="A90" s="14" t="n">
        <v>130</v>
      </c>
      <c r="B90" s="14" t="inlineStr">
        <is>
          <t>273.pdf</t>
        </is>
      </c>
      <c r="C90" s="44" t="n">
        <v>46113</v>
      </c>
      <c r="D90" s="44" t="n">
        <v>46142</v>
      </c>
      <c r="E90" s="44" t="n">
        <v>46141</v>
      </c>
      <c r="F90" s="44" t="n">
        <v>46141</v>
      </c>
      <c r="G90" s="16" t="inlineStr">
        <is>
          <t>RTGS-BARBR5202 RTGS-BARBR52026042900818962-HINDUSTAN PETROLEUM CO</t>
        </is>
      </c>
      <c r="H90" s="14" t="str"/>
      <c r="I90" s="14" t="inlineStr">
        <is>
          <t>Payment</t>
        </is>
      </c>
      <c r="J90" s="43" t="n">
        <v>1745850</v>
      </c>
      <c r="K90" s="43" t="n">
        <v>0</v>
      </c>
      <c r="L90" s="43" t="n">
        <v>1745850</v>
      </c>
      <c r="M90" s="43" t="n">
        <v>-9883499.75</v>
      </c>
      <c r="N90" s="14" t="inlineStr">
        <is>
          <t>High Transaction; Recurring Transaction</t>
        </is>
      </c>
      <c r="O90" s="14" t="inlineStr">
        <is>
          <t>Yes</t>
        </is>
      </c>
      <c r="P90" s="14" t="inlineStr">
        <is>
          <t>BARBR RTGS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1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4" t="n">
        <v>46141</v>
      </c>
      <c r="AB90" s="46">
        <f>HYPERLINK("#'Transactions'!A131", "View Source Row")</f>
        <v/>
      </c>
    </row>
    <row r="91">
      <c r="A91" s="14" t="n">
        <v>132</v>
      </c>
      <c r="B91" s="14" t="inlineStr">
        <is>
          <t>273.pdf</t>
        </is>
      </c>
      <c r="C91" s="44" t="n">
        <v>46113</v>
      </c>
      <c r="D91" s="44" t="n">
        <v>46142</v>
      </c>
      <c r="E91" s="44" t="n">
        <v>46141</v>
      </c>
      <c r="F91" s="44" t="n">
        <v>46141</v>
      </c>
      <c r="G91" s="16" t="inlineStr">
        <is>
          <t>NEFT-BARBV2611 NEFT-BARBV26119745454-HINDUSTAN PETROLEUM CORPORAT</t>
        </is>
      </c>
      <c r="H91" s="14" t="str"/>
      <c r="I91" s="14" t="inlineStr">
        <is>
          <t>Payment</t>
        </is>
      </c>
      <c r="J91" s="43" t="n">
        <v>116500</v>
      </c>
      <c r="K91" s="43" t="n">
        <v>0</v>
      </c>
      <c r="L91" s="43" t="n">
        <v>116500</v>
      </c>
      <c r="M91" s="43" t="n">
        <v>-9906735.75</v>
      </c>
      <c r="N91" s="14" t="inlineStr">
        <is>
          <t>High Transaction</t>
        </is>
      </c>
      <c r="O91" s="14" t="inlineStr">
        <is>
          <t>No</t>
        </is>
      </c>
      <c r="P91" s="14" t="inlineStr">
        <is>
          <t>BARBV NEFT</t>
        </is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4" t="n">
        <v>46141</v>
      </c>
      <c r="AB91" s="46">
        <f>HYPERLINK("#'Transactions'!A133", "View Source Row")</f>
        <v/>
      </c>
    </row>
    <row r="92">
      <c r="A92" s="14" t="n">
        <v>135</v>
      </c>
      <c r="B92" s="14" t="inlineStr">
        <is>
          <t>273.pdf</t>
        </is>
      </c>
      <c r="C92" s="44" t="n">
        <v>46113</v>
      </c>
      <c r="D92" s="44" t="n">
        <v>46142</v>
      </c>
      <c r="E92" s="44" t="n">
        <v>46142</v>
      </c>
      <c r="F92" s="44" t="n">
        <v>46142</v>
      </c>
      <c r="G92" s="16" t="inlineStr">
        <is>
          <t>EBANK:WIB/1506 EBANK:WIB/1506112904/Edfs</t>
        </is>
      </c>
      <c r="H92" s="14" t="str"/>
      <c r="I92" s="14" t="inlineStr">
        <is>
          <t>Receipt</t>
        </is>
      </c>
      <c r="J92" s="43" t="n">
        <v>0</v>
      </c>
      <c r="K92" s="43" t="n">
        <v>429587.11</v>
      </c>
      <c r="L92" s="43" t="n">
        <v>429587.11</v>
      </c>
      <c r="M92" s="43" t="n">
        <v>-9340838.640000001</v>
      </c>
      <c r="N92" s="14" t="inlineStr">
        <is>
          <t>High Transaction; Recurring Transaction</t>
        </is>
      </c>
      <c r="O92" s="14" t="inlineStr">
        <is>
          <t>Yes</t>
        </is>
      </c>
      <c r="P92" s="14" t="inlineStr">
        <is>
          <t>EBANKWIB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1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4" t="n">
        <v>46142</v>
      </c>
      <c r="AB92" s="46">
        <f>HYPERLINK("#'Transactions'!A136", "View Source Row")</f>
        <v/>
      </c>
    </row>
    <row r="93">
      <c r="A93" s="14" t="n">
        <v>137</v>
      </c>
      <c r="B93" s="14" t="inlineStr">
        <is>
          <t>273.pdf</t>
        </is>
      </c>
      <c r="C93" s="44" t="n">
        <v>46113</v>
      </c>
      <c r="D93" s="44" t="n">
        <v>46142</v>
      </c>
      <c r="E93" s="44" t="n">
        <v>46142</v>
      </c>
      <c r="F93" s="44" t="n">
        <v>46142</v>
      </c>
      <c r="G93" s="16" t="inlineStr">
        <is>
          <t>RTGS-BARBR5202 RTGS-BARBR52026043000849921-HINDUSTAN PETROLEUM CO</t>
        </is>
      </c>
      <c r="H93" s="14" t="str"/>
      <c r="I93" s="14" t="inlineStr">
        <is>
          <t>Payment</t>
        </is>
      </c>
      <c r="J93" s="43" t="n">
        <v>229000</v>
      </c>
      <c r="K93" s="43" t="n">
        <v>0</v>
      </c>
      <c r="L93" s="43" t="n">
        <v>229000</v>
      </c>
      <c r="M93" s="43" t="n">
        <v>-9663102.640000001</v>
      </c>
      <c r="N93" s="14" t="inlineStr">
        <is>
          <t>High Transaction; Recurring Transaction</t>
        </is>
      </c>
      <c r="O93" s="14" t="inlineStr">
        <is>
          <t>Yes</t>
        </is>
      </c>
      <c r="P93" s="14" t="inlineStr">
        <is>
          <t>BARBR RTGS</t>
        </is>
      </c>
      <c r="Q93" s="14" t="n">
        <v>0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4" t="n">
        <v>46142</v>
      </c>
      <c r="AB93" s="46">
        <f>HYPERLINK("#'Transactions'!A138", "View Source Row")</f>
        <v/>
      </c>
    </row>
    <row r="94">
      <c r="A94" s="14" t="n">
        <v>138</v>
      </c>
      <c r="B94" s="14" t="inlineStr">
        <is>
          <t>273.pdf</t>
        </is>
      </c>
      <c r="C94" s="44" t="n">
        <v>46113</v>
      </c>
      <c r="D94" s="44" t="n">
        <v>46142</v>
      </c>
      <c r="E94" s="44" t="n">
        <v>46142</v>
      </c>
      <c r="F94" s="44" t="n">
        <v>46142</v>
      </c>
      <c r="G94" s="16" t="inlineStr">
        <is>
          <t>BY CASH BY CASH</t>
        </is>
      </c>
      <c r="H94" s="14" t="str"/>
      <c r="I94" s="14" t="inlineStr">
        <is>
          <t>Receipt</t>
        </is>
      </c>
      <c r="J94" s="43" t="n">
        <v>0</v>
      </c>
      <c r="K94" s="43" t="n">
        <v>273000</v>
      </c>
      <c r="L94" s="43" t="n">
        <v>273000</v>
      </c>
      <c r="M94" s="43" t="n">
        <v>-9390102.640000001</v>
      </c>
      <c r="N94" s="14" t="inlineStr">
        <is>
          <t>Cash; High Transaction; Recurring Transaction</t>
        </is>
      </c>
      <c r="O94" s="14" t="inlineStr">
        <is>
          <t>Yes</t>
        </is>
      </c>
      <c r="P94" s="14" t="inlineStr">
        <is>
          <t>BY CASH BY CASH</t>
        </is>
      </c>
      <c r="Q94" s="14" t="n">
        <v>1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4" t="n">
        <v>46142</v>
      </c>
      <c r="AB94" s="46">
        <f>HYPERLINK("#'Transactions'!A139", "View Source Row")</f>
        <v/>
      </c>
    </row>
    <row r="95">
      <c r="A95" s="14" t="n">
        <v>139</v>
      </c>
      <c r="B95" s="14" t="inlineStr">
        <is>
          <t>273.pdf</t>
        </is>
      </c>
      <c r="C95" s="44" t="n">
        <v>46113</v>
      </c>
      <c r="D95" s="44" t="n">
        <v>46142</v>
      </c>
      <c r="E95" s="44" t="n">
        <v>46142</v>
      </c>
      <c r="F95" s="44" t="n">
        <v>46142</v>
      </c>
      <c r="G95" s="16" t="inlineStr">
        <is>
          <t>EBANK:WIB/1506 EBANK:WIB/1506237357/Edfs</t>
        </is>
      </c>
      <c r="H95" s="14" t="str"/>
      <c r="I95" s="14" t="inlineStr">
        <is>
          <t>Receipt</t>
        </is>
      </c>
      <c r="J95" s="43" t="n">
        <v>0</v>
      </c>
      <c r="K95" s="43" t="n">
        <v>307440.05</v>
      </c>
      <c r="L95" s="43" t="n">
        <v>307440.05</v>
      </c>
      <c r="M95" s="43" t="n">
        <v>-9082662.59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EBANKWIB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4" t="n">
        <v>46142</v>
      </c>
      <c r="AB95" s="46">
        <f>HYPERLINK("#'Transactions'!A140", "View Source Row")</f>
        <v/>
      </c>
    </row>
    <row r="96">
      <c r="A96" s="14" t="n">
        <v>140</v>
      </c>
      <c r="B96" s="14" t="inlineStr">
        <is>
          <t>273.pdf</t>
        </is>
      </c>
      <c r="C96" s="44" t="n">
        <v>46113</v>
      </c>
      <c r="D96" s="44" t="n">
        <v>46142</v>
      </c>
      <c r="E96" s="44" t="n">
        <v>46142</v>
      </c>
      <c r="F96" s="44" t="n">
        <v>46142</v>
      </c>
      <c r="G96" s="16" t="inlineStr">
        <is>
          <t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t>
        </is>
      </c>
      <c r="H96" s="14" t="str"/>
      <c r="I96" s="14" t="inlineStr">
        <is>
          <t>Receipt</t>
        </is>
      </c>
      <c r="J96" s="43" t="n">
        <v>0</v>
      </c>
      <c r="K96" s="43" t="n">
        <v>128623.2</v>
      </c>
      <c r="L96" s="43" t="n">
        <v>128623.2</v>
      </c>
      <c r="M96" s="43" t="n">
        <v>-8954039.390000001</v>
      </c>
      <c r="N96" s="14" t="inlineStr">
        <is>
          <t>High Transaction; Recurring Transaction</t>
        </is>
      </c>
      <c r="O96" s="14" t="inlineStr">
        <is>
          <t>Yes</t>
        </is>
      </c>
      <c r="P96" s="14" t="inlineStr">
        <is>
          <t>EBANKWIB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1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4" t="n">
        <v>46142</v>
      </c>
      <c r="AB96" s="46">
        <f>HYPERLINK("#'Transactions'!A141",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1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Total Receipts and Payments Transactions</t>
        </is>
      </c>
    </row>
    <row r="2">
      <c r="A2" s="33" t="inlineStr">
        <is>
          <t>Rows</t>
        </is>
      </c>
      <c r="B2" s="33" t="n">
        <v>140</v>
      </c>
      <c r="C2" s="33" t="inlineStr">
        <is>
          <t>Match</t>
        </is>
      </c>
      <c r="D2" s="33" t="inlineStr">
        <is>
          <t>All transactions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14" t="n">
        <v>1</v>
      </c>
      <c r="B5" s="14" t="inlineStr">
        <is>
          <t>273.pdf</t>
        </is>
      </c>
      <c r="C5" s="44" t="n">
        <v>46113</v>
      </c>
      <c r="D5" s="44" t="n">
        <v>46142</v>
      </c>
      <c r="E5" s="44" t="n">
        <v>46114</v>
      </c>
      <c r="F5" s="44" t="n">
        <v>46114</v>
      </c>
      <c r="G5" s="16" t="inlineStr">
        <is>
          <t>EBANK:WIB/1502 EBANK:WIB/1502021829/Edfs</t>
        </is>
      </c>
      <c r="H5" s="14" t="str"/>
      <c r="I5" s="14" t="inlineStr">
        <is>
          <t>Receipt</t>
        </is>
      </c>
      <c r="J5" s="43" t="n">
        <v>0</v>
      </c>
      <c r="K5" s="43" t="n">
        <v>681881.6</v>
      </c>
      <c r="L5" s="43" t="n">
        <v>681881.6</v>
      </c>
      <c r="M5" s="43" t="n">
        <v>-9317737.199999999</v>
      </c>
      <c r="N5" s="14" t="inlineStr">
        <is>
          <t>High Transaction; Recurring Transaction</t>
        </is>
      </c>
      <c r="O5" s="14" t="inlineStr">
        <is>
          <t>Yes</t>
        </is>
      </c>
      <c r="P5" s="14" t="inlineStr">
        <is>
          <t>EBANKWIB</t>
        </is>
      </c>
      <c r="Q5" s="14" t="n">
        <v>0</v>
      </c>
      <c r="R5" s="14" t="n">
        <v>1</v>
      </c>
      <c r="S5" s="14" t="n">
        <v>0</v>
      </c>
      <c r="T5" s="14" t="n">
        <v>0</v>
      </c>
      <c r="U5" s="14" t="n">
        <v>1</v>
      </c>
      <c r="V5" s="14" t="n">
        <v>0</v>
      </c>
      <c r="W5" s="14" t="n">
        <v>0</v>
      </c>
      <c r="X5" s="14" t="n">
        <v>0</v>
      </c>
      <c r="Y5" s="14" t="n">
        <v>0</v>
      </c>
      <c r="Z5" s="14" t="n">
        <v>0</v>
      </c>
      <c r="AA5" s="44" t="n">
        <v>46114</v>
      </c>
      <c r="AB5" s="46">
        <f>HYPERLINK("#'Transactions'!A2", "View Source Row")</f>
        <v/>
      </c>
    </row>
    <row r="6">
      <c r="A6" s="14" t="n">
        <v>2</v>
      </c>
      <c r="B6" s="14" t="inlineStr">
        <is>
          <t>273.pdf</t>
        </is>
      </c>
      <c r="C6" s="44" t="n">
        <v>46113</v>
      </c>
      <c r="D6" s="44" t="n">
        <v>46142</v>
      </c>
      <c r="E6" s="44" t="n">
        <v>46114</v>
      </c>
      <c r="F6" s="44" t="n">
        <v>46114</v>
      </c>
      <c r="G6" s="16" t="inlineStr">
        <is>
          <t>AMBATT-CHENNAI INT260319DEAL6205053</t>
        </is>
      </c>
      <c r="H6" s="14" t="str"/>
      <c r="I6" s="14" t="inlineStr">
        <is>
          <t>Payment</t>
        </is>
      </c>
      <c r="J6" s="43" t="n">
        <v>5246.6</v>
      </c>
      <c r="K6" s="43" t="n">
        <v>0</v>
      </c>
      <c r="L6" s="43" t="n">
        <v>5246.6</v>
      </c>
      <c r="M6" s="43" t="n">
        <v>-9322983.800000001</v>
      </c>
      <c r="N6" s="14" t="inlineStr">
        <is>
          <t>Other</t>
        </is>
      </c>
      <c r="O6" s="14" t="inlineStr">
        <is>
          <t>No</t>
        </is>
      </c>
      <c r="P6" s="14" t="inlineStr">
        <is>
          <t>CHENNAI INTDEAL</t>
        </is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44" t="n">
        <v>46114</v>
      </c>
      <c r="AB6" s="46">
        <f>HYPERLINK("#'Transactions'!A3", "View Source Row")</f>
        <v/>
      </c>
    </row>
    <row r="7">
      <c r="A7" s="14" t="n">
        <v>3</v>
      </c>
      <c r="B7" s="14" t="inlineStr">
        <is>
          <t>273.pdf</t>
        </is>
      </c>
      <c r="C7" s="44" t="n">
        <v>46113</v>
      </c>
      <c r="D7" s="44" t="n">
        <v>46142</v>
      </c>
      <c r="E7" s="44" t="n">
        <v>46114</v>
      </c>
      <c r="F7" s="44" t="n">
        <v>46114</v>
      </c>
      <c r="G7" s="16" t="inlineStr">
        <is>
          <t>EBANK:WIB/1502 EBANK:WIB/1502110539/Edfs</t>
        </is>
      </c>
      <c r="H7" s="14" t="str"/>
      <c r="I7" s="14" t="inlineStr">
        <is>
          <t>Receipt</t>
        </is>
      </c>
      <c r="J7" s="43" t="n">
        <v>0</v>
      </c>
      <c r="K7" s="43" t="n">
        <v>248340</v>
      </c>
      <c r="L7" s="43" t="n">
        <v>248340</v>
      </c>
      <c r="M7" s="43" t="n">
        <v>-9074643.800000001</v>
      </c>
      <c r="N7" s="14" t="inlineStr">
        <is>
          <t>High Transaction; Recurring Transaction</t>
        </is>
      </c>
      <c r="O7" s="14" t="inlineStr">
        <is>
          <t>Yes</t>
        </is>
      </c>
      <c r="P7" s="14" t="inlineStr">
        <is>
          <t>EBANKWIB</t>
        </is>
      </c>
      <c r="Q7" s="14" t="n">
        <v>0</v>
      </c>
      <c r="R7" s="14" t="n">
        <v>1</v>
      </c>
      <c r="S7" s="14" t="n">
        <v>0</v>
      </c>
      <c r="T7" s="14" t="n">
        <v>0</v>
      </c>
      <c r="U7" s="14" t="n">
        <v>1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44" t="n">
        <v>46114</v>
      </c>
      <c r="AB7" s="46">
        <f>HYPERLINK("#'Transactions'!A4", "View Source Row")</f>
        <v/>
      </c>
    </row>
    <row r="8">
      <c r="A8" s="14" t="n">
        <v>4</v>
      </c>
      <c r="B8" s="14" t="inlineStr">
        <is>
          <t>273.pdf</t>
        </is>
      </c>
      <c r="C8" s="44" t="n">
        <v>46113</v>
      </c>
      <c r="D8" s="44" t="n">
        <v>46142</v>
      </c>
      <c r="E8" s="44" t="n">
        <v>46114</v>
      </c>
      <c r="F8" s="44" t="n">
        <v>46114</v>
      </c>
      <c r="G8" s="16" t="inlineStr">
        <is>
          <t>BY CASH BY CASH</t>
        </is>
      </c>
      <c r="H8" s="14" t="str"/>
      <c r="I8" s="14" t="inlineStr">
        <is>
          <t>Receipt</t>
        </is>
      </c>
      <c r="J8" s="43" t="n">
        <v>0</v>
      </c>
      <c r="K8" s="43" t="n">
        <v>67500</v>
      </c>
      <c r="L8" s="43" t="n">
        <v>67500</v>
      </c>
      <c r="M8" s="43" t="n">
        <v>-9007143.800000001</v>
      </c>
      <c r="N8" s="14" t="inlineStr">
        <is>
          <t>Cash; Recurring Transaction</t>
        </is>
      </c>
      <c r="O8" s="14" t="inlineStr">
        <is>
          <t>Yes</t>
        </is>
      </c>
      <c r="P8" s="14" t="inlineStr">
        <is>
          <t>BY CASH BY CASH</t>
        </is>
      </c>
      <c r="Q8" s="14" t="n">
        <v>1</v>
      </c>
      <c r="R8" s="14" t="n">
        <v>1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44" t="n">
        <v>46114</v>
      </c>
      <c r="AB8" s="46">
        <f>HYPERLINK("#'Transactions'!A5", "View Source Row")</f>
        <v/>
      </c>
    </row>
    <row r="9">
      <c r="A9" s="14" t="n">
        <v>5</v>
      </c>
      <c r="B9" s="14" t="inlineStr">
        <is>
          <t>273.pdf</t>
        </is>
      </c>
      <c r="C9" s="44" t="n">
        <v>46113</v>
      </c>
      <c r="D9" s="44" t="n">
        <v>46142</v>
      </c>
      <c r="E9" s="44" t="n">
        <v>46114</v>
      </c>
      <c r="F9" s="44" t="n">
        <v>46114</v>
      </c>
      <c r="G9" s="16" t="inlineStr">
        <is>
          <t>VIRARW-THANE/B BY CASH</t>
        </is>
      </c>
      <c r="H9" s="14" t="str"/>
      <c r="I9" s="14" t="inlineStr">
        <is>
          <t>Receipt</t>
        </is>
      </c>
      <c r="J9" s="43" t="n">
        <v>0</v>
      </c>
      <c r="K9" s="43" t="n">
        <v>426000</v>
      </c>
      <c r="L9" s="43" t="n">
        <v>426000</v>
      </c>
      <c r="M9" s="43" t="n">
        <v>-8581143.800000001</v>
      </c>
      <c r="N9" s="14" t="inlineStr">
        <is>
          <t>Cash; High Transaction; Recurring Transaction</t>
        </is>
      </c>
      <c r="O9" s="14" t="inlineStr">
        <is>
          <t>Yes</t>
        </is>
      </c>
      <c r="P9" s="14" t="inlineStr">
        <is>
          <t>B BY CASH</t>
        </is>
      </c>
      <c r="Q9" s="14" t="n">
        <v>1</v>
      </c>
      <c r="R9" s="14" t="n">
        <v>1</v>
      </c>
      <c r="S9" s="14" t="n">
        <v>0</v>
      </c>
      <c r="T9" s="14" t="n">
        <v>0</v>
      </c>
      <c r="U9" s="14" t="n">
        <v>1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44" t="n">
        <v>46114</v>
      </c>
      <c r="AB9" s="46">
        <f>HYPERLINK("#'Transactions'!A6", "View Source Row")</f>
        <v/>
      </c>
    </row>
    <row r="10">
      <c r="A10" s="14" t="n">
        <v>6</v>
      </c>
      <c r="B10" s="14" t="inlineStr">
        <is>
          <t>273.pdf</t>
        </is>
      </c>
      <c r="C10" s="44" t="n">
        <v>46113</v>
      </c>
      <c r="D10" s="44" t="n">
        <v>46142</v>
      </c>
      <c r="E10" s="44" t="n">
        <v>46114</v>
      </c>
      <c r="F10" s="44" t="n">
        <v>46114</v>
      </c>
      <c r="G10" s="16" t="inlineStr">
        <is>
          <t>EBANK:WIB/1502 EBANK:WIB/1502234210/Edfs</t>
        </is>
      </c>
      <c r="H10" s="14" t="str"/>
      <c r="I10" s="14" t="inlineStr">
        <is>
          <t>Receipt</t>
        </is>
      </c>
      <c r="J10" s="43" t="n">
        <v>0</v>
      </c>
      <c r="K10" s="43" t="n">
        <v>791482.5</v>
      </c>
      <c r="L10" s="43" t="n">
        <v>791482.5</v>
      </c>
      <c r="M10" s="43" t="n">
        <v>-7789661.3</v>
      </c>
      <c r="N10" s="14" t="inlineStr">
        <is>
          <t>High Transaction; Recurring Transaction</t>
        </is>
      </c>
      <c r="O10" s="14" t="inlineStr">
        <is>
          <t>Yes</t>
        </is>
      </c>
      <c r="P10" s="14" t="inlineStr">
        <is>
          <t>EBANKWIB</t>
        </is>
      </c>
      <c r="Q10" s="14" t="n">
        <v>0</v>
      </c>
      <c r="R10" s="14" t="n">
        <v>1</v>
      </c>
      <c r="S10" s="14" t="n">
        <v>0</v>
      </c>
      <c r="T10" s="14" t="n">
        <v>0</v>
      </c>
      <c r="U10" s="14" t="n">
        <v>1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44" t="n">
        <v>46114</v>
      </c>
      <c r="AB10" s="46">
        <f>HYPERLINK("#'Transactions'!A7", "View Source Row")</f>
        <v/>
      </c>
    </row>
    <row r="11">
      <c r="A11" s="14" t="n">
        <v>7</v>
      </c>
      <c r="B11" s="14" t="inlineStr">
        <is>
          <t>273.pdf</t>
        </is>
      </c>
      <c r="C11" s="44" t="n">
        <v>46113</v>
      </c>
      <c r="D11" s="44" t="n">
        <v>46142</v>
      </c>
      <c r="E11" s="44" t="n">
        <v>46114</v>
      </c>
      <c r="F11" s="44" t="n">
        <v>46114</v>
      </c>
      <c r="G11" s="16" t="inlineStr">
        <is>
          <t>RTGS-BARBR5202 RTGS-BARBR52026040200930050-HINDUSTAN PETROLEUM CO</t>
        </is>
      </c>
      <c r="H11" s="14" t="str"/>
      <c r="I11" s="14" t="inlineStr">
        <is>
          <t>Payment</t>
        </is>
      </c>
      <c r="J11" s="43" t="n">
        <v>1410247.26</v>
      </c>
      <c r="K11" s="43" t="n">
        <v>0</v>
      </c>
      <c r="L11" s="43" t="n">
        <v>1410247.26</v>
      </c>
      <c r="M11" s="43" t="n">
        <v>-9199908.560000001</v>
      </c>
      <c r="N11" s="14" t="inlineStr">
        <is>
          <t>High Transaction; Recurring Transaction</t>
        </is>
      </c>
      <c r="O11" s="14" t="inlineStr">
        <is>
          <t>Yes</t>
        </is>
      </c>
      <c r="P11" s="14" t="inlineStr">
        <is>
          <t>BARBR RTGS</t>
        </is>
      </c>
      <c r="Q11" s="14" t="n">
        <v>0</v>
      </c>
      <c r="R11" s="14" t="n">
        <v>1</v>
      </c>
      <c r="S11" s="14" t="n">
        <v>0</v>
      </c>
      <c r="T11" s="14" t="n">
        <v>0</v>
      </c>
      <c r="U11" s="14" t="n">
        <v>1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44" t="n">
        <v>46114</v>
      </c>
      <c r="AB11" s="46">
        <f>HYPERLINK("#'Transactions'!A8", "View Source Row")</f>
        <v/>
      </c>
    </row>
    <row r="12">
      <c r="A12" s="14" t="n">
        <v>8</v>
      </c>
      <c r="B12" s="14" t="inlineStr">
        <is>
          <t>273.pdf</t>
        </is>
      </c>
      <c r="C12" s="44" t="n">
        <v>46113</v>
      </c>
      <c r="D12" s="44" t="n">
        <v>46142</v>
      </c>
      <c r="E12" s="44" t="n">
        <v>46115</v>
      </c>
      <c r="F12" s="44" t="n">
        <v>46115</v>
      </c>
      <c r="G12" s="16" t="inlineStr">
        <is>
          <t>EBANK:WIB/1502 EBANK:WIB/1502413595/Edfs</t>
        </is>
      </c>
      <c r="H12" s="14" t="str"/>
      <c r="I12" s="14" t="inlineStr">
        <is>
          <t>Receipt</t>
        </is>
      </c>
      <c r="J12" s="43" t="n">
        <v>0</v>
      </c>
      <c r="K12" s="43" t="n">
        <v>790104.58</v>
      </c>
      <c r="L12" s="43" t="n">
        <v>790104.58</v>
      </c>
      <c r="M12" s="43" t="n">
        <v>-8409803.98</v>
      </c>
      <c r="N12" s="14" t="inlineStr">
        <is>
          <t>High Transaction; Recurring Transaction</t>
        </is>
      </c>
      <c r="O12" s="14" t="inlineStr">
        <is>
          <t>Yes</t>
        </is>
      </c>
      <c r="P12" s="14" t="inlineStr">
        <is>
          <t>EBANKWIB</t>
        </is>
      </c>
      <c r="Q12" s="14" t="n">
        <v>0</v>
      </c>
      <c r="R12" s="14" t="n">
        <v>1</v>
      </c>
      <c r="S12" s="14" t="n">
        <v>0</v>
      </c>
      <c r="T12" s="14" t="n">
        <v>0</v>
      </c>
      <c r="U12" s="14" t="n">
        <v>1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44" t="n">
        <v>46115</v>
      </c>
      <c r="AB12" s="46">
        <f>HYPERLINK("#'Transactions'!A9", "View Source Row")</f>
        <v/>
      </c>
    </row>
    <row r="13">
      <c r="A13" s="14" t="n">
        <v>9</v>
      </c>
      <c r="B13" s="14" t="inlineStr">
        <is>
          <t>273.pdf</t>
        </is>
      </c>
      <c r="C13" s="44" t="n">
        <v>46113</v>
      </c>
      <c r="D13" s="44" t="n">
        <v>46142</v>
      </c>
      <c r="E13" s="44" t="n">
        <v>46116</v>
      </c>
      <c r="F13" s="44" t="n">
        <v>46116</v>
      </c>
      <c r="G13" s="16" t="inlineStr">
        <is>
          <t>0000-MUMBAI/IN INT260322DEAL6217382</t>
        </is>
      </c>
      <c r="H13" s="14" t="str"/>
      <c r="I13" s="14" t="inlineStr">
        <is>
          <t>Payment</t>
        </is>
      </c>
      <c r="J13" s="43" t="n">
        <v>5204.27</v>
      </c>
      <c r="K13" s="43" t="n">
        <v>0</v>
      </c>
      <c r="L13" s="43" t="n">
        <v>5204.27</v>
      </c>
      <c r="M13" s="43" t="n">
        <v>-8415008.25</v>
      </c>
      <c r="N13" s="14" t="inlineStr">
        <is>
          <t>Recurring Transaction</t>
        </is>
      </c>
      <c r="O13" s="14" t="inlineStr">
        <is>
          <t>Yes</t>
        </is>
      </c>
      <c r="P13" s="14" t="inlineStr">
        <is>
          <t>IN INTDEAL</t>
        </is>
      </c>
      <c r="Q13" s="14" t="n">
        <v>0</v>
      </c>
      <c r="R13" s="14" t="n">
        <v>1</v>
      </c>
      <c r="S13" s="14" t="n">
        <v>0</v>
      </c>
      <c r="T13" s="14" t="n">
        <v>0</v>
      </c>
      <c r="U13" s="14" t="n">
        <v>0</v>
      </c>
      <c r="V13" s="14" t="n">
        <v>0</v>
      </c>
      <c r="W13" s="14" t="n">
        <v>0</v>
      </c>
      <c r="X13" s="14" t="n">
        <v>0</v>
      </c>
      <c r="Y13" s="14" t="n">
        <v>0</v>
      </c>
      <c r="Z13" s="14" t="n">
        <v>0</v>
      </c>
      <c r="AA13" s="44" t="n">
        <v>46116</v>
      </c>
      <c r="AB13" s="46">
        <f>HYPERLINK("#'Transactions'!A10", "View Source Row")</f>
        <v/>
      </c>
    </row>
    <row r="14">
      <c r="A14" s="14" t="n">
        <v>10</v>
      </c>
      <c r="B14" s="14" t="inlineStr">
        <is>
          <t>273.pdf</t>
        </is>
      </c>
      <c r="C14" s="44" t="n">
        <v>46113</v>
      </c>
      <c r="D14" s="44" t="n">
        <v>46142</v>
      </c>
      <c r="E14" s="44" t="n">
        <v>46116</v>
      </c>
      <c r="F14" s="44" t="n">
        <v>46116</v>
      </c>
      <c r="G14" s="16" t="inlineStr">
        <is>
          <t>MOGHBS-MOGHALS INT260323DEAL6218681</t>
        </is>
      </c>
      <c r="H14" s="14" t="str"/>
      <c r="I14" s="14" t="inlineStr">
        <is>
          <t>Payment</t>
        </is>
      </c>
      <c r="J14" s="43" t="n">
        <v>54.45</v>
      </c>
      <c r="K14" s="43" t="n">
        <v>0</v>
      </c>
      <c r="L14" s="43" t="n">
        <v>54.45</v>
      </c>
      <c r="M14" s="43" t="n">
        <v>-8415062.699999999</v>
      </c>
      <c r="N14" s="14" t="inlineStr">
        <is>
          <t>Other</t>
        </is>
      </c>
      <c r="O14" s="14" t="inlineStr">
        <is>
          <t>No</t>
        </is>
      </c>
      <c r="P14" s="14" t="inlineStr">
        <is>
          <t>MOGHALS INTDEAL</t>
        </is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44" t="n">
        <v>46116</v>
      </c>
      <c r="AB14" s="46">
        <f>HYPERLINK("#'Transactions'!A11", "View Source Row")</f>
        <v/>
      </c>
    </row>
    <row r="15">
      <c r="A15" s="14" t="n">
        <v>11</v>
      </c>
      <c r="B15" s="14" t="inlineStr">
        <is>
          <t>273.pdf</t>
        </is>
      </c>
      <c r="C15" s="44" t="n">
        <v>46113</v>
      </c>
      <c r="D15" s="44" t="n">
        <v>46142</v>
      </c>
      <c r="E15" s="44" t="n">
        <v>46116</v>
      </c>
      <c r="F15" s="44" t="n">
        <v>46116</v>
      </c>
      <c r="G15" s="16" t="inlineStr">
        <is>
          <t>EBANK:WIB/1502 EBANK:WIB/1502423934/Edfs</t>
        </is>
      </c>
      <c r="H15" s="14" t="str"/>
      <c r="I15" s="14" t="inlineStr">
        <is>
          <t>Receipt</t>
        </is>
      </c>
      <c r="J15" s="43" t="n">
        <v>0</v>
      </c>
      <c r="K15" s="43" t="n">
        <v>240091</v>
      </c>
      <c r="L15" s="43" t="n">
        <v>240091</v>
      </c>
      <c r="M15" s="43" t="n">
        <v>-8174971.7</v>
      </c>
      <c r="N15" s="14" t="inlineStr">
        <is>
          <t>High Transaction; Recurring Transaction</t>
        </is>
      </c>
      <c r="O15" s="14" t="inlineStr">
        <is>
          <t>Yes</t>
        </is>
      </c>
      <c r="P15" s="14" t="inlineStr">
        <is>
          <t>EBANKWIB</t>
        </is>
      </c>
      <c r="Q15" s="14" t="n">
        <v>0</v>
      </c>
      <c r="R15" s="14" t="n">
        <v>1</v>
      </c>
      <c r="S15" s="14" t="n">
        <v>0</v>
      </c>
      <c r="T15" s="14" t="n">
        <v>0</v>
      </c>
      <c r="U15" s="14" t="n">
        <v>1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44" t="n">
        <v>46116</v>
      </c>
      <c r="AB15" s="46">
        <f>HYPERLINK("#'Transactions'!A12", "View Source Row")</f>
        <v/>
      </c>
    </row>
    <row r="16">
      <c r="A16" s="14" t="n">
        <v>12</v>
      </c>
      <c r="B16" s="14" t="inlineStr">
        <is>
          <t>273.pdf</t>
        </is>
      </c>
      <c r="C16" s="44" t="n">
        <v>46113</v>
      </c>
      <c r="D16" s="44" t="n">
        <v>46142</v>
      </c>
      <c r="E16" s="44" t="n">
        <v>46116</v>
      </c>
      <c r="F16" s="44" t="n">
        <v>46116</v>
      </c>
      <c r="G16" s="16" t="inlineStr">
        <is>
          <t>BY CASH BY CASH</t>
        </is>
      </c>
      <c r="H16" s="14" t="str"/>
      <c r="I16" s="14" t="inlineStr">
        <is>
          <t>Receipt</t>
        </is>
      </c>
      <c r="J16" s="43" t="n">
        <v>0</v>
      </c>
      <c r="K16" s="43" t="n">
        <v>423500</v>
      </c>
      <c r="L16" s="43" t="n">
        <v>423500</v>
      </c>
      <c r="M16" s="43" t="n">
        <v>-7751471.7</v>
      </c>
      <c r="N16" s="14" t="inlineStr">
        <is>
          <t>Cash; High Transaction; Recurring Transaction</t>
        </is>
      </c>
      <c r="O16" s="14" t="inlineStr">
        <is>
          <t>Yes</t>
        </is>
      </c>
      <c r="P16" s="14" t="inlineStr">
        <is>
          <t>BY CASH BY CASH</t>
        </is>
      </c>
      <c r="Q16" s="14" t="n">
        <v>1</v>
      </c>
      <c r="R16" s="14" t="n">
        <v>1</v>
      </c>
      <c r="S16" s="14" t="n">
        <v>0</v>
      </c>
      <c r="T16" s="14" t="n">
        <v>0</v>
      </c>
      <c r="U16" s="14" t="n">
        <v>1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44" t="n">
        <v>46116</v>
      </c>
      <c r="AB16" s="46">
        <f>HYPERLINK("#'Transactions'!A13", "View Source Row")</f>
        <v/>
      </c>
    </row>
    <row r="17">
      <c r="A17" s="14" t="n">
        <v>13</v>
      </c>
      <c r="B17" s="14" t="inlineStr">
        <is>
          <t>273.pdf</t>
        </is>
      </c>
      <c r="C17" s="44" t="n">
        <v>46113</v>
      </c>
      <c r="D17" s="44" t="n">
        <v>46142</v>
      </c>
      <c r="E17" s="44" t="n">
        <v>46116</v>
      </c>
      <c r="F17" s="44" t="n">
        <v>46116</v>
      </c>
      <c r="G17" s="16" t="inlineStr">
        <is>
          <t>EBANK:WIB/1502 ---------------------------------------------------------------------------------------------------------------------------------- Page Total: 14,20,752.58 37,89,230.05 76,31,141.33Dr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7" s="14" t="str"/>
      <c r="I17" s="14" t="inlineStr">
        <is>
          <t>Receipt</t>
        </is>
      </c>
      <c r="J17" s="43" t="n">
        <v>0</v>
      </c>
      <c r="K17" s="43" t="n">
        <v>120330.37</v>
      </c>
      <c r="L17" s="43" t="n">
        <v>120330.37</v>
      </c>
      <c r="M17" s="43" t="n">
        <v>-7631141.33</v>
      </c>
      <c r="N17" s="14" t="inlineStr">
        <is>
          <t>High Transaction; Recurring Transaction</t>
        </is>
      </c>
      <c r="O17" s="14" t="inlineStr">
        <is>
          <t>Yes</t>
        </is>
      </c>
      <c r="P17" s="14" t="inlineStr">
        <is>
          <t>EBANKWIB</t>
        </is>
      </c>
      <c r="Q17" s="14" t="n">
        <v>0</v>
      </c>
      <c r="R17" s="14" t="n">
        <v>1</v>
      </c>
      <c r="S17" s="14" t="n">
        <v>0</v>
      </c>
      <c r="T17" s="14" t="n">
        <v>0</v>
      </c>
      <c r="U17" s="14" t="n">
        <v>1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44" t="n">
        <v>46116</v>
      </c>
      <c r="AB17" s="46">
        <f>HYPERLINK("#'Transactions'!A14", "View Source Row")</f>
        <v/>
      </c>
    </row>
    <row r="18">
      <c r="A18" s="14" t="n">
        <v>14</v>
      </c>
      <c r="B18" s="14" t="inlineStr">
        <is>
          <t>273.pdf</t>
        </is>
      </c>
      <c r="C18" s="44" t="n">
        <v>46113</v>
      </c>
      <c r="D18" s="44" t="n">
        <v>46142</v>
      </c>
      <c r="E18" s="44" t="n">
        <v>46116</v>
      </c>
      <c r="F18" s="44" t="n">
        <v>46116</v>
      </c>
      <c r="G18" s="16" t="inlineStr">
        <is>
          <t>RTGS-BARBR5202 RTGS-BARBR52026040400789528-HINDUSTAN PETROLEUM CO</t>
        </is>
      </c>
      <c r="H18" s="14" t="str"/>
      <c r="I18" s="14" t="inlineStr">
        <is>
          <t>Payment</t>
        </is>
      </c>
      <c r="J18" s="43" t="n">
        <v>1854884.36</v>
      </c>
      <c r="K18" s="43" t="n">
        <v>0</v>
      </c>
      <c r="L18" s="43" t="n">
        <v>1854884.36</v>
      </c>
      <c r="M18" s="43" t="n">
        <v>-9486025.689999999</v>
      </c>
      <c r="N18" s="14" t="inlineStr">
        <is>
          <t>High Transaction; Recurring Transaction</t>
        </is>
      </c>
      <c r="O18" s="14" t="inlineStr">
        <is>
          <t>Yes</t>
        </is>
      </c>
      <c r="P18" s="14" t="inlineStr">
        <is>
          <t>BARBR RTGS</t>
        </is>
      </c>
      <c r="Q18" s="14" t="n">
        <v>0</v>
      </c>
      <c r="R18" s="14" t="n">
        <v>1</v>
      </c>
      <c r="S18" s="14" t="n">
        <v>0</v>
      </c>
      <c r="T18" s="14" t="n">
        <v>0</v>
      </c>
      <c r="U18" s="14" t="n">
        <v>1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44" t="n">
        <v>46116</v>
      </c>
      <c r="AB18" s="46">
        <f>HYPERLINK("#'Transactions'!A15", "View Source Row")</f>
        <v/>
      </c>
    </row>
    <row r="19">
      <c r="A19" s="14" t="n">
        <v>15</v>
      </c>
      <c r="B19" s="14" t="inlineStr">
        <is>
          <t>273.pdf</t>
        </is>
      </c>
      <c r="C19" s="44" t="n">
        <v>46113</v>
      </c>
      <c r="D19" s="44" t="n">
        <v>46142</v>
      </c>
      <c r="E19" s="44" t="n">
        <v>46117</v>
      </c>
      <c r="F19" s="44" t="n">
        <v>46117</v>
      </c>
      <c r="G19" s="16" t="inlineStr">
        <is>
          <t>EBANK:WIB/1502 EBANK:WIB/1502577386/Edfs</t>
        </is>
      </c>
      <c r="H19" s="14" t="str"/>
      <c r="I19" s="14" t="inlineStr">
        <is>
          <t>Receipt</t>
        </is>
      </c>
      <c r="J19" s="43" t="n">
        <v>0</v>
      </c>
      <c r="K19" s="43" t="n">
        <v>300403.36</v>
      </c>
      <c r="L19" s="43" t="n">
        <v>300403.36</v>
      </c>
      <c r="M19" s="43" t="n">
        <v>-9185622.33</v>
      </c>
      <c r="N19" s="14" t="inlineStr">
        <is>
          <t>High Transaction; Recurring Transaction</t>
        </is>
      </c>
      <c r="O19" s="14" t="inlineStr">
        <is>
          <t>Yes</t>
        </is>
      </c>
      <c r="P19" s="14" t="inlineStr">
        <is>
          <t>EBANKWIB</t>
        </is>
      </c>
      <c r="Q19" s="14" t="n">
        <v>0</v>
      </c>
      <c r="R19" s="14" t="n">
        <v>1</v>
      </c>
      <c r="S19" s="14" t="n">
        <v>0</v>
      </c>
      <c r="T19" s="14" t="n">
        <v>0</v>
      </c>
      <c r="U19" s="14" t="n">
        <v>1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44" t="n">
        <v>46117</v>
      </c>
      <c r="AB19" s="46">
        <f>HYPERLINK("#'Transactions'!A16", "View Source Row")</f>
        <v/>
      </c>
    </row>
    <row r="20">
      <c r="A20" s="14" t="n">
        <v>16</v>
      </c>
      <c r="B20" s="14" t="inlineStr">
        <is>
          <t>273.pdf</t>
        </is>
      </c>
      <c r="C20" s="44" t="n">
        <v>46113</v>
      </c>
      <c r="D20" s="44" t="n">
        <v>46142</v>
      </c>
      <c r="E20" s="44" t="n">
        <v>46118</v>
      </c>
      <c r="F20" s="44" t="n">
        <v>46118</v>
      </c>
      <c r="G20" s="16" t="inlineStr">
        <is>
          <t>EBANK:WIB/1502 https://cbdrpt101.bankofbaroda.co.in:22000/finbranch/arjspmorph/INFENG/tran_rpt.jsp?... 04-05-2026 EBANK:WIB/1502642025/Edfs</t>
        </is>
      </c>
      <c r="H20" s="14" t="str"/>
      <c r="I20" s="14" t="inlineStr">
        <is>
          <t>Receipt</t>
        </is>
      </c>
      <c r="J20" s="43" t="n">
        <v>0</v>
      </c>
      <c r="K20" s="43" t="n">
        <v>365780.21</v>
      </c>
      <c r="L20" s="43" t="n">
        <v>365780.21</v>
      </c>
      <c r="M20" s="43" t="n">
        <v>-8819842.119999999</v>
      </c>
      <c r="N20" s="14" t="inlineStr">
        <is>
          <t>High Transaction; Recurring Transaction</t>
        </is>
      </c>
      <c r="O20" s="14" t="inlineStr">
        <is>
          <t>Yes</t>
        </is>
      </c>
      <c r="P20" s="14" t="inlineStr">
        <is>
          <t>EBANKWIB</t>
        </is>
      </c>
      <c r="Q20" s="14" t="n">
        <v>0</v>
      </c>
      <c r="R20" s="14" t="n">
        <v>1</v>
      </c>
      <c r="S20" s="14" t="n">
        <v>0</v>
      </c>
      <c r="T20" s="14" t="n">
        <v>0</v>
      </c>
      <c r="U20" s="14" t="n">
        <v>1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44" t="n">
        <v>46118</v>
      </c>
      <c r="AB20" s="46">
        <f>HYPERLINK("#'Transactions'!A17", "View Source Row")</f>
        <v/>
      </c>
    </row>
    <row r="21">
      <c r="A21" s="14" t="n">
        <v>17</v>
      </c>
      <c r="B21" s="14" t="inlineStr">
        <is>
          <t>273.pdf</t>
        </is>
      </c>
      <c r="C21" s="44" t="n">
        <v>46113</v>
      </c>
      <c r="D21" s="44" t="n">
        <v>46142</v>
      </c>
      <c r="E21" s="44" t="n">
        <v>46118</v>
      </c>
      <c r="F21" s="44" t="n">
        <v>46118</v>
      </c>
      <c r="G21" s="16" t="inlineStr">
        <is>
          <t>BY CASH BY CASH</t>
        </is>
      </c>
      <c r="H21" s="14" t="str"/>
      <c r="I21" s="14" t="inlineStr">
        <is>
          <t>Receipt</t>
        </is>
      </c>
      <c r="J21" s="43" t="n">
        <v>0</v>
      </c>
      <c r="K21" s="43" t="n">
        <v>273000</v>
      </c>
      <c r="L21" s="43" t="n">
        <v>273000</v>
      </c>
      <c r="M21" s="43" t="n">
        <v>-8546842.119999999</v>
      </c>
      <c r="N21" s="14" t="inlineStr">
        <is>
          <t>Cash; High Transaction; Recurring Transaction</t>
        </is>
      </c>
      <c r="O21" s="14" t="inlineStr">
        <is>
          <t>Yes</t>
        </is>
      </c>
      <c r="P21" s="14" t="inlineStr">
        <is>
          <t>BY CASH BY CASH</t>
        </is>
      </c>
      <c r="Q21" s="14" t="n">
        <v>1</v>
      </c>
      <c r="R21" s="14" t="n">
        <v>1</v>
      </c>
      <c r="S21" s="14" t="n">
        <v>0</v>
      </c>
      <c r="T21" s="14" t="n">
        <v>0</v>
      </c>
      <c r="U21" s="14" t="n">
        <v>1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44" t="n">
        <v>46118</v>
      </c>
      <c r="AB21" s="46">
        <f>HYPERLINK("#'Transactions'!A18", "View Source Row")</f>
        <v/>
      </c>
    </row>
    <row r="22">
      <c r="A22" s="14" t="n">
        <v>18</v>
      </c>
      <c r="B22" s="14" t="inlineStr">
        <is>
          <t>273.pdf</t>
        </is>
      </c>
      <c r="C22" s="44" t="n">
        <v>46113</v>
      </c>
      <c r="D22" s="44" t="n">
        <v>46142</v>
      </c>
      <c r="E22" s="44" t="n">
        <v>46118</v>
      </c>
      <c r="F22" s="44" t="n">
        <v>46118</v>
      </c>
      <c r="G22" s="16" t="inlineStr">
        <is>
          <t>EBANK:WIB/1502 EBANK:WIB/1502790855/Edfs</t>
        </is>
      </c>
      <c r="H22" s="14" t="str"/>
      <c r="I22" s="14" t="inlineStr">
        <is>
          <t>Receipt</t>
        </is>
      </c>
      <c r="J22" s="43" t="n">
        <v>0</v>
      </c>
      <c r="K22" s="43" t="n">
        <v>198114</v>
      </c>
      <c r="L22" s="43" t="n">
        <v>198114</v>
      </c>
      <c r="M22" s="43" t="n">
        <v>-8348728.12</v>
      </c>
      <c r="N22" s="14" t="inlineStr">
        <is>
          <t>High Transaction; Recurring Transaction</t>
        </is>
      </c>
      <c r="O22" s="14" t="inlineStr">
        <is>
          <t>Yes</t>
        </is>
      </c>
      <c r="P22" s="14" t="inlineStr">
        <is>
          <t>EBANKWIB</t>
        </is>
      </c>
      <c r="Q22" s="14" t="n">
        <v>0</v>
      </c>
      <c r="R22" s="14" t="n">
        <v>1</v>
      </c>
      <c r="S22" s="14" t="n">
        <v>0</v>
      </c>
      <c r="T22" s="14" t="n">
        <v>0</v>
      </c>
      <c r="U22" s="14" t="n">
        <v>1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44" t="n">
        <v>46118</v>
      </c>
      <c r="AB22" s="46">
        <f>HYPERLINK("#'Transactions'!A19", "View Source Row")</f>
        <v/>
      </c>
    </row>
    <row r="23">
      <c r="A23" s="14" t="n">
        <v>19</v>
      </c>
      <c r="B23" s="14" t="inlineStr">
        <is>
          <t>273.pdf</t>
        </is>
      </c>
      <c r="C23" s="44" t="n">
        <v>46113</v>
      </c>
      <c r="D23" s="44" t="n">
        <v>46142</v>
      </c>
      <c r="E23" s="44" t="n">
        <v>46118</v>
      </c>
      <c r="F23" s="44" t="n">
        <v>46118</v>
      </c>
      <c r="G23" s="16" t="inlineStr">
        <is>
          <t>BASGUR-GURGAON INT260324DEAL6234708</t>
        </is>
      </c>
      <c r="H23" s="14" t="str"/>
      <c r="I23" s="14" t="inlineStr">
        <is>
          <t>Payment</t>
        </is>
      </c>
      <c r="J23" s="43" t="n">
        <v>5732.4</v>
      </c>
      <c r="K23" s="43" t="n">
        <v>0</v>
      </c>
      <c r="L23" s="43" t="n">
        <v>5732.4</v>
      </c>
      <c r="M23" s="43" t="n">
        <v>-8354460.52</v>
      </c>
      <c r="N23" s="14" t="inlineStr">
        <is>
          <t>Other</t>
        </is>
      </c>
      <c r="O23" s="14" t="inlineStr">
        <is>
          <t>No</t>
        </is>
      </c>
      <c r="P23" s="14" t="inlineStr">
        <is>
          <t>GURGAON INTDEAL</t>
        </is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44" t="n">
        <v>46118</v>
      </c>
      <c r="AB23" s="46">
        <f>HYPERLINK("#'Transactions'!A20", "View Source Row")</f>
        <v/>
      </c>
    </row>
    <row r="24">
      <c r="A24" s="14" t="n">
        <v>20</v>
      </c>
      <c r="B24" s="14" t="inlineStr">
        <is>
          <t>273.pdf</t>
        </is>
      </c>
      <c r="C24" s="44" t="n">
        <v>46113</v>
      </c>
      <c r="D24" s="44" t="n">
        <v>46142</v>
      </c>
      <c r="E24" s="44" t="n">
        <v>46119</v>
      </c>
      <c r="F24" s="44" t="n">
        <v>46119</v>
      </c>
      <c r="G24" s="16" t="inlineStr">
        <is>
          <t>EBANK:WIB/1502 EBANK:WIB/1502821939/Edfs</t>
        </is>
      </c>
      <c r="H24" s="14" t="str"/>
      <c r="I24" s="14" t="inlineStr">
        <is>
          <t>Receipt</t>
        </is>
      </c>
      <c r="J24" s="43" t="n">
        <v>0</v>
      </c>
      <c r="K24" s="43" t="n">
        <v>330493.07</v>
      </c>
      <c r="L24" s="43" t="n">
        <v>330493.07</v>
      </c>
      <c r="M24" s="43" t="n">
        <v>-8023967.45</v>
      </c>
      <c r="N24" s="14" t="inlineStr">
        <is>
          <t>High Transaction; Recurring Transaction</t>
        </is>
      </c>
      <c r="O24" s="14" t="inlineStr">
        <is>
          <t>Yes</t>
        </is>
      </c>
      <c r="P24" s="14" t="inlineStr">
        <is>
          <t>EBANKWIB</t>
        </is>
      </c>
      <c r="Q24" s="14" t="n">
        <v>0</v>
      </c>
      <c r="R24" s="14" t="n">
        <v>1</v>
      </c>
      <c r="S24" s="14" t="n">
        <v>0</v>
      </c>
      <c r="T24" s="14" t="n">
        <v>0</v>
      </c>
      <c r="U24" s="14" t="n">
        <v>1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44" t="n">
        <v>46119</v>
      </c>
      <c r="AB24" s="46">
        <f>HYPERLINK("#'Transactions'!A21", "View Source Row")</f>
        <v/>
      </c>
    </row>
    <row r="25">
      <c r="A25" s="14" t="n">
        <v>21</v>
      </c>
      <c r="B25" s="14" t="inlineStr">
        <is>
          <t>273.pdf</t>
        </is>
      </c>
      <c r="C25" s="44" t="n">
        <v>46113</v>
      </c>
      <c r="D25" s="44" t="n">
        <v>46142</v>
      </c>
      <c r="E25" s="44" t="n">
        <v>46119</v>
      </c>
      <c r="F25" s="44" t="n">
        <v>46119</v>
      </c>
      <c r="G25" s="16" t="inlineStr">
        <is>
          <t>EBANK:WIB/1502 EBANK:WIB/1502986421/Edfs</t>
        </is>
      </c>
      <c r="H25" s="14" t="str"/>
      <c r="I25" s="14" t="inlineStr">
        <is>
          <t>Receipt</t>
        </is>
      </c>
      <c r="J25" s="43" t="n">
        <v>0</v>
      </c>
      <c r="K25" s="43" t="n">
        <v>137582.35</v>
      </c>
      <c r="L25" s="43" t="n">
        <v>137582.35</v>
      </c>
      <c r="M25" s="43" t="n">
        <v>-7886385.1</v>
      </c>
      <c r="N25" s="14" t="inlineStr">
        <is>
          <t>High Transaction; Recurring Transaction</t>
        </is>
      </c>
      <c r="O25" s="14" t="inlineStr">
        <is>
          <t>Yes</t>
        </is>
      </c>
      <c r="P25" s="14" t="inlineStr">
        <is>
          <t>EBANKWIB</t>
        </is>
      </c>
      <c r="Q25" s="14" t="n">
        <v>0</v>
      </c>
      <c r="R25" s="14" t="n">
        <v>1</v>
      </c>
      <c r="S25" s="14" t="n">
        <v>0</v>
      </c>
      <c r="T25" s="14" t="n">
        <v>0</v>
      </c>
      <c r="U25" s="14" t="n">
        <v>1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44" t="n">
        <v>46119</v>
      </c>
      <c r="AB25" s="46">
        <f>HYPERLINK("#'Transactions'!A22", "View Source Row")</f>
        <v/>
      </c>
    </row>
    <row r="26">
      <c r="A26" s="14" t="n">
        <v>22</v>
      </c>
      <c r="B26" s="14" t="inlineStr">
        <is>
          <t>273.pdf</t>
        </is>
      </c>
      <c r="C26" s="44" t="n">
        <v>46113</v>
      </c>
      <c r="D26" s="44" t="n">
        <v>46142</v>
      </c>
      <c r="E26" s="44" t="n">
        <v>46119</v>
      </c>
      <c r="F26" s="44" t="n">
        <v>46119</v>
      </c>
      <c r="G26" s="16" t="inlineStr">
        <is>
          <t>RTGS-BARBR5202 RTGS-BARBR52026040700945156-HINDUSTAN PETROLEUM CO</t>
        </is>
      </c>
      <c r="H26" s="14" t="str"/>
      <c r="I26" s="14" t="inlineStr">
        <is>
          <t>Payment</t>
        </is>
      </c>
      <c r="J26" s="43" t="n">
        <v>1902609.28</v>
      </c>
      <c r="K26" s="43" t="n">
        <v>0</v>
      </c>
      <c r="L26" s="43" t="n">
        <v>1902609.28</v>
      </c>
      <c r="M26" s="43" t="n">
        <v>-9788994.380000001</v>
      </c>
      <c r="N26" s="14" t="inlineStr">
        <is>
          <t>High Transaction; Recurring Transaction</t>
        </is>
      </c>
      <c r="O26" s="14" t="inlineStr">
        <is>
          <t>Yes</t>
        </is>
      </c>
      <c r="P26" s="14" t="inlineStr">
        <is>
          <t>BARBR RTGS</t>
        </is>
      </c>
      <c r="Q26" s="14" t="n">
        <v>0</v>
      </c>
      <c r="R26" s="14" t="n">
        <v>1</v>
      </c>
      <c r="S26" s="14" t="n">
        <v>0</v>
      </c>
      <c r="T26" s="14" t="n">
        <v>0</v>
      </c>
      <c r="U26" s="14" t="n">
        <v>1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44" t="n">
        <v>46119</v>
      </c>
      <c r="AB26" s="46">
        <f>HYPERLINK("#'Transactions'!A23", "View Source Row")</f>
        <v/>
      </c>
    </row>
    <row r="27">
      <c r="A27" s="14" t="n">
        <v>23</v>
      </c>
      <c r="B27" s="14" t="inlineStr">
        <is>
          <t>273.pdf</t>
        </is>
      </c>
      <c r="C27" s="44" t="n">
        <v>46113</v>
      </c>
      <c r="D27" s="44" t="n">
        <v>46142</v>
      </c>
      <c r="E27" s="44" t="n">
        <v>46120</v>
      </c>
      <c r="F27" s="44" t="n">
        <v>46120</v>
      </c>
      <c r="G27" s="16" t="inlineStr">
        <is>
          <t>EBANK:WIB/1503 EBANK:WIB/1503050809/Edfs</t>
        </is>
      </c>
      <c r="H27" s="14" t="str"/>
      <c r="I27" s="14" t="inlineStr">
        <is>
          <t>Receipt</t>
        </is>
      </c>
      <c r="J27" s="43" t="n">
        <v>0</v>
      </c>
      <c r="K27" s="43" t="n">
        <v>381113</v>
      </c>
      <c r="L27" s="43" t="n">
        <v>381113</v>
      </c>
      <c r="M27" s="43" t="n">
        <v>-9407881.380000001</v>
      </c>
      <c r="N27" s="14" t="inlineStr">
        <is>
          <t>High Transaction; Recurring Transaction</t>
        </is>
      </c>
      <c r="O27" s="14" t="inlineStr">
        <is>
          <t>Yes</t>
        </is>
      </c>
      <c r="P27" s="14" t="inlineStr">
        <is>
          <t>EBANKWIB</t>
        </is>
      </c>
      <c r="Q27" s="14" t="n">
        <v>0</v>
      </c>
      <c r="R27" s="14" t="n">
        <v>1</v>
      </c>
      <c r="S27" s="14" t="n">
        <v>0</v>
      </c>
      <c r="T27" s="14" t="n">
        <v>0</v>
      </c>
      <c r="U27" s="14" t="n">
        <v>1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44" t="n">
        <v>46120</v>
      </c>
      <c r="AB27" s="46">
        <f>HYPERLINK("#'Transactions'!A24", "View Source Row")</f>
        <v/>
      </c>
    </row>
    <row r="28">
      <c r="A28" s="14" t="n">
        <v>24</v>
      </c>
      <c r="B28" s="14" t="inlineStr">
        <is>
          <t>273.pdf</t>
        </is>
      </c>
      <c r="C28" s="44" t="n">
        <v>46113</v>
      </c>
      <c r="D28" s="44" t="n">
        <v>46142</v>
      </c>
      <c r="E28" s="44" t="n">
        <v>46120</v>
      </c>
      <c r="F28" s="44" t="n">
        <v>46120</v>
      </c>
      <c r="G28" s="16" t="inlineStr">
        <is>
          <t>BY CASH BY CASH</t>
        </is>
      </c>
      <c r="H28" s="14" t="str"/>
      <c r="I28" s="14" t="inlineStr">
        <is>
          <t>Receipt</t>
        </is>
      </c>
      <c r="J28" s="43" t="n">
        <v>0</v>
      </c>
      <c r="K28" s="43" t="n">
        <v>115000</v>
      </c>
      <c r="L28" s="43" t="n">
        <v>115000</v>
      </c>
      <c r="M28" s="43" t="n">
        <v>-9292881.380000001</v>
      </c>
      <c r="N28" s="14" t="inlineStr">
        <is>
          <t>Cash; High Transaction; Recurring Transaction</t>
        </is>
      </c>
      <c r="O28" s="14" t="inlineStr">
        <is>
          <t>Yes</t>
        </is>
      </c>
      <c r="P28" s="14" t="inlineStr">
        <is>
          <t>BY CASH BY CASH</t>
        </is>
      </c>
      <c r="Q28" s="14" t="n">
        <v>1</v>
      </c>
      <c r="R28" s="14" t="n">
        <v>1</v>
      </c>
      <c r="S28" s="14" t="n">
        <v>0</v>
      </c>
      <c r="T28" s="14" t="n">
        <v>0</v>
      </c>
      <c r="U28" s="14" t="n">
        <v>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44" t="n">
        <v>46120</v>
      </c>
      <c r="AB28" s="46">
        <f>HYPERLINK("#'Transactions'!A25", "View Source Row")</f>
        <v/>
      </c>
    </row>
    <row r="29">
      <c r="A29" s="14" t="n">
        <v>25</v>
      </c>
      <c r="B29" s="14" t="inlineStr">
        <is>
          <t>273.pdf</t>
        </is>
      </c>
      <c r="C29" s="44" t="n">
        <v>46113</v>
      </c>
      <c r="D29" s="44" t="n">
        <v>46142</v>
      </c>
      <c r="E29" s="44" t="n">
        <v>46120</v>
      </c>
      <c r="F29" s="44" t="n">
        <v>46120</v>
      </c>
      <c r="G29" s="16" t="inlineStr">
        <is>
          <t>EBANK:WIB/1503 EBANK:WIB/1503170712/Edfs</t>
        </is>
      </c>
      <c r="H29" s="14" t="str"/>
      <c r="I29" s="14" t="inlineStr">
        <is>
          <t>Receipt</t>
        </is>
      </c>
      <c r="J29" s="43" t="n">
        <v>0</v>
      </c>
      <c r="K29" s="43" t="n">
        <v>108620</v>
      </c>
      <c r="L29" s="43" t="n">
        <v>108620</v>
      </c>
      <c r="M29" s="43" t="n">
        <v>-9184261.380000001</v>
      </c>
      <c r="N29" s="14" t="inlineStr">
        <is>
          <t>High Transaction; Recurring Transaction</t>
        </is>
      </c>
      <c r="O29" s="14" t="inlineStr">
        <is>
          <t>Yes</t>
        </is>
      </c>
      <c r="P29" s="14" t="inlineStr">
        <is>
          <t>EBANKWIB</t>
        </is>
      </c>
      <c r="Q29" s="14" t="n">
        <v>0</v>
      </c>
      <c r="R29" s="14" t="n">
        <v>1</v>
      </c>
      <c r="S29" s="14" t="n">
        <v>0</v>
      </c>
      <c r="T29" s="14" t="n">
        <v>0</v>
      </c>
      <c r="U29" s="14" t="n">
        <v>1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44" t="n">
        <v>46120</v>
      </c>
      <c r="AB29" s="46">
        <f>HYPERLINK("#'Transactions'!A26", "View Source Row")</f>
        <v/>
      </c>
    </row>
    <row r="30">
      <c r="A30" s="14" t="n">
        <v>26</v>
      </c>
      <c r="B30" s="14" t="inlineStr">
        <is>
          <t>273.pdf</t>
        </is>
      </c>
      <c r="C30" s="44" t="n">
        <v>46113</v>
      </c>
      <c r="D30" s="44" t="n">
        <v>46142</v>
      </c>
      <c r="E30" s="44" t="n">
        <v>46121</v>
      </c>
      <c r="F30" s="44" t="n">
        <v>46121</v>
      </c>
      <c r="G30" s="16" t="inlineStr">
        <is>
          <t>0000-MUMBAI/IN INT260325DEAL6242558</t>
        </is>
      </c>
      <c r="H30" s="14" t="str"/>
      <c r="I30" s="14" t="inlineStr">
        <is>
          <t>Payment</t>
        </is>
      </c>
      <c r="J30" s="43" t="n">
        <v>5694.93</v>
      </c>
      <c r="K30" s="43" t="n">
        <v>0</v>
      </c>
      <c r="L30" s="43" t="n">
        <v>5694.93</v>
      </c>
      <c r="M30" s="43" t="n">
        <v>-9189956.310000001</v>
      </c>
      <c r="N30" s="14" t="inlineStr">
        <is>
          <t>Recurring Transaction</t>
        </is>
      </c>
      <c r="O30" s="14" t="inlineStr">
        <is>
          <t>Yes</t>
        </is>
      </c>
      <c r="P30" s="14" t="inlineStr">
        <is>
          <t>IN INTDEAL</t>
        </is>
      </c>
      <c r="Q30" s="14" t="n">
        <v>0</v>
      </c>
      <c r="R30" s="14" t="n">
        <v>1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44" t="n">
        <v>46121</v>
      </c>
      <c r="AB30" s="46">
        <f>HYPERLINK("#'Transactions'!A27", "View Source Row")</f>
        <v/>
      </c>
    </row>
    <row r="31">
      <c r="A31" s="14" t="n">
        <v>27</v>
      </c>
      <c r="B31" s="14" t="inlineStr">
        <is>
          <t>273.pdf</t>
        </is>
      </c>
      <c r="C31" s="44" t="n">
        <v>46113</v>
      </c>
      <c r="D31" s="44" t="n">
        <v>46142</v>
      </c>
      <c r="E31" s="44" t="n">
        <v>46121</v>
      </c>
      <c r="F31" s="44" t="n">
        <v>46121</v>
      </c>
      <c r="G31" s="16" t="inlineStr">
        <is>
          <t>0000-MUMBAI/IN INT260325DEAL6242558</t>
        </is>
      </c>
      <c r="H31" s="14" t="str"/>
      <c r="I31" s="14" t="inlineStr">
        <is>
          <t>Receipt</t>
        </is>
      </c>
      <c r="J31" s="43" t="n">
        <v>0</v>
      </c>
      <c r="K31" s="43" t="n">
        <v>25.59</v>
      </c>
      <c r="L31" s="43" t="n">
        <v>25.59</v>
      </c>
      <c r="M31" s="43" t="n">
        <v>-9189930.720000001</v>
      </c>
      <c r="N31" s="14" t="inlineStr">
        <is>
          <t>Recurring Transaction</t>
        </is>
      </c>
      <c r="O31" s="14" t="inlineStr">
        <is>
          <t>Yes</t>
        </is>
      </c>
      <c r="P31" s="14" t="inlineStr">
        <is>
          <t>IN INTDEAL</t>
        </is>
      </c>
      <c r="Q31" s="14" t="n">
        <v>0</v>
      </c>
      <c r="R31" s="14" t="n">
        <v>1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0</v>
      </c>
      <c r="AA31" s="44" t="n">
        <v>46121</v>
      </c>
      <c r="AB31" s="46">
        <f>HYPERLINK("#'Transactions'!A28", "View Source Row")</f>
        <v/>
      </c>
    </row>
    <row r="32">
      <c r="A32" s="14" t="n">
        <v>28</v>
      </c>
      <c r="B32" s="14" t="inlineStr">
        <is>
          <t>273.pdf</t>
        </is>
      </c>
      <c r="C32" s="44" t="n">
        <v>46113</v>
      </c>
      <c r="D32" s="44" t="n">
        <v>46142</v>
      </c>
      <c r="E32" s="44" t="n">
        <v>46121</v>
      </c>
      <c r="F32" s="44" t="n">
        <v>46121</v>
      </c>
      <c r="G32" s="16" t="inlineStr">
        <is>
          <t>BY CASH BY CASH</t>
        </is>
      </c>
      <c r="H32" s="14" t="str"/>
      <c r="I32" s="14" t="inlineStr">
        <is>
          <t>Receipt</t>
        </is>
      </c>
      <c r="J32" s="43" t="n">
        <v>0</v>
      </c>
      <c r="K32" s="43" t="n">
        <v>180000</v>
      </c>
      <c r="L32" s="43" t="n">
        <v>180000</v>
      </c>
      <c r="M32" s="43" t="n">
        <v>-9009930.720000001</v>
      </c>
      <c r="N32" s="14" t="inlineStr">
        <is>
          <t>Cash; High Transaction; Recurring Transaction</t>
        </is>
      </c>
      <c r="O32" s="14" t="inlineStr">
        <is>
          <t>Yes</t>
        </is>
      </c>
      <c r="P32" s="14" t="inlineStr">
        <is>
          <t>BY CASH BY CASH</t>
        </is>
      </c>
      <c r="Q32" s="14" t="n">
        <v>1</v>
      </c>
      <c r="R32" s="14" t="n">
        <v>1</v>
      </c>
      <c r="S32" s="14" t="n">
        <v>0</v>
      </c>
      <c r="T32" s="14" t="n">
        <v>0</v>
      </c>
      <c r="U32" s="14" t="n">
        <v>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44" t="n">
        <v>46121</v>
      </c>
      <c r="AB32" s="46">
        <f>HYPERLINK("#'Transactions'!A29", "View Source Row")</f>
        <v/>
      </c>
    </row>
    <row r="33">
      <c r="A33" s="14" t="n">
        <v>29</v>
      </c>
      <c r="B33" s="14" t="inlineStr">
        <is>
          <t>273.pdf</t>
        </is>
      </c>
      <c r="C33" s="44" t="n">
        <v>46113</v>
      </c>
      <c r="D33" s="44" t="n">
        <v>46142</v>
      </c>
      <c r="E33" s="44" t="n">
        <v>46121</v>
      </c>
      <c r="F33" s="44" t="n">
        <v>46121</v>
      </c>
      <c r="G33" s="16" t="inlineStr">
        <is>
          <t>EBANK:WIB/1503 EBANK:WIB/1503311707/Edfs ---------------------------------------------------------------------------------------------------------------------------------- Page Total: 37,68,920.97 27,70,249.58 86,29,812.72Dr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33" s="14" t="str"/>
      <c r="I33" s="14" t="inlineStr">
        <is>
          <t>Receipt</t>
        </is>
      </c>
      <c r="J33" s="43" t="n">
        <v>0</v>
      </c>
      <c r="K33" s="43" t="n">
        <v>380118</v>
      </c>
      <c r="L33" s="43" t="n">
        <v>380118</v>
      </c>
      <c r="M33" s="43" t="n">
        <v>-8629812.720000001</v>
      </c>
      <c r="N33" s="14" t="inlineStr">
        <is>
          <t>High Transaction; Recurring Transaction</t>
        </is>
      </c>
      <c r="O33" s="14" t="inlineStr">
        <is>
          <t>Yes</t>
        </is>
      </c>
      <c r="P33" s="14" t="inlineStr">
        <is>
          <t>EBANKWIB</t>
        </is>
      </c>
      <c r="Q33" s="14" t="n">
        <v>0</v>
      </c>
      <c r="R33" s="14" t="n">
        <v>1</v>
      </c>
      <c r="S33" s="14" t="n">
        <v>0</v>
      </c>
      <c r="T33" s="14" t="n">
        <v>0</v>
      </c>
      <c r="U33" s="14" t="n">
        <v>1</v>
      </c>
      <c r="V33" s="14" t="n">
        <v>0</v>
      </c>
      <c r="W33" s="14" t="n">
        <v>0</v>
      </c>
      <c r="X33" s="14" t="n">
        <v>0</v>
      </c>
      <c r="Y33" s="14" t="n">
        <v>0</v>
      </c>
      <c r="Z33" s="14" t="n">
        <v>0</v>
      </c>
      <c r="AA33" s="44" t="n">
        <v>46121</v>
      </c>
      <c r="AB33" s="46">
        <f>HYPERLINK("#'Transactions'!A30", "View Source Row")</f>
        <v/>
      </c>
    </row>
    <row r="34">
      <c r="A34" s="14" t="n">
        <v>30</v>
      </c>
      <c r="B34" s="14" t="inlineStr">
        <is>
          <t>273.pdf</t>
        </is>
      </c>
      <c r="C34" s="44" t="n">
        <v>46113</v>
      </c>
      <c r="D34" s="44" t="n">
        <v>46142</v>
      </c>
      <c r="E34" s="44" t="n">
        <v>46122</v>
      </c>
      <c r="F34" s="44" t="n">
        <v>46122</v>
      </c>
      <c r="G34" s="16" t="inlineStr">
        <is>
          <t>EBANK:WIB/1503 EBANK:WIB/1503339201/Edfs</t>
        </is>
      </c>
      <c r="H34" s="14" t="str"/>
      <c r="I34" s="14" t="inlineStr">
        <is>
          <t>Receipt</t>
        </is>
      </c>
      <c r="J34" s="43" t="n">
        <v>0</v>
      </c>
      <c r="K34" s="43" t="n">
        <v>432999</v>
      </c>
      <c r="L34" s="43" t="n">
        <v>432999</v>
      </c>
      <c r="M34" s="43" t="n">
        <v>-8196813.72</v>
      </c>
      <c r="N34" s="14" t="inlineStr">
        <is>
          <t>High Transaction; Recurring Transaction</t>
        </is>
      </c>
      <c r="O34" s="14" t="inlineStr">
        <is>
          <t>Yes</t>
        </is>
      </c>
      <c r="P34" s="14" t="inlineStr">
        <is>
          <t>EBANKWIB</t>
        </is>
      </c>
      <c r="Q34" s="14" t="n">
        <v>0</v>
      </c>
      <c r="R34" s="14" t="n">
        <v>1</v>
      </c>
      <c r="S34" s="14" t="n">
        <v>0</v>
      </c>
      <c r="T34" s="14" t="n">
        <v>0</v>
      </c>
      <c r="U34" s="14" t="n">
        <v>1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44" t="n">
        <v>46122</v>
      </c>
      <c r="AB34" s="46">
        <f>HYPERLINK("#'Transactions'!A31", "View Source Row")</f>
        <v/>
      </c>
    </row>
    <row r="35">
      <c r="A35" s="14" t="n">
        <v>31</v>
      </c>
      <c r="B35" s="14" t="inlineStr">
        <is>
          <t>273.pdf</t>
        </is>
      </c>
      <c r="C35" s="44" t="n">
        <v>46113</v>
      </c>
      <c r="D35" s="44" t="n">
        <v>46142</v>
      </c>
      <c r="E35" s="44" t="n">
        <v>46122</v>
      </c>
      <c r="F35" s="44" t="n">
        <v>46122</v>
      </c>
      <c r="G35" s="16" t="inlineStr">
        <is>
          <t>0000-MUMBAI/IN INT260326DEAL6244623</t>
        </is>
      </c>
      <c r="H35" s="14" t="str"/>
      <c r="I35" s="14" t="inlineStr">
        <is>
          <t>Payment</t>
        </is>
      </c>
      <c r="J35" s="43" t="n">
        <v>1193.25</v>
      </c>
      <c r="K35" s="43" t="n">
        <v>0</v>
      </c>
      <c r="L35" s="43" t="n">
        <v>1193.25</v>
      </c>
      <c r="M35" s="43" t="n">
        <v>-8198006.97</v>
      </c>
      <c r="N35" s="14" t="inlineStr">
        <is>
          <t>Recurring Transaction</t>
        </is>
      </c>
      <c r="O35" s="14" t="inlineStr">
        <is>
          <t>Yes</t>
        </is>
      </c>
      <c r="P35" s="14" t="inlineStr">
        <is>
          <t>IN INTDEAL</t>
        </is>
      </c>
      <c r="Q35" s="14" t="n">
        <v>0</v>
      </c>
      <c r="R35" s="14" t="n">
        <v>1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44" t="n">
        <v>46122</v>
      </c>
      <c r="AB35" s="46">
        <f>HYPERLINK("#'Transactions'!A32", "View Source Row")</f>
        <v/>
      </c>
    </row>
    <row r="36">
      <c r="A36" s="14" t="n">
        <v>32</v>
      </c>
      <c r="B36" s="14" t="inlineStr">
        <is>
          <t>273.pdf</t>
        </is>
      </c>
      <c r="C36" s="44" t="n">
        <v>46113</v>
      </c>
      <c r="D36" s="44" t="n">
        <v>46142</v>
      </c>
      <c r="E36" s="44" t="n">
        <v>46122</v>
      </c>
      <c r="F36" s="44" t="n">
        <v>46122</v>
      </c>
      <c r="G36" s="16" t="inlineStr">
        <is>
          <t>RTGS-BARBR5202 RTGS-BARBR52026041000833640-HINDUSTAN PETROLEUM CO</t>
        </is>
      </c>
      <c r="H36" s="14" t="str"/>
      <c r="I36" s="14" t="inlineStr">
        <is>
          <t>Payment</t>
        </is>
      </c>
      <c r="J36" s="43" t="n">
        <v>1801993</v>
      </c>
      <c r="K36" s="43" t="n">
        <v>0</v>
      </c>
      <c r="L36" s="43" t="n">
        <v>1801993</v>
      </c>
      <c r="M36" s="43" t="n">
        <v>-9999999.970000001</v>
      </c>
      <c r="N36" s="14" t="inlineStr">
        <is>
          <t>High Transaction; Recurring Transaction</t>
        </is>
      </c>
      <c r="O36" s="14" t="inlineStr">
        <is>
          <t>Yes</t>
        </is>
      </c>
      <c r="P36" s="14" t="inlineStr">
        <is>
          <t>BARBR RTGS</t>
        </is>
      </c>
      <c r="Q36" s="14" t="n">
        <v>0</v>
      </c>
      <c r="R36" s="14" t="n">
        <v>1</v>
      </c>
      <c r="S36" s="14" t="n">
        <v>0</v>
      </c>
      <c r="T36" s="14" t="n">
        <v>0</v>
      </c>
      <c r="U36" s="14" t="n">
        <v>1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44" t="n">
        <v>46122</v>
      </c>
      <c r="AB36" s="46">
        <f>HYPERLINK("#'Transactions'!A33", "View Source Row")</f>
        <v/>
      </c>
    </row>
    <row r="37">
      <c r="A37" s="14" t="n">
        <v>33</v>
      </c>
      <c r="B37" s="14" t="inlineStr">
        <is>
          <t>273.pdf</t>
        </is>
      </c>
      <c r="C37" s="44" t="n">
        <v>46113</v>
      </c>
      <c r="D37" s="44" t="n">
        <v>46142</v>
      </c>
      <c r="E37" s="44" t="n">
        <v>46122</v>
      </c>
      <c r="F37" s="44" t="n">
        <v>46122</v>
      </c>
      <c r="G37" s="16" t="inlineStr">
        <is>
          <t>EBANK:WIB/1503 EBANK:WIB/1503385381/Edfs</t>
        </is>
      </c>
      <c r="H37" s="14" t="str"/>
      <c r="I37" s="14" t="inlineStr">
        <is>
          <t>Receipt</t>
        </is>
      </c>
      <c r="J37" s="43" t="n">
        <v>0</v>
      </c>
      <c r="K37" s="43" t="n">
        <v>49686</v>
      </c>
      <c r="L37" s="43" t="n">
        <v>49686</v>
      </c>
      <c r="M37" s="43" t="n">
        <v>-9950313.970000001</v>
      </c>
      <c r="N37" s="14" t="inlineStr">
        <is>
          <t>Recurring Transaction</t>
        </is>
      </c>
      <c r="O37" s="14" t="inlineStr">
        <is>
          <t>Yes</t>
        </is>
      </c>
      <c r="P37" s="14" t="inlineStr">
        <is>
          <t>EBANKWIB</t>
        </is>
      </c>
      <c r="Q37" s="14" t="n">
        <v>0</v>
      </c>
      <c r="R37" s="14" t="n">
        <v>1</v>
      </c>
      <c r="S37" s="14" t="n">
        <v>0</v>
      </c>
      <c r="T37" s="14" t="n">
        <v>0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</v>
      </c>
      <c r="Z37" s="14" t="n">
        <v>0</v>
      </c>
      <c r="AA37" s="44" t="n">
        <v>46122</v>
      </c>
      <c r="AB37" s="46">
        <f>HYPERLINK("#'Transactions'!A34", "View Source Row")</f>
        <v/>
      </c>
    </row>
    <row r="38">
      <c r="A38" s="14" t="n">
        <v>34</v>
      </c>
      <c r="B38" s="14" t="inlineStr">
        <is>
          <t>273.pdf</t>
        </is>
      </c>
      <c r="C38" s="44" t="n">
        <v>46113</v>
      </c>
      <c r="D38" s="44" t="n">
        <v>46142</v>
      </c>
      <c r="E38" s="44" t="n">
        <v>46122</v>
      </c>
      <c r="F38" s="44" t="n">
        <v>46122</v>
      </c>
      <c r="G38" s="16" t="inlineStr">
        <is>
          <t>BY CASH BY CASH</t>
        </is>
      </c>
      <c r="H38" s="14" t="str"/>
      <c r="I38" s="14" t="inlineStr">
        <is>
          <t>Receipt</t>
        </is>
      </c>
      <c r="J38" s="43" t="n">
        <v>0</v>
      </c>
      <c r="K38" s="43" t="n">
        <v>171000</v>
      </c>
      <c r="L38" s="43" t="n">
        <v>171000</v>
      </c>
      <c r="M38" s="43" t="n">
        <v>-9779313.970000001</v>
      </c>
      <c r="N38" s="14" t="inlineStr">
        <is>
          <t>Cash; High Transaction; Recurring Transaction</t>
        </is>
      </c>
      <c r="O38" s="14" t="inlineStr">
        <is>
          <t>Yes</t>
        </is>
      </c>
      <c r="P38" s="14" t="inlineStr">
        <is>
          <t>BY CASH BY CASH</t>
        </is>
      </c>
      <c r="Q38" s="14" t="n">
        <v>1</v>
      </c>
      <c r="R38" s="14" t="n">
        <v>1</v>
      </c>
      <c r="S38" s="14" t="n">
        <v>0</v>
      </c>
      <c r="T38" s="14" t="n">
        <v>0</v>
      </c>
      <c r="U38" s="14" t="n">
        <v>1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44" t="n">
        <v>46122</v>
      </c>
      <c r="AB38" s="46">
        <f>HYPERLINK("#'Transactions'!A35", "View Source Row")</f>
        <v/>
      </c>
    </row>
    <row r="39">
      <c r="A39" s="14" t="n">
        <v>35</v>
      </c>
      <c r="B39" s="14" t="inlineStr">
        <is>
          <t>273.pdf</t>
        </is>
      </c>
      <c r="C39" s="44" t="n">
        <v>46113</v>
      </c>
      <c r="D39" s="44" t="n">
        <v>46142</v>
      </c>
      <c r="E39" s="44" t="n">
        <v>46122</v>
      </c>
      <c r="F39" s="44" t="n">
        <v>46122</v>
      </c>
      <c r="G39" s="16" t="inlineStr">
        <is>
          <t>NEFT-BARBQ2610 NEFT-BARBQ26100745025-HINDUSTAN PETROLEUM CORPORAT</t>
        </is>
      </c>
      <c r="H39" s="14" t="str"/>
      <c r="I39" s="14" t="inlineStr">
        <is>
          <t>Payment</t>
        </is>
      </c>
      <c r="J39" s="43" t="n">
        <v>20471.76</v>
      </c>
      <c r="K39" s="43" t="n">
        <v>0</v>
      </c>
      <c r="L39" s="43" t="n">
        <v>20471.76</v>
      </c>
      <c r="M39" s="43" t="n">
        <v>-9799785.73</v>
      </c>
      <c r="N39" s="14" t="inlineStr">
        <is>
          <t>Recurring Transaction</t>
        </is>
      </c>
      <c r="O39" s="14" t="inlineStr">
        <is>
          <t>Yes</t>
        </is>
      </c>
      <c r="P39" s="14" t="inlineStr">
        <is>
          <t>BARBQ NEFT</t>
        </is>
      </c>
      <c r="Q39" s="14" t="n">
        <v>0</v>
      </c>
      <c r="R39" s="14" t="n">
        <v>1</v>
      </c>
      <c r="S39" s="14" t="n">
        <v>0</v>
      </c>
      <c r="T39" s="14" t="n">
        <v>0</v>
      </c>
      <c r="U39" s="14" t="n">
        <v>0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</v>
      </c>
      <c r="AA39" s="44" t="n">
        <v>46122</v>
      </c>
      <c r="AB39" s="46">
        <f>HYPERLINK("#'Transactions'!A36", "View Source Row")</f>
        <v/>
      </c>
    </row>
    <row r="40">
      <c r="A40" s="14" t="n">
        <v>36</v>
      </c>
      <c r="B40" s="14" t="inlineStr">
        <is>
          <t>273.pdf</t>
        </is>
      </c>
      <c r="C40" s="44" t="n">
        <v>46113</v>
      </c>
      <c r="D40" s="44" t="n">
        <v>46142</v>
      </c>
      <c r="E40" s="44" t="n">
        <v>46123</v>
      </c>
      <c r="F40" s="44" t="n">
        <v>46123</v>
      </c>
      <c r="G40" s="16" t="inlineStr">
        <is>
          <t>0000-MUMBAI/IN INT260327DEAL6258765</t>
        </is>
      </c>
      <c r="H40" s="14" t="str"/>
      <c r="I40" s="14" t="inlineStr">
        <is>
          <t>Payment</t>
        </is>
      </c>
      <c r="J40" s="43" t="n">
        <v>7076.83</v>
      </c>
      <c r="K40" s="43" t="n">
        <v>0</v>
      </c>
      <c r="L40" s="43" t="n">
        <v>7076.83</v>
      </c>
      <c r="M40" s="43" t="n">
        <v>-9806862.560000001</v>
      </c>
      <c r="N40" s="14" t="inlineStr">
        <is>
          <t>Recurring Transaction</t>
        </is>
      </c>
      <c r="O40" s="14" t="inlineStr">
        <is>
          <t>Yes</t>
        </is>
      </c>
      <c r="P40" s="14" t="inlineStr">
        <is>
          <t>IN INTDEAL</t>
        </is>
      </c>
      <c r="Q40" s="14" t="n">
        <v>0</v>
      </c>
      <c r="R40" s="14" t="n">
        <v>1</v>
      </c>
      <c r="S40" s="14" t="n">
        <v>0</v>
      </c>
      <c r="T40" s="14" t="n">
        <v>0</v>
      </c>
      <c r="U40" s="14" t="n">
        <v>0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44" t="n">
        <v>46123</v>
      </c>
      <c r="AB40" s="46">
        <f>HYPERLINK("#'Transactions'!A37", "View Source Row")</f>
        <v/>
      </c>
    </row>
    <row r="41">
      <c r="A41" s="14" t="n">
        <v>37</v>
      </c>
      <c r="B41" s="14" t="inlineStr">
        <is>
          <t>273.pdf</t>
        </is>
      </c>
      <c r="C41" s="44" t="n">
        <v>46113</v>
      </c>
      <c r="D41" s="44" t="n">
        <v>46142</v>
      </c>
      <c r="E41" s="44" t="n">
        <v>46123</v>
      </c>
      <c r="F41" s="44" t="n">
        <v>46123</v>
      </c>
      <c r="G41" s="16" t="inlineStr">
        <is>
          <t>0000-MUMBAI/IN INT260327DEAL6258950</t>
        </is>
      </c>
      <c r="H41" s="14" t="str"/>
      <c r="I41" s="14" t="inlineStr">
        <is>
          <t>Payment</t>
        </is>
      </c>
      <c r="J41" s="43" t="n">
        <v>350.17</v>
      </c>
      <c r="K41" s="43" t="n">
        <v>0</v>
      </c>
      <c r="L41" s="43" t="n">
        <v>350.17</v>
      </c>
      <c r="M41" s="43" t="n">
        <v>-9807212.73</v>
      </c>
      <c r="N41" s="14" t="inlineStr">
        <is>
          <t>Recurring Transaction</t>
        </is>
      </c>
      <c r="O41" s="14" t="inlineStr">
        <is>
          <t>Yes</t>
        </is>
      </c>
      <c r="P41" s="14" t="inlineStr">
        <is>
          <t>IN INTDEAL</t>
        </is>
      </c>
      <c r="Q41" s="14" t="n">
        <v>0</v>
      </c>
      <c r="R41" s="14" t="n">
        <v>1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</v>
      </c>
      <c r="AA41" s="44" t="n">
        <v>46123</v>
      </c>
      <c r="AB41" s="46">
        <f>HYPERLINK("#'Transactions'!A38", "View Source Row")</f>
        <v/>
      </c>
    </row>
    <row r="42">
      <c r="A42" s="14" t="n">
        <v>38</v>
      </c>
      <c r="B42" s="14" t="inlineStr">
        <is>
          <t>273.pdf</t>
        </is>
      </c>
      <c r="C42" s="44" t="n">
        <v>46113</v>
      </c>
      <c r="D42" s="44" t="n">
        <v>46142</v>
      </c>
      <c r="E42" s="44" t="n">
        <v>46123</v>
      </c>
      <c r="F42" s="44" t="n">
        <v>46123</v>
      </c>
      <c r="G42" s="16" t="inlineStr">
        <is>
          <t>EBANK:WIB/1503 EBANK:WIB/1503559058/Edfs</t>
        </is>
      </c>
      <c r="H42" s="14" t="str"/>
      <c r="I42" s="14" t="inlineStr">
        <is>
          <t>Receipt</t>
        </is>
      </c>
      <c r="J42" s="43" t="n">
        <v>0</v>
      </c>
      <c r="K42" s="43" t="n">
        <v>353767.15</v>
      </c>
      <c r="L42" s="43" t="n">
        <v>353767.15</v>
      </c>
      <c r="M42" s="43" t="n">
        <v>-9453445.58</v>
      </c>
      <c r="N42" s="14" t="inlineStr">
        <is>
          <t>High Transaction; Recurring Transaction</t>
        </is>
      </c>
      <c r="O42" s="14" t="inlineStr">
        <is>
          <t>Yes</t>
        </is>
      </c>
      <c r="P42" s="14" t="inlineStr">
        <is>
          <t>EBANKWIB</t>
        </is>
      </c>
      <c r="Q42" s="14" t="n">
        <v>0</v>
      </c>
      <c r="R42" s="14" t="n">
        <v>1</v>
      </c>
      <c r="S42" s="14" t="n">
        <v>0</v>
      </c>
      <c r="T42" s="14" t="n">
        <v>0</v>
      </c>
      <c r="U42" s="14" t="n">
        <v>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44" t="n">
        <v>46123</v>
      </c>
      <c r="AB42" s="46">
        <f>HYPERLINK("#'Transactions'!A39", "View Source Row")</f>
        <v/>
      </c>
    </row>
    <row r="43">
      <c r="A43" s="14" t="n">
        <v>39</v>
      </c>
      <c r="B43" s="14" t="inlineStr">
        <is>
          <t>273.pdf</t>
        </is>
      </c>
      <c r="C43" s="44" t="n">
        <v>46113</v>
      </c>
      <c r="D43" s="44" t="n">
        <v>46142</v>
      </c>
      <c r="E43" s="44" t="n">
        <v>46124</v>
      </c>
      <c r="F43" s="44" t="n">
        <v>46124</v>
      </c>
      <c r="G43" s="16" t="inlineStr">
        <is>
          <t>EBANK:WIB/1503 EBANK:WIB/1503691094/Edfs</t>
        </is>
      </c>
      <c r="H43" s="14" t="str"/>
      <c r="I43" s="14" t="inlineStr">
        <is>
          <t>Receipt</t>
        </is>
      </c>
      <c r="J43" s="43" t="n">
        <v>0</v>
      </c>
      <c r="K43" s="43" t="n">
        <v>521281.39</v>
      </c>
      <c r="L43" s="43" t="n">
        <v>521281.39</v>
      </c>
      <c r="M43" s="43" t="n">
        <v>-8932164.189999999</v>
      </c>
      <c r="N43" s="14" t="inlineStr">
        <is>
          <t>High Transaction; Recurring Transaction</t>
        </is>
      </c>
      <c r="O43" s="14" t="inlineStr">
        <is>
          <t>Yes</t>
        </is>
      </c>
      <c r="P43" s="14" t="inlineStr">
        <is>
          <t>EBANKWIB</t>
        </is>
      </c>
      <c r="Q43" s="14" t="n">
        <v>0</v>
      </c>
      <c r="R43" s="14" t="n">
        <v>1</v>
      </c>
      <c r="S43" s="14" t="n">
        <v>0</v>
      </c>
      <c r="T43" s="14" t="n">
        <v>0</v>
      </c>
      <c r="U43" s="14" t="n">
        <v>1</v>
      </c>
      <c r="V43" s="14" t="n">
        <v>0</v>
      </c>
      <c r="W43" s="14" t="n">
        <v>0</v>
      </c>
      <c r="X43" s="14" t="n">
        <v>0</v>
      </c>
      <c r="Y43" s="14" t="n">
        <v>0</v>
      </c>
      <c r="Z43" s="14" t="n">
        <v>0</v>
      </c>
      <c r="AA43" s="44" t="n">
        <v>46124</v>
      </c>
      <c r="AB43" s="46">
        <f>HYPERLINK("#'Transactions'!A40", "View Source Row")</f>
        <v/>
      </c>
    </row>
    <row r="44">
      <c r="A44" s="14" t="n">
        <v>40</v>
      </c>
      <c r="B44" s="14" t="inlineStr">
        <is>
          <t>273.pdf</t>
        </is>
      </c>
      <c r="C44" s="44" t="n">
        <v>46113</v>
      </c>
      <c r="D44" s="44" t="n">
        <v>46142</v>
      </c>
      <c r="E44" s="44" t="n">
        <v>46125</v>
      </c>
      <c r="F44" s="44" t="n">
        <v>46125</v>
      </c>
      <c r="G44" s="16" t="inlineStr">
        <is>
          <t>0000-MUMBAI/IN INT260327DEAL6258765</t>
        </is>
      </c>
      <c r="H44" s="14" t="str"/>
      <c r="I44" s="14" t="inlineStr">
        <is>
          <t>Payment</t>
        </is>
      </c>
      <c r="J44" s="43" t="n">
        <v>305.5</v>
      </c>
      <c r="K44" s="43" t="n">
        <v>0</v>
      </c>
      <c r="L44" s="43" t="n">
        <v>305.5</v>
      </c>
      <c r="M44" s="43" t="n">
        <v>-8932469.689999999</v>
      </c>
      <c r="N44" s="14" t="inlineStr">
        <is>
          <t>Recurring Transaction</t>
        </is>
      </c>
      <c r="O44" s="14" t="inlineStr">
        <is>
          <t>Yes</t>
        </is>
      </c>
      <c r="P44" s="14" t="inlineStr">
        <is>
          <t>IN INTDEAL</t>
        </is>
      </c>
      <c r="Q44" s="14" t="n">
        <v>0</v>
      </c>
      <c r="R44" s="14" t="n">
        <v>1</v>
      </c>
      <c r="S44" s="14" t="n">
        <v>0</v>
      </c>
      <c r="T44" s="14" t="n">
        <v>0</v>
      </c>
      <c r="U44" s="14" t="n">
        <v>0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44" t="n">
        <v>46125</v>
      </c>
      <c r="AB44" s="46">
        <f>HYPERLINK("#'Transactions'!A41", "View Source Row")</f>
        <v/>
      </c>
    </row>
    <row r="45">
      <c r="A45" s="14" t="n">
        <v>41</v>
      </c>
      <c r="B45" s="14" t="inlineStr">
        <is>
          <t>273.pdf</t>
        </is>
      </c>
      <c r="C45" s="44" t="n">
        <v>46113</v>
      </c>
      <c r="D45" s="44" t="n">
        <v>46142</v>
      </c>
      <c r="E45" s="44" t="n">
        <v>46125</v>
      </c>
      <c r="F45" s="44" t="n">
        <v>46125</v>
      </c>
      <c r="G45" s="16" t="inlineStr">
        <is>
          <t>VIRARW-THANE/B https://cbdrpt101.bankofbaroda.co.in:22000/finbranch/arjspmorph/INFENG/tran_rpt.jsp?... 04-05-2026 BY CASH</t>
        </is>
      </c>
      <c r="H45" s="14" t="str"/>
      <c r="I45" s="14" t="inlineStr">
        <is>
          <t>Receipt</t>
        </is>
      </c>
      <c r="J45" s="43" t="n">
        <v>0</v>
      </c>
      <c r="K45" s="43" t="n">
        <v>439000</v>
      </c>
      <c r="L45" s="43" t="n">
        <v>439000</v>
      </c>
      <c r="M45" s="43" t="n">
        <v>-8493469.689999999</v>
      </c>
      <c r="N45" s="14" t="inlineStr">
        <is>
          <t>Cash; High Transaction</t>
        </is>
      </c>
      <c r="O45" s="14" t="inlineStr">
        <is>
          <t>No</t>
        </is>
      </c>
      <c r="P45" s="14" t="inlineStr">
        <is>
          <t>CBDRPTBANKOFBARODACOIN</t>
        </is>
      </c>
      <c r="Q45" s="14" t="n">
        <v>1</v>
      </c>
      <c r="R45" s="14" t="n">
        <v>0</v>
      </c>
      <c r="S45" s="14" t="n">
        <v>0</v>
      </c>
      <c r="T45" s="14" t="n">
        <v>0</v>
      </c>
      <c r="U45" s="14" t="n">
        <v>1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</v>
      </c>
      <c r="AA45" s="44" t="n">
        <v>46125</v>
      </c>
      <c r="AB45" s="46">
        <f>HYPERLINK("#'Transactions'!A42", "View Source Row")</f>
        <v/>
      </c>
    </row>
    <row r="46">
      <c r="A46" s="14" t="n">
        <v>42</v>
      </c>
      <c r="B46" s="14" t="inlineStr">
        <is>
          <t>273.pdf</t>
        </is>
      </c>
      <c r="C46" s="44" t="n">
        <v>46113</v>
      </c>
      <c r="D46" s="44" t="n">
        <v>46142</v>
      </c>
      <c r="E46" s="44" t="n">
        <v>46125</v>
      </c>
      <c r="F46" s="44" t="n">
        <v>46125</v>
      </c>
      <c r="G46" s="16" t="inlineStr">
        <is>
          <t>DIGITA-MUMBAI/ INT260327DEAL6258765</t>
        </is>
      </c>
      <c r="H46" s="14" t="str"/>
      <c r="I46" s="14" t="inlineStr">
        <is>
          <t>Payment</t>
        </is>
      </c>
      <c r="J46" s="43" t="n">
        <v>182.75</v>
      </c>
      <c r="K46" s="43" t="n">
        <v>0</v>
      </c>
      <c r="L46" s="43" t="n">
        <v>182.75</v>
      </c>
      <c r="M46" s="43" t="n">
        <v>-8493652.439999999</v>
      </c>
      <c r="N46" s="14" t="inlineStr">
        <is>
          <t>Recurring Transaction</t>
        </is>
      </c>
      <c r="O46" s="14" t="inlineStr">
        <is>
          <t>Yes</t>
        </is>
      </c>
      <c r="P46" s="14" t="inlineStr">
        <is>
          <t>DIGITA-MUMBAI/ INT#DEAL#</t>
        </is>
      </c>
      <c r="Q46" s="14" t="n">
        <v>0</v>
      </c>
      <c r="R46" s="14" t="n">
        <v>1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44" t="n">
        <v>46125</v>
      </c>
      <c r="AB46" s="46">
        <f>HYPERLINK("#'Transactions'!A43", "View Source Row")</f>
        <v/>
      </c>
    </row>
    <row r="47">
      <c r="A47" s="14" t="n">
        <v>43</v>
      </c>
      <c r="B47" s="14" t="inlineStr">
        <is>
          <t>273.pdf</t>
        </is>
      </c>
      <c r="C47" s="44" t="n">
        <v>46113</v>
      </c>
      <c r="D47" s="44" t="n">
        <v>46142</v>
      </c>
      <c r="E47" s="44" t="n">
        <v>46125</v>
      </c>
      <c r="F47" s="44" t="n">
        <v>46125</v>
      </c>
      <c r="G47" s="16" t="inlineStr">
        <is>
          <t>EBANK:WIB/1503 EBANK:WIB/1503777187/Edfs</t>
        </is>
      </c>
      <c r="H47" s="14" t="str"/>
      <c r="I47" s="14" t="inlineStr">
        <is>
          <t>Receipt</t>
        </is>
      </c>
      <c r="J47" s="43" t="n">
        <v>0</v>
      </c>
      <c r="K47" s="43" t="n">
        <v>610444.28</v>
      </c>
      <c r="L47" s="43" t="n">
        <v>610444.28</v>
      </c>
      <c r="M47" s="43" t="n">
        <v>-7883208.16</v>
      </c>
      <c r="N47" s="14" t="inlineStr">
        <is>
          <t>High Transaction; Recurring Transaction</t>
        </is>
      </c>
      <c r="O47" s="14" t="inlineStr">
        <is>
          <t>Yes</t>
        </is>
      </c>
      <c r="P47" s="14" t="inlineStr">
        <is>
          <t>EBANKWIB</t>
        </is>
      </c>
      <c r="Q47" s="14" t="n">
        <v>0</v>
      </c>
      <c r="R47" s="14" t="n">
        <v>1</v>
      </c>
      <c r="S47" s="14" t="n">
        <v>0</v>
      </c>
      <c r="T47" s="14" t="n">
        <v>0</v>
      </c>
      <c r="U47" s="14" t="n">
        <v>1</v>
      </c>
      <c r="V47" s="14" t="n">
        <v>0</v>
      </c>
      <c r="W47" s="14" t="n">
        <v>0</v>
      </c>
      <c r="X47" s="14" t="n">
        <v>0</v>
      </c>
      <c r="Y47" s="14" t="n">
        <v>0</v>
      </c>
      <c r="Z47" s="14" t="n">
        <v>0</v>
      </c>
      <c r="AA47" s="44" t="n">
        <v>46125</v>
      </c>
      <c r="AB47" s="46">
        <f>HYPERLINK("#'Transactions'!A44", "View Source Row")</f>
        <v/>
      </c>
    </row>
    <row r="48">
      <c r="A48" s="14" t="n">
        <v>44</v>
      </c>
      <c r="B48" s="14" t="inlineStr">
        <is>
          <t>273.pdf</t>
        </is>
      </c>
      <c r="C48" s="44" t="n">
        <v>46113</v>
      </c>
      <c r="D48" s="44" t="n">
        <v>46142</v>
      </c>
      <c r="E48" s="44" t="n">
        <v>46125</v>
      </c>
      <c r="F48" s="44" t="n">
        <v>46125</v>
      </c>
      <c r="G48" s="16" t="inlineStr">
        <is>
          <t>DIGITA-MUMBAI/ INT260327DEAL6258950</t>
        </is>
      </c>
      <c r="H48" s="14" t="str"/>
      <c r="I48" s="14" t="inlineStr">
        <is>
          <t>Payment</t>
        </is>
      </c>
      <c r="J48" s="43" t="n">
        <v>46.82</v>
      </c>
      <c r="K48" s="43" t="n">
        <v>0</v>
      </c>
      <c r="L48" s="43" t="n">
        <v>46.82</v>
      </c>
      <c r="M48" s="43" t="n">
        <v>-7883254.98</v>
      </c>
      <c r="N48" s="14" t="inlineStr">
        <is>
          <t>Recurring Transaction</t>
        </is>
      </c>
      <c r="O48" s="14" t="inlineStr">
        <is>
          <t>Yes</t>
        </is>
      </c>
      <c r="P48" s="14" t="inlineStr">
        <is>
          <t>DIGITA-MUMBAI/ INT#DEAL#</t>
        </is>
      </c>
      <c r="Q48" s="14" t="n">
        <v>0</v>
      </c>
      <c r="R48" s="14" t="n">
        <v>1</v>
      </c>
      <c r="S48" s="14" t="n">
        <v>0</v>
      </c>
      <c r="T48" s="14" t="n">
        <v>0</v>
      </c>
      <c r="U48" s="14" t="n">
        <v>0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44" t="n">
        <v>46125</v>
      </c>
      <c r="AB48" s="46">
        <f>HYPERLINK("#'Transactions'!A45", "View Source Row")</f>
        <v/>
      </c>
    </row>
    <row r="49">
      <c r="A49" s="14" t="n">
        <v>45</v>
      </c>
      <c r="B49" s="14" t="inlineStr">
        <is>
          <t>273.pdf</t>
        </is>
      </c>
      <c r="C49" s="44" t="n">
        <v>46113</v>
      </c>
      <c r="D49" s="44" t="n">
        <v>46142</v>
      </c>
      <c r="E49" s="44" t="n">
        <v>46125</v>
      </c>
      <c r="F49" s="44" t="n">
        <v>46125</v>
      </c>
      <c r="G49" s="16" t="inlineStr">
        <is>
          <t>BY CASH BY CASH</t>
        </is>
      </c>
      <c r="H49" s="14" t="str"/>
      <c r="I49" s="14" t="inlineStr">
        <is>
          <t>Receipt</t>
        </is>
      </c>
      <c r="J49" s="43" t="n">
        <v>0</v>
      </c>
      <c r="K49" s="43" t="n">
        <v>78500</v>
      </c>
      <c r="L49" s="43" t="n">
        <v>78500</v>
      </c>
      <c r="M49" s="43" t="n">
        <v>-7804754.98</v>
      </c>
      <c r="N49" s="14" t="inlineStr">
        <is>
          <t>Cash; Recurring Transaction</t>
        </is>
      </c>
      <c r="O49" s="14" t="inlineStr">
        <is>
          <t>Yes</t>
        </is>
      </c>
      <c r="P49" s="14" t="inlineStr">
        <is>
          <t>BY CASH BY CASH</t>
        </is>
      </c>
      <c r="Q49" s="14" t="n">
        <v>1</v>
      </c>
      <c r="R49" s="14" t="n">
        <v>1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44" t="n">
        <v>46125</v>
      </c>
      <c r="AB49" s="46">
        <f>HYPERLINK("#'Transactions'!A46", "View Source Row")</f>
        <v/>
      </c>
    </row>
    <row r="50">
      <c r="A50" s="14" t="n">
        <v>46</v>
      </c>
      <c r="B50" s="14" t="inlineStr">
        <is>
          <t>273.pdf</t>
        </is>
      </c>
      <c r="C50" s="44" t="n">
        <v>46113</v>
      </c>
      <c r="D50" s="44" t="n">
        <v>46142</v>
      </c>
      <c r="E50" s="44" t="n">
        <v>46125</v>
      </c>
      <c r="F50" s="44" t="n">
        <v>46125</v>
      </c>
      <c r="G50" s="16" t="inlineStr">
        <is>
          <t>EBANK:WIB/1503 ---------------------------------------------------------------------------------------------------------------------------------- Page Total: 18,31,620.08 27,64,671.60 76,96,761.20Dr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50" s="14" t="str"/>
      <c r="I50" s="14" t="inlineStr">
        <is>
          <t>Receipt</t>
        </is>
      </c>
      <c r="J50" s="43" t="n">
        <v>0</v>
      </c>
      <c r="K50" s="43" t="n">
        <v>107993.78</v>
      </c>
      <c r="L50" s="43" t="n">
        <v>107993.78</v>
      </c>
      <c r="M50" s="43" t="n">
        <v>-7696761.2</v>
      </c>
      <c r="N50" s="14" t="inlineStr">
        <is>
          <t>High Transaction; Recurring Transaction</t>
        </is>
      </c>
      <c r="O50" s="14" t="inlineStr">
        <is>
          <t>Yes</t>
        </is>
      </c>
      <c r="P50" s="14" t="inlineStr">
        <is>
          <t>EBANKWIB</t>
        </is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44" t="n">
        <v>46125</v>
      </c>
      <c r="AB50" s="46">
        <f>HYPERLINK("#'Transactions'!A47", "View Source Row")</f>
        <v/>
      </c>
    </row>
    <row r="51">
      <c r="A51" s="14" t="n">
        <v>47</v>
      </c>
      <c r="B51" s="14" t="inlineStr">
        <is>
          <t>273.pdf</t>
        </is>
      </c>
      <c r="C51" s="44" t="n">
        <v>46113</v>
      </c>
      <c r="D51" s="44" t="n">
        <v>46142</v>
      </c>
      <c r="E51" s="44" t="n">
        <v>46125</v>
      </c>
      <c r="F51" s="44" t="n">
        <v>46125</v>
      </c>
      <c r="G51" s="16" t="inlineStr">
        <is>
          <t>RTGS-BARBR5202 RTGS-BARBR52026041300983458-HINDUSTAN PETROLEUM CO</t>
        </is>
      </c>
      <c r="H51" s="14" t="str"/>
      <c r="I51" s="14" t="inlineStr">
        <is>
          <t>Payment</t>
        </is>
      </c>
      <c r="J51" s="43" t="n">
        <v>1962976.51</v>
      </c>
      <c r="K51" s="43" t="n">
        <v>0</v>
      </c>
      <c r="L51" s="43" t="n">
        <v>1962976.51</v>
      </c>
      <c r="M51" s="43" t="n">
        <v>-9659737.710000001</v>
      </c>
      <c r="N51" s="14" t="inlineStr">
        <is>
          <t>High Transaction; Recurring Transaction</t>
        </is>
      </c>
      <c r="O51" s="14" t="inlineStr">
        <is>
          <t>Yes</t>
        </is>
      </c>
      <c r="P51" s="14" t="inlineStr">
        <is>
          <t>BARBR RTGS</t>
        </is>
      </c>
      <c r="Q51" s="14" t="n">
        <v>0</v>
      </c>
      <c r="R51" s="14" t="n">
        <v>1</v>
      </c>
      <c r="S51" s="14" t="n">
        <v>0</v>
      </c>
      <c r="T51" s="14" t="n">
        <v>0</v>
      </c>
      <c r="U51" s="14" t="n">
        <v>1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44" t="n">
        <v>46125</v>
      </c>
      <c r="AB51" s="46">
        <f>HYPERLINK("#'Transactions'!A48", "View Source Row")</f>
        <v/>
      </c>
    </row>
    <row r="52">
      <c r="A52" s="14" t="n">
        <v>48</v>
      </c>
      <c r="B52" s="14" t="inlineStr">
        <is>
          <t>273.pdf</t>
        </is>
      </c>
      <c r="C52" s="44" t="n">
        <v>46113</v>
      </c>
      <c r="D52" s="44" t="n">
        <v>46142</v>
      </c>
      <c r="E52" s="44" t="n">
        <v>46126</v>
      </c>
      <c r="F52" s="44" t="n">
        <v>46126</v>
      </c>
      <c r="G52" s="16" t="inlineStr">
        <is>
          <t>0000-MUMBAI/IN INT260330DEAL6270027</t>
        </is>
      </c>
      <c r="H52" s="14" t="str"/>
      <c r="I52" s="14" t="inlineStr">
        <is>
          <t>Payment</t>
        </is>
      </c>
      <c r="J52" s="43" t="n">
        <v>7127.18</v>
      </c>
      <c r="K52" s="43" t="n">
        <v>0</v>
      </c>
      <c r="L52" s="43" t="n">
        <v>7127.18</v>
      </c>
      <c r="M52" s="43" t="n">
        <v>-9666864.890000001</v>
      </c>
      <c r="N52" s="14" t="inlineStr">
        <is>
          <t>Recurring Transaction</t>
        </is>
      </c>
      <c r="O52" s="14" t="inlineStr">
        <is>
          <t>Yes</t>
        </is>
      </c>
      <c r="P52" s="14" t="inlineStr">
        <is>
          <t>IN INTDEAL</t>
        </is>
      </c>
      <c r="Q52" s="14" t="n">
        <v>0</v>
      </c>
      <c r="R52" s="14" t="n">
        <v>1</v>
      </c>
      <c r="S52" s="14" t="n">
        <v>0</v>
      </c>
      <c r="T52" s="14" t="n">
        <v>0</v>
      </c>
      <c r="U52" s="14" t="n">
        <v>0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44" t="n">
        <v>46126</v>
      </c>
      <c r="AB52" s="46">
        <f>HYPERLINK("#'Transactions'!A49", "View Source Row")</f>
        <v/>
      </c>
    </row>
    <row r="53">
      <c r="A53" s="14" t="n">
        <v>49</v>
      </c>
      <c r="B53" s="14" t="inlineStr">
        <is>
          <t>273.pdf</t>
        </is>
      </c>
      <c r="C53" s="44" t="n">
        <v>46113</v>
      </c>
      <c r="D53" s="44" t="n">
        <v>46142</v>
      </c>
      <c r="E53" s="44" t="n">
        <v>46126</v>
      </c>
      <c r="F53" s="44" t="n">
        <v>46126</v>
      </c>
      <c r="G53" s="16" t="inlineStr">
        <is>
          <t>EBANK:WIB/1503 EBANK:WIB/1503879023/Edfs</t>
        </is>
      </c>
      <c r="H53" s="14" t="str"/>
      <c r="I53" s="14" t="inlineStr">
        <is>
          <t>Receipt</t>
        </is>
      </c>
      <c r="J53" s="43" t="n">
        <v>0</v>
      </c>
      <c r="K53" s="43" t="n">
        <v>421121.65</v>
      </c>
      <c r="L53" s="43" t="n">
        <v>421121.65</v>
      </c>
      <c r="M53" s="43" t="n">
        <v>-9245743.24</v>
      </c>
      <c r="N53" s="14" t="inlineStr">
        <is>
          <t>High Transaction; Recurring Transaction</t>
        </is>
      </c>
      <c r="O53" s="14" t="inlineStr">
        <is>
          <t>Yes</t>
        </is>
      </c>
      <c r="P53" s="14" t="inlineStr">
        <is>
          <t>EBANKWIB</t>
        </is>
      </c>
      <c r="Q53" s="14" t="n">
        <v>0</v>
      </c>
      <c r="R53" s="14" t="n">
        <v>1</v>
      </c>
      <c r="S53" s="14" t="n">
        <v>0</v>
      </c>
      <c r="T53" s="14" t="n">
        <v>0</v>
      </c>
      <c r="U53" s="14" t="n">
        <v>1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44" t="n">
        <v>46126</v>
      </c>
      <c r="AB53" s="46">
        <f>HYPERLINK("#'Transactions'!A50", "View Source Row")</f>
        <v/>
      </c>
    </row>
    <row r="54">
      <c r="A54" s="14" t="n">
        <v>50</v>
      </c>
      <c r="B54" s="14" t="inlineStr">
        <is>
          <t>273.pdf</t>
        </is>
      </c>
      <c r="C54" s="44" t="n">
        <v>46113</v>
      </c>
      <c r="D54" s="44" t="n">
        <v>46142</v>
      </c>
      <c r="E54" s="44" t="n">
        <v>46126</v>
      </c>
      <c r="F54" s="44" t="n">
        <v>46126</v>
      </c>
      <c r="G54" s="16" t="inlineStr">
        <is>
          <t>EBANK:WIB/1504 EBANK:WIB/1504010401/Edfs</t>
        </is>
      </c>
      <c r="H54" s="14" t="str"/>
      <c r="I54" s="14" t="inlineStr">
        <is>
          <t>Receipt</t>
        </is>
      </c>
      <c r="J54" s="43" t="n">
        <v>0</v>
      </c>
      <c r="K54" s="43" t="n">
        <v>240000</v>
      </c>
      <c r="L54" s="43" t="n">
        <v>240000</v>
      </c>
      <c r="M54" s="43" t="n">
        <v>-9005743.24</v>
      </c>
      <c r="N54" s="14" t="inlineStr">
        <is>
          <t>High Transaction; Recurring Transaction</t>
        </is>
      </c>
      <c r="O54" s="14" t="inlineStr">
        <is>
          <t>Yes</t>
        </is>
      </c>
      <c r="P54" s="14" t="inlineStr">
        <is>
          <t>EBANKWIB</t>
        </is>
      </c>
      <c r="Q54" s="14" t="n">
        <v>0</v>
      </c>
      <c r="R54" s="14" t="n">
        <v>1</v>
      </c>
      <c r="S54" s="14" t="n">
        <v>0</v>
      </c>
      <c r="T54" s="14" t="n">
        <v>0</v>
      </c>
      <c r="U54" s="14" t="n">
        <v>1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44" t="n">
        <v>46126</v>
      </c>
      <c r="AB54" s="46">
        <f>HYPERLINK("#'Transactions'!A51", "View Source Row")</f>
        <v/>
      </c>
    </row>
    <row r="55">
      <c r="A55" s="14" t="n">
        <v>51</v>
      </c>
      <c r="B55" s="14" t="inlineStr">
        <is>
          <t>273.pdf</t>
        </is>
      </c>
      <c r="C55" s="44" t="n">
        <v>46113</v>
      </c>
      <c r="D55" s="44" t="n">
        <v>46142</v>
      </c>
      <c r="E55" s="44" t="n">
        <v>46127</v>
      </c>
      <c r="F55" s="44" t="n">
        <v>46127</v>
      </c>
      <c r="G55" s="16" t="inlineStr">
        <is>
          <t>0000-MUMBAI/IN INT260331DEAL6279575</t>
        </is>
      </c>
      <c r="H55" s="14" t="str"/>
      <c r="I55" s="14" t="inlineStr">
        <is>
          <t>Payment</t>
        </is>
      </c>
      <c r="J55" s="43" t="n">
        <v>1795.79</v>
      </c>
      <c r="K55" s="43" t="n">
        <v>0</v>
      </c>
      <c r="L55" s="43" t="n">
        <v>1795.79</v>
      </c>
      <c r="M55" s="43" t="n">
        <v>-9007539.029999999</v>
      </c>
      <c r="N55" s="14" t="inlineStr">
        <is>
          <t>Recurring Transaction</t>
        </is>
      </c>
      <c r="O55" s="14" t="inlineStr">
        <is>
          <t>Yes</t>
        </is>
      </c>
      <c r="P55" s="14" t="inlineStr">
        <is>
          <t>IN INTDEAL</t>
        </is>
      </c>
      <c r="Q55" s="14" t="n">
        <v>0</v>
      </c>
      <c r="R55" s="14" t="n">
        <v>1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44" t="n">
        <v>46127</v>
      </c>
      <c r="AB55" s="46">
        <f>HYPERLINK("#'Transactions'!A52", "View Source Row")</f>
        <v/>
      </c>
    </row>
    <row r="56">
      <c r="A56" s="14" t="n">
        <v>52</v>
      </c>
      <c r="B56" s="14" t="inlineStr">
        <is>
          <t>273.pdf</t>
        </is>
      </c>
      <c r="C56" s="44" t="n">
        <v>46113</v>
      </c>
      <c r="D56" s="44" t="n">
        <v>46142</v>
      </c>
      <c r="E56" s="44" t="n">
        <v>46127</v>
      </c>
      <c r="F56" s="44" t="n">
        <v>46127</v>
      </c>
      <c r="G56" s="16" t="inlineStr">
        <is>
          <t>EBANK:WIB/1504 EBANK:WIB/1504019959/Edfs</t>
        </is>
      </c>
      <c r="H56" s="14" t="str"/>
      <c r="I56" s="14" t="inlineStr">
        <is>
          <t>Receipt</t>
        </is>
      </c>
      <c r="J56" s="43" t="n">
        <v>0</v>
      </c>
      <c r="K56" s="43" t="n">
        <v>401141.57</v>
      </c>
      <c r="L56" s="43" t="n">
        <v>401141.57</v>
      </c>
      <c r="M56" s="43" t="n">
        <v>-8606397.460000001</v>
      </c>
      <c r="N56" s="14" t="inlineStr">
        <is>
          <t>High Transaction; Recurring Transaction</t>
        </is>
      </c>
      <c r="O56" s="14" t="inlineStr">
        <is>
          <t>Yes</t>
        </is>
      </c>
      <c r="P56" s="14" t="inlineStr">
        <is>
          <t>EBANKWIB</t>
        </is>
      </c>
      <c r="Q56" s="14" t="n">
        <v>0</v>
      </c>
      <c r="R56" s="14" t="n">
        <v>1</v>
      </c>
      <c r="S56" s="14" t="n">
        <v>0</v>
      </c>
      <c r="T56" s="14" t="n">
        <v>0</v>
      </c>
      <c r="U56" s="14" t="n">
        <v>1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44" t="n">
        <v>46127</v>
      </c>
      <c r="AB56" s="46">
        <f>HYPERLINK("#'Transactions'!A53", "View Source Row")</f>
        <v/>
      </c>
    </row>
    <row r="57">
      <c r="A57" s="14" t="n">
        <v>53</v>
      </c>
      <c r="B57" s="14" t="inlineStr">
        <is>
          <t>273.pdf</t>
        </is>
      </c>
      <c r="C57" s="44" t="n">
        <v>46113</v>
      </c>
      <c r="D57" s="44" t="n">
        <v>46142</v>
      </c>
      <c r="E57" s="44" t="n">
        <v>46127</v>
      </c>
      <c r="F57" s="44" t="n">
        <v>46127</v>
      </c>
      <c r="G57" s="16" t="inlineStr">
        <is>
          <t>BANTWA-BANTWAL INT260330DEAL6270027</t>
        </is>
      </c>
      <c r="H57" s="14" t="str"/>
      <c r="I57" s="14" t="inlineStr">
        <is>
          <t>Payment</t>
        </is>
      </c>
      <c r="J57" s="43" t="n">
        <v>241.53</v>
      </c>
      <c r="K57" s="43" t="n">
        <v>0</v>
      </c>
      <c r="L57" s="43" t="n">
        <v>241.53</v>
      </c>
      <c r="M57" s="43" t="n">
        <v>-8606638.99</v>
      </c>
      <c r="N57" s="14" t="inlineStr">
        <is>
          <t>Other</t>
        </is>
      </c>
      <c r="O57" s="14" t="inlineStr">
        <is>
          <t>No</t>
        </is>
      </c>
      <c r="P57" s="14" t="inlineStr">
        <is>
          <t>BANTWAL INTDEAL</t>
        </is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44" t="n">
        <v>46127</v>
      </c>
      <c r="AB57" s="46">
        <f>HYPERLINK("#'Transactions'!A54", "View Source Row")</f>
        <v/>
      </c>
    </row>
    <row r="58">
      <c r="A58" s="14" t="n">
        <v>54</v>
      </c>
      <c r="B58" s="14" t="inlineStr">
        <is>
          <t>273.pdf</t>
        </is>
      </c>
      <c r="C58" s="44" t="n">
        <v>46113</v>
      </c>
      <c r="D58" s="44" t="n">
        <v>46142</v>
      </c>
      <c r="E58" s="44" t="n">
        <v>46127</v>
      </c>
      <c r="F58" s="44" t="n">
        <v>46127</v>
      </c>
      <c r="G58" s="16" t="inlineStr">
        <is>
          <t>EBANK:WIB/1504 EBANK:WIB/1504096201/Edfs</t>
        </is>
      </c>
      <c r="H58" s="14" t="str"/>
      <c r="I58" s="14" t="inlineStr">
        <is>
          <t>Receipt</t>
        </is>
      </c>
      <c r="J58" s="43" t="n">
        <v>0</v>
      </c>
      <c r="K58" s="43" t="n">
        <v>125424</v>
      </c>
      <c r="L58" s="43" t="n">
        <v>125424</v>
      </c>
      <c r="M58" s="43" t="n">
        <v>-8481214.99</v>
      </c>
      <c r="N58" s="14" t="inlineStr">
        <is>
          <t>High Transaction; Recurring Transaction</t>
        </is>
      </c>
      <c r="O58" s="14" t="inlineStr">
        <is>
          <t>Yes</t>
        </is>
      </c>
      <c r="P58" s="14" t="inlineStr">
        <is>
          <t>EBANKWIB</t>
        </is>
      </c>
      <c r="Q58" s="14" t="n">
        <v>0</v>
      </c>
      <c r="R58" s="14" t="n">
        <v>1</v>
      </c>
      <c r="S58" s="14" t="n">
        <v>0</v>
      </c>
      <c r="T58" s="14" t="n">
        <v>0</v>
      </c>
      <c r="U58" s="14" t="n">
        <v>1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44" t="n">
        <v>46127</v>
      </c>
      <c r="AB58" s="46">
        <f>HYPERLINK("#'Transactions'!A55", "View Source Row")</f>
        <v/>
      </c>
    </row>
    <row r="59">
      <c r="A59" s="14" t="n">
        <v>55</v>
      </c>
      <c r="B59" s="14" t="inlineStr">
        <is>
          <t>273.pdf</t>
        </is>
      </c>
      <c r="C59" s="44" t="n">
        <v>46113</v>
      </c>
      <c r="D59" s="44" t="n">
        <v>46142</v>
      </c>
      <c r="E59" s="44" t="n">
        <v>46127</v>
      </c>
      <c r="F59" s="44" t="n">
        <v>46127</v>
      </c>
      <c r="G59" s="16" t="inlineStr">
        <is>
          <t>BY CASH BY CASH</t>
        </is>
      </c>
      <c r="H59" s="14" t="str"/>
      <c r="I59" s="14" t="inlineStr">
        <is>
          <t>Receipt</t>
        </is>
      </c>
      <c r="J59" s="43" t="n">
        <v>0</v>
      </c>
      <c r="K59" s="43" t="n">
        <v>371000</v>
      </c>
      <c r="L59" s="43" t="n">
        <v>371000</v>
      </c>
      <c r="M59" s="43" t="n">
        <v>-8110214.99</v>
      </c>
      <c r="N59" s="14" t="inlineStr">
        <is>
          <t>Cash; High Transaction; Recurring Transaction</t>
        </is>
      </c>
      <c r="O59" s="14" t="inlineStr">
        <is>
          <t>Yes</t>
        </is>
      </c>
      <c r="P59" s="14" t="inlineStr">
        <is>
          <t>BY CASH BY CASH</t>
        </is>
      </c>
      <c r="Q59" s="14" t="n">
        <v>1</v>
      </c>
      <c r="R59" s="14" t="n">
        <v>1</v>
      </c>
      <c r="S59" s="14" t="n">
        <v>0</v>
      </c>
      <c r="T59" s="14" t="n">
        <v>0</v>
      </c>
      <c r="U59" s="14" t="n">
        <v>1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44" t="n">
        <v>46127</v>
      </c>
      <c r="AB59" s="46">
        <f>HYPERLINK("#'Transactions'!A56", "View Source Row")</f>
        <v/>
      </c>
    </row>
    <row r="60">
      <c r="A60" s="14" t="n">
        <v>56</v>
      </c>
      <c r="B60" s="14" t="inlineStr">
        <is>
          <t>273.pdf</t>
        </is>
      </c>
      <c r="C60" s="44" t="n">
        <v>46113</v>
      </c>
      <c r="D60" s="44" t="n">
        <v>46142</v>
      </c>
      <c r="E60" s="44" t="n">
        <v>46127</v>
      </c>
      <c r="F60" s="44" t="n">
        <v>46127</v>
      </c>
      <c r="G60" s="16" t="inlineStr">
        <is>
          <t>EBANK:WIB/1504 EBANK:WIB/1504156827/Edfs</t>
        </is>
      </c>
      <c r="H60" s="14" t="str"/>
      <c r="I60" s="14" t="inlineStr">
        <is>
          <t>Receipt</t>
        </is>
      </c>
      <c r="J60" s="43" t="n">
        <v>0</v>
      </c>
      <c r="K60" s="43" t="n">
        <v>13736</v>
      </c>
      <c r="L60" s="43" t="n">
        <v>13736</v>
      </c>
      <c r="M60" s="43" t="n">
        <v>-8096478.99</v>
      </c>
      <c r="N60" s="14" t="inlineStr">
        <is>
          <t>Recurring Transaction</t>
        </is>
      </c>
      <c r="O60" s="14" t="inlineStr">
        <is>
          <t>Yes</t>
        </is>
      </c>
      <c r="P60" s="14" t="inlineStr">
        <is>
          <t>EBANKWIB</t>
        </is>
      </c>
      <c r="Q60" s="14" t="n">
        <v>0</v>
      </c>
      <c r="R60" s="14" t="n">
        <v>1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44" t="n">
        <v>46127</v>
      </c>
      <c r="AB60" s="46">
        <f>HYPERLINK("#'Transactions'!A57", "View Source Row")</f>
        <v/>
      </c>
    </row>
    <row r="61">
      <c r="A61" s="14" t="n">
        <v>57</v>
      </c>
      <c r="B61" s="14" t="inlineStr">
        <is>
          <t>273.pdf</t>
        </is>
      </c>
      <c r="C61" s="44" t="n">
        <v>46113</v>
      </c>
      <c r="D61" s="44" t="n">
        <v>46142</v>
      </c>
      <c r="E61" s="44" t="n">
        <v>46127</v>
      </c>
      <c r="F61" s="44" t="n">
        <v>46127</v>
      </c>
      <c r="G61" s="16" t="inlineStr">
        <is>
          <t>RTGS-BARBR5202 RTGS-BARBR52026041500840540-HINDUSTAN PETROLEUM CO</t>
        </is>
      </c>
      <c r="H61" s="14" t="str"/>
      <c r="I61" s="14" t="inlineStr">
        <is>
          <t>Payment</t>
        </is>
      </c>
      <c r="J61" s="43" t="n">
        <v>1889785</v>
      </c>
      <c r="K61" s="43" t="n">
        <v>0</v>
      </c>
      <c r="L61" s="43" t="n">
        <v>1889785</v>
      </c>
      <c r="M61" s="43" t="n">
        <v>-9986263.99</v>
      </c>
      <c r="N61" s="14" t="inlineStr">
        <is>
          <t>High Transaction; Recurring Transaction</t>
        </is>
      </c>
      <c r="O61" s="14" t="inlineStr">
        <is>
          <t>Yes</t>
        </is>
      </c>
      <c r="P61" s="14" t="inlineStr">
        <is>
          <t>BARBR RTGS</t>
        </is>
      </c>
      <c r="Q61" s="14" t="n">
        <v>0</v>
      </c>
      <c r="R61" s="14" t="n">
        <v>1</v>
      </c>
      <c r="S61" s="14" t="n">
        <v>0</v>
      </c>
      <c r="T61" s="14" t="n">
        <v>0</v>
      </c>
      <c r="U61" s="14" t="n">
        <v>1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44" t="n">
        <v>46127</v>
      </c>
      <c r="AB61" s="46">
        <f>HYPERLINK("#'Transactions'!A58", "View Source Row")</f>
        <v/>
      </c>
    </row>
    <row r="62">
      <c r="A62" s="14" t="n">
        <v>58</v>
      </c>
      <c r="B62" s="14" t="inlineStr">
        <is>
          <t>273.pdf</t>
        </is>
      </c>
      <c r="C62" s="44" t="n">
        <v>46113</v>
      </c>
      <c r="D62" s="44" t="n">
        <v>46142</v>
      </c>
      <c r="E62" s="44" t="n">
        <v>46127</v>
      </c>
      <c r="F62" s="44" t="n">
        <v>46127</v>
      </c>
      <c r="G62" s="16" t="inlineStr">
        <is>
          <t>EBANK:WIB/1504 EBANK:WIB/1504160264/Edfs</t>
        </is>
      </c>
      <c r="H62" s="14" t="str"/>
      <c r="I62" s="14" t="inlineStr">
        <is>
          <t>Receipt</t>
        </is>
      </c>
      <c r="J62" s="43" t="n">
        <v>0</v>
      </c>
      <c r="K62" s="43" t="n">
        <v>54252.8</v>
      </c>
      <c r="L62" s="43" t="n">
        <v>54252.8</v>
      </c>
      <c r="M62" s="43" t="n">
        <v>-9932011.189999999</v>
      </c>
      <c r="N62" s="14" t="inlineStr">
        <is>
          <t>Recurring Transaction</t>
        </is>
      </c>
      <c r="O62" s="14" t="inlineStr">
        <is>
          <t>Yes</t>
        </is>
      </c>
      <c r="P62" s="14" t="inlineStr">
        <is>
          <t>EBANKWIB</t>
        </is>
      </c>
      <c r="Q62" s="14" t="n">
        <v>0</v>
      </c>
      <c r="R62" s="14" t="n">
        <v>1</v>
      </c>
      <c r="S62" s="14" t="n">
        <v>0</v>
      </c>
      <c r="T62" s="14" t="n">
        <v>0</v>
      </c>
      <c r="U62" s="14" t="n">
        <v>0</v>
      </c>
      <c r="V62" s="14" t="n">
        <v>0</v>
      </c>
      <c r="W62" s="14" t="n">
        <v>0</v>
      </c>
      <c r="X62" s="14" t="n">
        <v>0</v>
      </c>
      <c r="Y62" s="14" t="n">
        <v>0</v>
      </c>
      <c r="Z62" s="14" t="n">
        <v>0</v>
      </c>
      <c r="AA62" s="44" t="n">
        <v>46127</v>
      </c>
      <c r="AB62" s="46">
        <f>HYPERLINK("#'Transactions'!A59", "View Source Row")</f>
        <v/>
      </c>
    </row>
    <row r="63">
      <c r="A63" s="14" t="n">
        <v>59</v>
      </c>
      <c r="B63" s="14" t="inlineStr">
        <is>
          <t>273.pdf</t>
        </is>
      </c>
      <c r="C63" s="44" t="n">
        <v>46113</v>
      </c>
      <c r="D63" s="44" t="n">
        <v>46142</v>
      </c>
      <c r="E63" s="44" t="n">
        <v>46127</v>
      </c>
      <c r="F63" s="44" t="n">
        <v>46127</v>
      </c>
      <c r="G63" s="16" t="inlineStr">
        <is>
          <t>NEFT-BARBQ2610 NEFT-BARBQ26105757267-HINDUSTAN PETROLEUM CORPORAT</t>
        </is>
      </c>
      <c r="H63" s="14" t="str"/>
      <c r="I63" s="14" t="inlineStr">
        <is>
          <t>Payment</t>
        </is>
      </c>
      <c r="J63" s="43" t="n">
        <v>67988</v>
      </c>
      <c r="K63" s="43" t="n">
        <v>0</v>
      </c>
      <c r="L63" s="43" t="n">
        <v>67988</v>
      </c>
      <c r="M63" s="43" t="n">
        <v>-9999999.189999999</v>
      </c>
      <c r="N63" s="14" t="inlineStr">
        <is>
          <t>Recurring Transaction</t>
        </is>
      </c>
      <c r="O63" s="14" t="inlineStr">
        <is>
          <t>Yes</t>
        </is>
      </c>
      <c r="P63" s="14" t="inlineStr">
        <is>
          <t>BARBQ NEFT</t>
        </is>
      </c>
      <c r="Q63" s="14" t="n">
        <v>0</v>
      </c>
      <c r="R63" s="14" t="n">
        <v>1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44" t="n">
        <v>46127</v>
      </c>
      <c r="AB63" s="46">
        <f>HYPERLINK("#'Transactions'!A60", "View Source Row")</f>
        <v/>
      </c>
    </row>
    <row r="64">
      <c r="A64" s="14" t="n">
        <v>60</v>
      </c>
      <c r="B64" s="14" t="inlineStr">
        <is>
          <t>273.pdf</t>
        </is>
      </c>
      <c r="C64" s="44" t="n">
        <v>46113</v>
      </c>
      <c r="D64" s="44" t="n">
        <v>46142</v>
      </c>
      <c r="E64" s="44" t="n">
        <v>46127</v>
      </c>
      <c r="F64" s="44" t="n">
        <v>46127</v>
      </c>
      <c r="G64" s="16" t="inlineStr">
        <is>
          <t>EBANK:WIB/1504 EBANK:WIB/1504165308/Edfs</t>
        </is>
      </c>
      <c r="H64" s="14" t="str"/>
      <c r="I64" s="14" t="inlineStr">
        <is>
          <t>Receipt</t>
        </is>
      </c>
      <c r="J64" s="43" t="n">
        <v>0</v>
      </c>
      <c r="K64" s="43" t="n">
        <v>44496</v>
      </c>
      <c r="L64" s="43" t="n">
        <v>44496</v>
      </c>
      <c r="M64" s="43" t="n">
        <v>-9955503.189999999</v>
      </c>
      <c r="N64" s="14" t="inlineStr">
        <is>
          <t>Recurring Transaction</t>
        </is>
      </c>
      <c r="O64" s="14" t="inlineStr">
        <is>
          <t>Yes</t>
        </is>
      </c>
      <c r="P64" s="14" t="inlineStr">
        <is>
          <t>EBANKWIB</t>
        </is>
      </c>
      <c r="Q64" s="14" t="n">
        <v>0</v>
      </c>
      <c r="R64" s="14" t="n">
        <v>1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44" t="n">
        <v>46127</v>
      </c>
      <c r="AB64" s="46">
        <f>HYPERLINK("#'Transactions'!A61", "View Source Row")</f>
        <v/>
      </c>
    </row>
    <row r="65">
      <c r="A65" s="14" t="n">
        <v>61</v>
      </c>
      <c r="B65" s="14" t="inlineStr">
        <is>
          <t>273.pdf</t>
        </is>
      </c>
      <c r="C65" s="44" t="n">
        <v>46113</v>
      </c>
      <c r="D65" s="44" t="n">
        <v>46142</v>
      </c>
      <c r="E65" s="44" t="n">
        <v>46128</v>
      </c>
      <c r="F65" s="44" t="n">
        <v>46128</v>
      </c>
      <c r="G65" s="16" t="inlineStr">
        <is>
          <t>NEFT-BARBS2610 NEFT-BARBS26106083004-HINDUSTAN PETROLEUM CORPORAT</t>
        </is>
      </c>
      <c r="H65" s="14" t="str"/>
      <c r="I65" s="14" t="inlineStr">
        <is>
          <t>Payment</t>
        </is>
      </c>
      <c r="J65" s="43" t="n">
        <v>40692.24</v>
      </c>
      <c r="K65" s="43" t="n">
        <v>0</v>
      </c>
      <c r="L65" s="43" t="n">
        <v>40692.24</v>
      </c>
      <c r="M65" s="43" t="n">
        <v>-9996195.43</v>
      </c>
      <c r="N65" s="14" t="inlineStr">
        <is>
          <t>Other</t>
        </is>
      </c>
      <c r="O65" s="14" t="inlineStr">
        <is>
          <t>No</t>
        </is>
      </c>
      <c r="P65" s="14" t="inlineStr">
        <is>
          <t>BARBS NEFT</t>
        </is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44" t="n">
        <v>46128</v>
      </c>
      <c r="AB65" s="46">
        <f>HYPERLINK("#'Transactions'!A62", "View Source Row")</f>
        <v/>
      </c>
    </row>
    <row r="66">
      <c r="A66" s="14" t="n">
        <v>62</v>
      </c>
      <c r="B66" s="14" t="inlineStr">
        <is>
          <t>273.pdf</t>
        </is>
      </c>
      <c r="C66" s="44" t="n">
        <v>46113</v>
      </c>
      <c r="D66" s="44" t="n">
        <v>46142</v>
      </c>
      <c r="E66" s="44" t="n">
        <v>46128</v>
      </c>
      <c r="F66" s="44" t="n">
        <v>46128</v>
      </c>
      <c r="G66" s="16" t="inlineStr">
        <is>
          <t>EBANK:WIB/1504 ---------------------------------------------------------------------------------------------------------------------------------- Page Total: 39,70,606.25 25,69,345.80 90,98,021.65Dr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66" s="14" t="str"/>
      <c r="I66" s="14" t="inlineStr">
        <is>
          <t>Receipt</t>
        </is>
      </c>
      <c r="J66" s="43" t="n">
        <v>0</v>
      </c>
      <c r="K66" s="43" t="n">
        <v>898173.78</v>
      </c>
      <c r="L66" s="43" t="n">
        <v>898173.78</v>
      </c>
      <c r="M66" s="43" t="n">
        <v>-9098021.65</v>
      </c>
      <c r="N66" s="14" t="inlineStr">
        <is>
          <t>High Transaction; Recurring Transaction</t>
        </is>
      </c>
      <c r="O66" s="14" t="inlineStr">
        <is>
          <t>Yes</t>
        </is>
      </c>
      <c r="P66" s="14" t="inlineStr">
        <is>
          <t>EBANKWIB</t>
        </is>
      </c>
      <c r="Q66" s="14" t="n">
        <v>0</v>
      </c>
      <c r="R66" s="14" t="n">
        <v>1</v>
      </c>
      <c r="S66" s="14" t="n">
        <v>0</v>
      </c>
      <c r="T66" s="14" t="n">
        <v>0</v>
      </c>
      <c r="U66" s="14" t="n">
        <v>1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44" t="n">
        <v>46128</v>
      </c>
      <c r="AB66" s="46">
        <f>HYPERLINK("#'Transactions'!A63", "View Source Row")</f>
        <v/>
      </c>
    </row>
    <row r="67">
      <c r="A67" s="14" t="n">
        <v>63</v>
      </c>
      <c r="B67" s="14" t="inlineStr">
        <is>
          <t>273.pdf</t>
        </is>
      </c>
      <c r="C67" s="44" t="n">
        <v>46113</v>
      </c>
      <c r="D67" s="44" t="n">
        <v>46142</v>
      </c>
      <c r="E67" s="44" t="n">
        <v>46128</v>
      </c>
      <c r="F67" s="44" t="n">
        <v>46128</v>
      </c>
      <c r="G67" s="16" t="inlineStr">
        <is>
          <t>BY CASH BY CASH</t>
        </is>
      </c>
      <c r="H67" s="14" t="str"/>
      <c r="I67" s="14" t="inlineStr">
        <is>
          <t>Receipt</t>
        </is>
      </c>
      <c r="J67" s="43" t="n">
        <v>0</v>
      </c>
      <c r="K67" s="43" t="n">
        <v>166000</v>
      </c>
      <c r="L67" s="43" t="n">
        <v>166000</v>
      </c>
      <c r="M67" s="43" t="n">
        <v>-8932021.65</v>
      </c>
      <c r="N67" s="14" t="inlineStr">
        <is>
          <t>Cash; High Transaction; Recurring Transaction</t>
        </is>
      </c>
      <c r="O67" s="14" t="inlineStr">
        <is>
          <t>Yes</t>
        </is>
      </c>
      <c r="P67" s="14" t="inlineStr">
        <is>
          <t>BY CASH BY CASH</t>
        </is>
      </c>
      <c r="Q67" s="14" t="n">
        <v>1</v>
      </c>
      <c r="R67" s="14" t="n">
        <v>1</v>
      </c>
      <c r="S67" s="14" t="n">
        <v>0</v>
      </c>
      <c r="T67" s="14" t="n">
        <v>0</v>
      </c>
      <c r="U67" s="14" t="n">
        <v>1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44" t="n">
        <v>46128</v>
      </c>
      <c r="AB67" s="46">
        <f>HYPERLINK("#'Transactions'!A64", "View Source Row")</f>
        <v/>
      </c>
    </row>
    <row r="68">
      <c r="A68" s="14" t="n">
        <v>64</v>
      </c>
      <c r="B68" s="14" t="inlineStr">
        <is>
          <t>273.pdf</t>
        </is>
      </c>
      <c r="C68" s="44" t="n">
        <v>46113</v>
      </c>
      <c r="D68" s="44" t="n">
        <v>46142</v>
      </c>
      <c r="E68" s="44" t="n">
        <v>46128</v>
      </c>
      <c r="F68" s="44" t="n">
        <v>46128</v>
      </c>
      <c r="G68" s="16" t="inlineStr">
        <is>
          <t>DIGITA-MUMBAI/ INT260330DEAL6270027</t>
        </is>
      </c>
      <c r="H68" s="14" t="str"/>
      <c r="I68" s="14" t="inlineStr">
        <is>
          <t>Payment</t>
        </is>
      </c>
      <c r="J68" s="43" t="n">
        <v>3.6</v>
      </c>
      <c r="K68" s="43" t="n">
        <v>0</v>
      </c>
      <c r="L68" s="43" t="n">
        <v>3.6</v>
      </c>
      <c r="M68" s="43" t="n">
        <v>-8932025.25</v>
      </c>
      <c r="N68" s="14" t="inlineStr">
        <is>
          <t>Recurring Transaction</t>
        </is>
      </c>
      <c r="O68" s="14" t="inlineStr">
        <is>
          <t>Yes</t>
        </is>
      </c>
      <c r="P68" s="14" t="inlineStr">
        <is>
          <t>DIGITA-MUMBAI/ INT#DEAL#</t>
        </is>
      </c>
      <c r="Q68" s="14" t="n">
        <v>0</v>
      </c>
      <c r="R68" s="14" t="n">
        <v>1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44" t="n">
        <v>46128</v>
      </c>
      <c r="AB68" s="46">
        <f>HYPERLINK("#'Transactions'!A65", "View Source Row")</f>
        <v/>
      </c>
    </row>
    <row r="69">
      <c r="A69" s="14" t="n">
        <v>65</v>
      </c>
      <c r="B69" s="14" t="inlineStr">
        <is>
          <t>273.pdf</t>
        </is>
      </c>
      <c r="C69" s="44" t="n">
        <v>46113</v>
      </c>
      <c r="D69" s="44" t="n">
        <v>46142</v>
      </c>
      <c r="E69" s="44" t="n">
        <v>46128</v>
      </c>
      <c r="F69" s="44" t="n">
        <v>46128</v>
      </c>
      <c r="G69" s="16" t="inlineStr">
        <is>
          <t>VJSOLU-SOLUR/I INT260331DEAL6279575</t>
        </is>
      </c>
      <c r="H69" s="14" t="str"/>
      <c r="I69" s="14" t="inlineStr">
        <is>
          <t>Payment</t>
        </is>
      </c>
      <c r="J69" s="43" t="n">
        <v>120.12</v>
      </c>
      <c r="K69" s="43" t="n">
        <v>0</v>
      </c>
      <c r="L69" s="43" t="n">
        <v>120.12</v>
      </c>
      <c r="M69" s="43" t="n">
        <v>-8932145.369999999</v>
      </c>
      <c r="N69" s="14" t="inlineStr">
        <is>
          <t>Other</t>
        </is>
      </c>
      <c r="O69" s="14" t="inlineStr">
        <is>
          <t>No</t>
        </is>
      </c>
      <c r="P69" s="14" t="inlineStr">
        <is>
          <t>I INTDEAL</t>
        </is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</v>
      </c>
      <c r="Y69" s="14" t="n">
        <v>0</v>
      </c>
      <c r="Z69" s="14" t="n">
        <v>0</v>
      </c>
      <c r="AA69" s="44" t="n">
        <v>46128</v>
      </c>
      <c r="AB69" s="46">
        <f>HYPERLINK("#'Transactions'!A66", "View Source Row")</f>
        <v/>
      </c>
    </row>
    <row r="70">
      <c r="A70" s="14" t="n">
        <v>66</v>
      </c>
      <c r="B70" s="14" t="inlineStr">
        <is>
          <t>273.pdf</t>
        </is>
      </c>
      <c r="C70" s="44" t="n">
        <v>46113</v>
      </c>
      <c r="D70" s="44" t="n">
        <v>46142</v>
      </c>
      <c r="E70" s="44" t="n">
        <v>46129</v>
      </c>
      <c r="F70" s="44" t="n">
        <v>46129</v>
      </c>
      <c r="G70" s="16" t="inlineStr">
        <is>
          <t>EBANK:WIB/1504 EBANK:WIB/1504347697/Edfs</t>
        </is>
      </c>
      <c r="H70" s="14" t="str"/>
      <c r="I70" s="14" t="inlineStr">
        <is>
          <t>Receipt</t>
        </is>
      </c>
      <c r="J70" s="43" t="n">
        <v>0</v>
      </c>
      <c r="K70" s="43" t="n">
        <v>328514.76</v>
      </c>
      <c r="L70" s="43" t="n">
        <v>328514.76</v>
      </c>
      <c r="M70" s="43" t="n">
        <v>-8603630.609999999</v>
      </c>
      <c r="N70" s="14" t="inlineStr">
        <is>
          <t>High Transaction; Recurring Transaction</t>
        </is>
      </c>
      <c r="O70" s="14" t="inlineStr">
        <is>
          <t>Yes</t>
        </is>
      </c>
      <c r="P70" s="14" t="inlineStr">
        <is>
          <t>EBANKWIB</t>
        </is>
      </c>
      <c r="Q70" s="14" t="n">
        <v>0</v>
      </c>
      <c r="R70" s="14" t="n">
        <v>1</v>
      </c>
      <c r="S70" s="14" t="n">
        <v>0</v>
      </c>
      <c r="T70" s="14" t="n">
        <v>0</v>
      </c>
      <c r="U70" s="14" t="n">
        <v>1</v>
      </c>
      <c r="V70" s="14" t="n">
        <v>0</v>
      </c>
      <c r="W70" s="14" t="n">
        <v>0</v>
      </c>
      <c r="X70" s="14" t="n">
        <v>0</v>
      </c>
      <c r="Y70" s="14" t="n">
        <v>0</v>
      </c>
      <c r="Z70" s="14" t="n">
        <v>0</v>
      </c>
      <c r="AA70" s="44" t="n">
        <v>46129</v>
      </c>
      <c r="AB70" s="46">
        <f>HYPERLINK("#'Transactions'!A67", "View Source Row")</f>
        <v/>
      </c>
    </row>
    <row r="71">
      <c r="A71" s="14" t="n">
        <v>67</v>
      </c>
      <c r="B71" s="14" t="inlineStr">
        <is>
          <t>273.pdf</t>
        </is>
      </c>
      <c r="C71" s="44" t="n">
        <v>46113</v>
      </c>
      <c r="D71" s="44" t="n">
        <v>46142</v>
      </c>
      <c r="E71" s="44" t="n">
        <v>46129</v>
      </c>
      <c r="F71" s="44" t="n">
        <v>46129</v>
      </c>
      <c r="G71" s="16" t="inlineStr">
        <is>
          <t>0000-MUMBAI/IN INT260402DEAL6291634</t>
        </is>
      </c>
      <c r="H71" s="14" t="str"/>
      <c r="I71" s="14" t="inlineStr">
        <is>
          <t>Payment</t>
        </is>
      </c>
      <c r="J71" s="43" t="n">
        <v>4857.17</v>
      </c>
      <c r="K71" s="43" t="n">
        <v>0</v>
      </c>
      <c r="L71" s="43" t="n">
        <v>4857.17</v>
      </c>
      <c r="M71" s="43" t="n">
        <v>-8608487.779999999</v>
      </c>
      <c r="N71" s="14" t="inlineStr">
        <is>
          <t>Recurring Transaction</t>
        </is>
      </c>
      <c r="O71" s="14" t="inlineStr">
        <is>
          <t>Yes</t>
        </is>
      </c>
      <c r="P71" s="14" t="inlineStr">
        <is>
          <t>IN INTDEAL</t>
        </is>
      </c>
      <c r="Q71" s="14" t="n">
        <v>0</v>
      </c>
      <c r="R71" s="14" t="n">
        <v>1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44" t="n">
        <v>46129</v>
      </c>
      <c r="AB71" s="46">
        <f>HYPERLINK("#'Transactions'!A68", "View Source Row")</f>
        <v/>
      </c>
    </row>
    <row r="72">
      <c r="A72" s="14" t="n">
        <v>68</v>
      </c>
      <c r="B72" s="14" t="inlineStr">
        <is>
          <t>273.pdf</t>
        </is>
      </c>
      <c r="C72" s="44" t="n">
        <v>46113</v>
      </c>
      <c r="D72" s="44" t="n">
        <v>46142</v>
      </c>
      <c r="E72" s="44" t="n">
        <v>46129</v>
      </c>
      <c r="F72" s="44" t="n">
        <v>46129</v>
      </c>
      <c r="G72" s="16" t="inlineStr">
        <is>
          <t>EBANK:WIB/1504 EBANK:WIB/1504424773/Edfs</t>
        </is>
      </c>
      <c r="H72" s="14" t="str"/>
      <c r="I72" s="14" t="inlineStr">
        <is>
          <t>Receipt</t>
        </is>
      </c>
      <c r="J72" s="43" t="n">
        <v>0</v>
      </c>
      <c r="K72" s="43" t="n">
        <v>150000</v>
      </c>
      <c r="L72" s="43" t="n">
        <v>150000</v>
      </c>
      <c r="M72" s="43" t="n">
        <v>-8458487.779999999</v>
      </c>
      <c r="N72" s="14" t="inlineStr">
        <is>
          <t>High Transaction; Recurring Transaction</t>
        </is>
      </c>
      <c r="O72" s="14" t="inlineStr">
        <is>
          <t>Yes</t>
        </is>
      </c>
      <c r="P72" s="14" t="inlineStr">
        <is>
          <t>EBANKWIB</t>
        </is>
      </c>
      <c r="Q72" s="14" t="n">
        <v>0</v>
      </c>
      <c r="R72" s="14" t="n">
        <v>1</v>
      </c>
      <c r="S72" s="14" t="n">
        <v>0</v>
      </c>
      <c r="T72" s="14" t="n">
        <v>0</v>
      </c>
      <c r="U72" s="14" t="n">
        <v>1</v>
      </c>
      <c r="V72" s="14" t="n">
        <v>0</v>
      </c>
      <c r="W72" s="14" t="n">
        <v>0</v>
      </c>
      <c r="X72" s="14" t="n">
        <v>0</v>
      </c>
      <c r="Y72" s="14" t="n">
        <v>0</v>
      </c>
      <c r="Z72" s="14" t="n">
        <v>0</v>
      </c>
      <c r="AA72" s="44" t="n">
        <v>46129</v>
      </c>
      <c r="AB72" s="46">
        <f>HYPERLINK("#'Transactions'!A69", "View Source Row")</f>
        <v/>
      </c>
    </row>
    <row r="73">
      <c r="A73" s="14" t="n">
        <v>69</v>
      </c>
      <c r="B73" s="14" t="inlineStr">
        <is>
          <t>273.pdf</t>
        </is>
      </c>
      <c r="C73" s="44" t="n">
        <v>46113</v>
      </c>
      <c r="D73" s="44" t="n">
        <v>46142</v>
      </c>
      <c r="E73" s="44" t="n">
        <v>46130</v>
      </c>
      <c r="F73" s="44" t="n">
        <v>46130</v>
      </c>
      <c r="G73" s="16" t="inlineStr">
        <is>
          <t>0000-MUMBAI/IN INT260404DEAL6301802</t>
        </is>
      </c>
      <c r="H73" s="14" t="str"/>
      <c r="I73" s="14" t="inlineStr">
        <is>
          <t>Payment</t>
        </is>
      </c>
      <c r="J73" s="43" t="n">
        <v>6118.58</v>
      </c>
      <c r="K73" s="43" t="n">
        <v>0</v>
      </c>
      <c r="L73" s="43" t="n">
        <v>6118.58</v>
      </c>
      <c r="M73" s="43" t="n">
        <v>-8464606.359999999</v>
      </c>
      <c r="N73" s="14" t="inlineStr">
        <is>
          <t>Recurring Transaction</t>
        </is>
      </c>
      <c r="O73" s="14" t="inlineStr">
        <is>
          <t>Yes</t>
        </is>
      </c>
      <c r="P73" s="14" t="inlineStr">
        <is>
          <t>IN INTDEAL</t>
        </is>
      </c>
      <c r="Q73" s="14" t="n">
        <v>0</v>
      </c>
      <c r="R73" s="14" t="n">
        <v>1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44" t="n">
        <v>46130</v>
      </c>
      <c r="AB73" s="46">
        <f>HYPERLINK("#'Transactions'!A70", "View Source Row")</f>
        <v/>
      </c>
    </row>
    <row r="74">
      <c r="A74" s="14" t="n">
        <v>70</v>
      </c>
      <c r="B74" s="14" t="inlineStr">
        <is>
          <t>273.pdf</t>
        </is>
      </c>
      <c r="C74" s="44" t="n">
        <v>46113</v>
      </c>
      <c r="D74" s="44" t="n">
        <v>46142</v>
      </c>
      <c r="E74" s="44" t="n">
        <v>46130</v>
      </c>
      <c r="F74" s="44" t="n">
        <v>46130</v>
      </c>
      <c r="G74" s="16" t="inlineStr">
        <is>
          <t>BY CASH BY CASH</t>
        </is>
      </c>
      <c r="H74" s="14" t="str"/>
      <c r="I74" s="14" t="inlineStr">
        <is>
          <t>Receipt</t>
        </is>
      </c>
      <c r="J74" s="43" t="n">
        <v>0</v>
      </c>
      <c r="K74" s="43" t="n">
        <v>394500</v>
      </c>
      <c r="L74" s="43" t="n">
        <v>394500</v>
      </c>
      <c r="M74" s="43" t="n">
        <v>-8070106.36</v>
      </c>
      <c r="N74" s="14" t="inlineStr">
        <is>
          <t>Cash; High Transaction; Recurring Transaction</t>
        </is>
      </c>
      <c r="O74" s="14" t="inlineStr">
        <is>
          <t>Yes</t>
        </is>
      </c>
      <c r="P74" s="14" t="inlineStr">
        <is>
          <t>BY CASH BY CASH</t>
        </is>
      </c>
      <c r="Q74" s="14" t="n">
        <v>1</v>
      </c>
      <c r="R74" s="14" t="n">
        <v>1</v>
      </c>
      <c r="S74" s="14" t="n">
        <v>0</v>
      </c>
      <c r="T74" s="14" t="n">
        <v>0</v>
      </c>
      <c r="U74" s="14" t="n">
        <v>1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44" t="n">
        <v>46130</v>
      </c>
      <c r="AB74" s="46">
        <f>HYPERLINK("#'Transactions'!A71", "View Source Row")</f>
        <v/>
      </c>
    </row>
    <row r="75">
      <c r="A75" s="14" t="n">
        <v>71</v>
      </c>
      <c r="B75" s="14" t="inlineStr">
        <is>
          <t>273.pdf</t>
        </is>
      </c>
      <c r="C75" s="44" t="n">
        <v>46113</v>
      </c>
      <c r="D75" s="44" t="n">
        <v>46142</v>
      </c>
      <c r="E75" s="44" t="n">
        <v>46130</v>
      </c>
      <c r="F75" s="44" t="n">
        <v>46130</v>
      </c>
      <c r="G75" s="16" t="inlineStr">
        <is>
          <t>DBUTRA-LUCKNOW INT260402DEAL6291634</t>
        </is>
      </c>
      <c r="H75" s="14" t="str"/>
      <c r="I75" s="14" t="inlineStr">
        <is>
          <t>Payment</t>
        </is>
      </c>
      <c r="J75" s="43" t="n">
        <v>93.69</v>
      </c>
      <c r="K75" s="43" t="n">
        <v>0</v>
      </c>
      <c r="L75" s="43" t="n">
        <v>93.69</v>
      </c>
      <c r="M75" s="43" t="n">
        <v>-8070200.05</v>
      </c>
      <c r="N75" s="14" t="inlineStr">
        <is>
          <t>Other</t>
        </is>
      </c>
      <c r="O75" s="14" t="inlineStr">
        <is>
          <t>No</t>
        </is>
      </c>
      <c r="P75" s="14" t="inlineStr">
        <is>
          <t>LUCKNOW INTDEAL</t>
        </is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44" t="n">
        <v>46130</v>
      </c>
      <c r="AB75" s="46">
        <f>HYPERLINK("#'Transactions'!A72", "View Source Row")</f>
        <v/>
      </c>
    </row>
    <row r="76">
      <c r="A76" s="14" t="n">
        <v>72</v>
      </c>
      <c r="B76" s="14" t="inlineStr">
        <is>
          <t>273.pdf</t>
        </is>
      </c>
      <c r="C76" s="44" t="n">
        <v>46113</v>
      </c>
      <c r="D76" s="44" t="n">
        <v>46142</v>
      </c>
      <c r="E76" s="44" t="n">
        <v>46130</v>
      </c>
      <c r="F76" s="44" t="n">
        <v>46130</v>
      </c>
      <c r="G76" s="16" t="inlineStr">
        <is>
          <t>EBANK:WIB/1504 EBANK:WIB/1504650433/Edfs</t>
        </is>
      </c>
      <c r="H76" s="14" t="str"/>
      <c r="I76" s="14" t="inlineStr">
        <is>
          <t>Receipt</t>
        </is>
      </c>
      <c r="J76" s="43" t="n">
        <v>0</v>
      </c>
      <c r="K76" s="43" t="n">
        <v>480667.28</v>
      </c>
      <c r="L76" s="43" t="n">
        <v>480667.28</v>
      </c>
      <c r="M76" s="43" t="n">
        <v>-7589532.77</v>
      </c>
      <c r="N76" s="14" t="inlineStr">
        <is>
          <t>High Transaction; Recurring Transaction</t>
        </is>
      </c>
      <c r="O76" s="14" t="inlineStr">
        <is>
          <t>Yes</t>
        </is>
      </c>
      <c r="P76" s="14" t="inlineStr">
        <is>
          <t>EBANKWIB</t>
        </is>
      </c>
      <c r="Q76" s="14" t="n">
        <v>0</v>
      </c>
      <c r="R76" s="14" t="n">
        <v>1</v>
      </c>
      <c r="S76" s="14" t="n">
        <v>0</v>
      </c>
      <c r="T76" s="14" t="n">
        <v>0</v>
      </c>
      <c r="U76" s="14" t="n">
        <v>1</v>
      </c>
      <c r="V76" s="14" t="n">
        <v>0</v>
      </c>
      <c r="W76" s="14" t="n">
        <v>0</v>
      </c>
      <c r="X76" s="14" t="n">
        <v>0</v>
      </c>
      <c r="Y76" s="14" t="n">
        <v>0</v>
      </c>
      <c r="Z76" s="14" t="n">
        <v>0</v>
      </c>
      <c r="AA76" s="44" t="n">
        <v>46130</v>
      </c>
      <c r="AB76" s="46">
        <f>HYPERLINK("#'Transactions'!A73", "View Source Row")</f>
        <v/>
      </c>
    </row>
    <row r="77">
      <c r="A77" s="14" t="n">
        <v>73</v>
      </c>
      <c r="B77" s="14" t="inlineStr">
        <is>
          <t>273.pdf</t>
        </is>
      </c>
      <c r="C77" s="44" t="n">
        <v>46113</v>
      </c>
      <c r="D77" s="44" t="n">
        <v>46142</v>
      </c>
      <c r="E77" s="44" t="n">
        <v>46131</v>
      </c>
      <c r="F77" s="44" t="n">
        <v>46131</v>
      </c>
      <c r="G77" s="16" t="inlineStr">
        <is>
          <t>EBANK:WIB/1504 EBANK:WIB/1504657570/Edfs</t>
        </is>
      </c>
      <c r="H77" s="14" t="str"/>
      <c r="I77" s="14" t="inlineStr">
        <is>
          <t>Receipt</t>
        </is>
      </c>
      <c r="J77" s="43" t="n">
        <v>0</v>
      </c>
      <c r="K77" s="43" t="n">
        <v>259433</v>
      </c>
      <c r="L77" s="43" t="n">
        <v>259433</v>
      </c>
      <c r="M77" s="43" t="n">
        <v>-7330099.77</v>
      </c>
      <c r="N77" s="14" t="inlineStr">
        <is>
          <t>High Transaction; Recurring Transaction</t>
        </is>
      </c>
      <c r="O77" s="14" t="inlineStr">
        <is>
          <t>Yes</t>
        </is>
      </c>
      <c r="P77" s="14" t="inlineStr">
        <is>
          <t>EBANKWIB</t>
        </is>
      </c>
      <c r="Q77" s="14" t="n">
        <v>0</v>
      </c>
      <c r="R77" s="14" t="n">
        <v>1</v>
      </c>
      <c r="S77" s="14" t="n">
        <v>0</v>
      </c>
      <c r="T77" s="14" t="n">
        <v>0</v>
      </c>
      <c r="U77" s="14" t="n">
        <v>1</v>
      </c>
      <c r="V77" s="14" t="n">
        <v>0</v>
      </c>
      <c r="W77" s="14" t="n">
        <v>0</v>
      </c>
      <c r="X77" s="14" t="n">
        <v>0</v>
      </c>
      <c r="Y77" s="14" t="n">
        <v>0</v>
      </c>
      <c r="Z77" s="14" t="n">
        <v>0</v>
      </c>
      <c r="AA77" s="44" t="n">
        <v>46131</v>
      </c>
      <c r="AB77" s="46">
        <f>HYPERLINK("#'Transactions'!A74", "View Source Row")</f>
        <v/>
      </c>
    </row>
    <row r="78">
      <c r="A78" s="14" t="n">
        <v>74</v>
      </c>
      <c r="B78" s="14" t="inlineStr">
        <is>
          <t>273.pdf</t>
        </is>
      </c>
      <c r="C78" s="44" t="n">
        <v>46113</v>
      </c>
      <c r="D78" s="44" t="n">
        <v>46142</v>
      </c>
      <c r="E78" s="44" t="n">
        <v>46131</v>
      </c>
      <c r="F78" s="44" t="n">
        <v>46131</v>
      </c>
      <c r="G78" s="16" t="inlineStr">
        <is>
          <t>RTGS-BARBR5202 RTGS-BARBR52026041900792985-HINDUSTAN PETROLEUM CO</t>
        </is>
      </c>
      <c r="H78" s="14" t="str"/>
      <c r="I78" s="14" t="inlineStr">
        <is>
          <t>Payment</t>
        </is>
      </c>
      <c r="J78" s="43" t="n">
        <v>1933014</v>
      </c>
      <c r="K78" s="43" t="n">
        <v>0</v>
      </c>
      <c r="L78" s="43" t="n">
        <v>1933014</v>
      </c>
      <c r="M78" s="43" t="n">
        <v>-9263113.77</v>
      </c>
      <c r="N78" s="14" t="inlineStr">
        <is>
          <t>High Transaction; Recurring Transaction</t>
        </is>
      </c>
      <c r="O78" s="14" t="inlineStr">
        <is>
          <t>Yes</t>
        </is>
      </c>
      <c r="P78" s="14" t="inlineStr">
        <is>
          <t>BARBR RTGS</t>
        </is>
      </c>
      <c r="Q78" s="14" t="n">
        <v>0</v>
      </c>
      <c r="R78" s="14" t="n">
        <v>1</v>
      </c>
      <c r="S78" s="14" t="n">
        <v>0</v>
      </c>
      <c r="T78" s="14" t="n">
        <v>0</v>
      </c>
      <c r="U78" s="14" t="n">
        <v>1</v>
      </c>
      <c r="V78" s="14" t="n">
        <v>0</v>
      </c>
      <c r="W78" s="14" t="n">
        <v>0</v>
      </c>
      <c r="X78" s="14" t="n">
        <v>0</v>
      </c>
      <c r="Y78" s="14" t="n">
        <v>0</v>
      </c>
      <c r="Z78" s="14" t="n">
        <v>0</v>
      </c>
      <c r="AA78" s="44" t="n">
        <v>46131</v>
      </c>
      <c r="AB78" s="46">
        <f>HYPERLINK("#'Transactions'!A75", "View Source Row")</f>
        <v/>
      </c>
    </row>
    <row r="79">
      <c r="A79" s="14" t="n">
        <v>75</v>
      </c>
      <c r="B79" s="14" t="inlineStr">
        <is>
          <t>273.pdf</t>
        </is>
      </c>
      <c r="C79" s="44" t="n">
        <v>46113</v>
      </c>
      <c r="D79" s="44" t="n">
        <v>46142</v>
      </c>
      <c r="E79" s="44" t="n">
        <v>46131</v>
      </c>
      <c r="F79" s="44" t="n">
        <v>46131</v>
      </c>
      <c r="G79" s="16" t="inlineStr">
        <is>
          <t>SASRAM-SASARAM INT260404DEAL6301802</t>
        </is>
      </c>
      <c r="H79" s="14" t="str"/>
      <c r="I79" s="14" t="inlineStr">
        <is>
          <t>Payment</t>
        </is>
      </c>
      <c r="J79" s="43" t="n">
        <v>325.99</v>
      </c>
      <c r="K79" s="43" t="n">
        <v>0</v>
      </c>
      <c r="L79" s="43" t="n">
        <v>325.99</v>
      </c>
      <c r="M79" s="43" t="n">
        <v>-9263439.76</v>
      </c>
      <c r="N79" s="14" t="inlineStr">
        <is>
          <t>Other</t>
        </is>
      </c>
      <c r="O79" s="14" t="inlineStr">
        <is>
          <t>No</t>
        </is>
      </c>
      <c r="P79" s="14" t="inlineStr">
        <is>
          <t>SASARAM INTDEAL</t>
        </is>
      </c>
      <c r="Q79" s="14" t="n">
        <v>0</v>
      </c>
      <c r="R79" s="14" t="n">
        <v>0</v>
      </c>
      <c r="S79" s="14" t="n">
        <v>0</v>
      </c>
      <c r="T79" s="14" t="n">
        <v>0</v>
      </c>
      <c r="U79" s="14" t="n">
        <v>0</v>
      </c>
      <c r="V79" s="14" t="n">
        <v>0</v>
      </c>
      <c r="W79" s="14" t="n">
        <v>0</v>
      </c>
      <c r="X79" s="14" t="n">
        <v>0</v>
      </c>
      <c r="Y79" s="14" t="n">
        <v>0</v>
      </c>
      <c r="Z79" s="14" t="n">
        <v>0</v>
      </c>
      <c r="AA79" s="44" t="n">
        <v>46131</v>
      </c>
      <c r="AB79" s="46">
        <f>HYPERLINK("#'Transactions'!A76", "View Source Row")</f>
        <v/>
      </c>
    </row>
    <row r="80">
      <c r="A80" s="14" t="n">
        <v>76</v>
      </c>
      <c r="B80" s="14" t="inlineStr">
        <is>
          <t>273.pdf</t>
        </is>
      </c>
      <c r="C80" s="44" t="n">
        <v>46113</v>
      </c>
      <c r="D80" s="44" t="n">
        <v>46142</v>
      </c>
      <c r="E80" s="44" t="n">
        <v>46131</v>
      </c>
      <c r="F80" s="44" t="n">
        <v>46131</v>
      </c>
      <c r="G80" s="16" t="inlineStr">
        <is>
          <t>EBANK:WIB/1504 EBANK:WIB/1504707135/Edfs</t>
        </is>
      </c>
      <c r="H80" s="14" t="str"/>
      <c r="I80" s="14" t="inlineStr">
        <is>
          <t>Receipt</t>
        </is>
      </c>
      <c r="J80" s="43" t="n">
        <v>0</v>
      </c>
      <c r="K80" s="43" t="n">
        <v>211310.53</v>
      </c>
      <c r="L80" s="43" t="n">
        <v>211310.53</v>
      </c>
      <c r="M80" s="43" t="n">
        <v>-9052129.23</v>
      </c>
      <c r="N80" s="14" t="inlineStr">
        <is>
          <t>High Transaction; Recurring Transaction</t>
        </is>
      </c>
      <c r="O80" s="14" t="inlineStr">
        <is>
          <t>Yes</t>
        </is>
      </c>
      <c r="P80" s="14" t="inlineStr">
        <is>
          <t>EBANKWIB</t>
        </is>
      </c>
      <c r="Q80" s="14" t="n">
        <v>0</v>
      </c>
      <c r="R80" s="14" t="n">
        <v>1</v>
      </c>
      <c r="S80" s="14" t="n">
        <v>0</v>
      </c>
      <c r="T80" s="14" t="n">
        <v>0</v>
      </c>
      <c r="U80" s="14" t="n">
        <v>1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44" t="n">
        <v>46131</v>
      </c>
      <c r="AB80" s="46">
        <f>HYPERLINK("#'Transactions'!A77", "View Source Row")</f>
        <v/>
      </c>
    </row>
    <row r="81">
      <c r="A81" s="14" t="n">
        <v>77</v>
      </c>
      <c r="B81" s="14" t="inlineStr">
        <is>
          <t>273.pdf</t>
        </is>
      </c>
      <c r="C81" s="44" t="n">
        <v>46113</v>
      </c>
      <c r="D81" s="44" t="n">
        <v>46142</v>
      </c>
      <c r="E81" s="44" t="n">
        <v>46132</v>
      </c>
      <c r="F81" s="44" t="n">
        <v>46132</v>
      </c>
      <c r="G81" s="16" t="inlineStr">
        <is>
          <t>EBANK:WIB/1504 EBANK:WIB/1504717278/Edfs</t>
        </is>
      </c>
      <c r="H81" s="14" t="str"/>
      <c r="I81" s="14" t="inlineStr">
        <is>
          <t>Receipt</t>
        </is>
      </c>
      <c r="J81" s="43" t="n">
        <v>0</v>
      </c>
      <c r="K81" s="43" t="n">
        <v>260572.52</v>
      </c>
      <c r="L81" s="43" t="n">
        <v>260572.52</v>
      </c>
      <c r="M81" s="43" t="n">
        <v>-8791556.710000001</v>
      </c>
      <c r="N81" s="14" t="inlineStr">
        <is>
          <t>High Transaction; Recurring Transaction</t>
        </is>
      </c>
      <c r="O81" s="14" t="inlineStr">
        <is>
          <t>Yes</t>
        </is>
      </c>
      <c r="P81" s="14" t="inlineStr">
        <is>
          <t>EBANKWIB</t>
        </is>
      </c>
      <c r="Q81" s="14" t="n">
        <v>0</v>
      </c>
      <c r="R81" s="14" t="n">
        <v>1</v>
      </c>
      <c r="S81" s="14" t="n">
        <v>0</v>
      </c>
      <c r="T81" s="14" t="n">
        <v>0</v>
      </c>
      <c r="U81" s="14" t="n">
        <v>1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44" t="n">
        <v>46132</v>
      </c>
      <c r="AB81" s="46">
        <f>HYPERLINK("#'Transactions'!A78", "View Source Row")</f>
        <v/>
      </c>
    </row>
    <row r="82">
      <c r="A82" s="14" t="n">
        <v>78</v>
      </c>
      <c r="B82" s="14" t="inlineStr">
        <is>
          <t>273.pdf</t>
        </is>
      </c>
      <c r="C82" s="44" t="n">
        <v>46113</v>
      </c>
      <c r="D82" s="44" t="n">
        <v>46142</v>
      </c>
      <c r="E82" s="44" t="n">
        <v>46132</v>
      </c>
      <c r="F82" s="44" t="n">
        <v>46132</v>
      </c>
      <c r="G82" s="16" t="inlineStr">
        <is>
          <t>RISHIK-RISHIKE ---------------------------------------------------------------------------------------------------------------------------------- Page Total: 19,44,748.30 22,50,998.09 87,91,771.86Dr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82" s="14" t="str"/>
      <c r="I82" s="14" t="inlineStr">
        <is>
          <t>Payment</t>
        </is>
      </c>
      <c r="J82" s="43" t="n">
        <v>215.15</v>
      </c>
      <c r="K82" s="43" t="n">
        <v>0</v>
      </c>
      <c r="L82" s="43" t="n">
        <v>215.15</v>
      </c>
      <c r="M82" s="43" t="n">
        <v>-8791771.859999999</v>
      </c>
      <c r="N82" s="14" t="inlineStr">
        <is>
          <t>Recurring Transaction</t>
        </is>
      </c>
      <c r="O82" s="14" t="inlineStr">
        <is>
          <t>Yes</t>
        </is>
      </c>
      <c r="P82" s="14" t="inlineStr">
        <is>
          <t>PAGE TOTAL   DR</t>
        </is>
      </c>
      <c r="Q82" s="14" t="n">
        <v>0</v>
      </c>
      <c r="R82" s="14" t="n">
        <v>1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44" t="n">
        <v>46132</v>
      </c>
      <c r="AB82" s="46">
        <f>HYPERLINK("#'Transactions'!A79", "View Source Row")</f>
        <v/>
      </c>
    </row>
    <row r="83">
      <c r="A83" s="14" t="n">
        <v>79</v>
      </c>
      <c r="B83" s="14" t="inlineStr">
        <is>
          <t>273.pdf</t>
        </is>
      </c>
      <c r="C83" s="44" t="n">
        <v>46113</v>
      </c>
      <c r="D83" s="44" t="n">
        <v>46142</v>
      </c>
      <c r="E83" s="44" t="n">
        <v>46132</v>
      </c>
      <c r="F83" s="44" t="n">
        <v>46132</v>
      </c>
      <c r="G83" s="16" t="inlineStr">
        <is>
          <t>BY CASH BY CASH</t>
        </is>
      </c>
      <c r="H83" s="14" t="str"/>
      <c r="I83" s="14" t="inlineStr">
        <is>
          <t>Receipt</t>
        </is>
      </c>
      <c r="J83" s="43" t="n">
        <v>0</v>
      </c>
      <c r="K83" s="43" t="n">
        <v>336500</v>
      </c>
      <c r="L83" s="43" t="n">
        <v>336500</v>
      </c>
      <c r="M83" s="43" t="n">
        <v>-8455271.859999999</v>
      </c>
      <c r="N83" s="14" t="inlineStr">
        <is>
          <t>Cash; High Transaction; Recurring Transaction</t>
        </is>
      </c>
      <c r="O83" s="14" t="inlineStr">
        <is>
          <t>Yes</t>
        </is>
      </c>
      <c r="P83" s="14" t="inlineStr">
        <is>
          <t>BY CASH BY CASH</t>
        </is>
      </c>
      <c r="Q83" s="14" t="n">
        <v>1</v>
      </c>
      <c r="R83" s="14" t="n">
        <v>1</v>
      </c>
      <c r="S83" s="14" t="n">
        <v>0</v>
      </c>
      <c r="T83" s="14" t="n">
        <v>0</v>
      </c>
      <c r="U83" s="14" t="n">
        <v>1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44" t="n">
        <v>46132</v>
      </c>
      <c r="AB83" s="46">
        <f>HYPERLINK("#'Transactions'!A80", "View Source Row")</f>
        <v/>
      </c>
    </row>
    <row r="84">
      <c r="A84" s="14" t="n">
        <v>80</v>
      </c>
      <c r="B84" s="14" t="inlineStr">
        <is>
          <t>273.pdf</t>
        </is>
      </c>
      <c r="C84" s="44" t="n">
        <v>46113</v>
      </c>
      <c r="D84" s="44" t="n">
        <v>46142</v>
      </c>
      <c r="E84" s="44" t="n">
        <v>46132</v>
      </c>
      <c r="F84" s="44" t="n">
        <v>46132</v>
      </c>
      <c r="G84" s="16" t="inlineStr">
        <is>
          <t>EBANK:WIB/1504 EBANK:WIB/1504868004/Edfs</t>
        </is>
      </c>
      <c r="H84" s="14" t="str"/>
      <c r="I84" s="14" t="inlineStr">
        <is>
          <t>Receipt</t>
        </is>
      </c>
      <c r="J84" s="43" t="n">
        <v>0</v>
      </c>
      <c r="K84" s="43" t="n">
        <v>287084.78</v>
      </c>
      <c r="L84" s="43" t="n">
        <v>287084.78</v>
      </c>
      <c r="M84" s="43" t="n">
        <v>-8168187.08</v>
      </c>
      <c r="N84" s="14" t="inlineStr">
        <is>
          <t>High Transaction; Recurring Transaction</t>
        </is>
      </c>
      <c r="O84" s="14" t="inlineStr">
        <is>
          <t>Yes</t>
        </is>
      </c>
      <c r="P84" s="14" t="inlineStr">
        <is>
          <t>EBANKWIB</t>
        </is>
      </c>
      <c r="Q84" s="14" t="n">
        <v>0</v>
      </c>
      <c r="R84" s="14" t="n">
        <v>1</v>
      </c>
      <c r="S84" s="14" t="n">
        <v>0</v>
      </c>
      <c r="T84" s="14" t="n">
        <v>0</v>
      </c>
      <c r="U84" s="14" t="n">
        <v>1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44" t="n">
        <v>46132</v>
      </c>
      <c r="AB84" s="46">
        <f>HYPERLINK("#'Transactions'!A81", "View Source Row")</f>
        <v/>
      </c>
    </row>
    <row r="85">
      <c r="A85" s="14" t="n">
        <v>81</v>
      </c>
      <c r="B85" s="14" t="inlineStr">
        <is>
          <t>273.pdf</t>
        </is>
      </c>
      <c r="C85" s="44" t="n">
        <v>46113</v>
      </c>
      <c r="D85" s="44" t="n">
        <v>46142</v>
      </c>
      <c r="E85" s="44" t="n">
        <v>46133</v>
      </c>
      <c r="F85" s="44" t="n">
        <v>46133</v>
      </c>
      <c r="G85" s="16" t="inlineStr">
        <is>
          <t>EBANK:WIB/1504 EBANK:WIB/1504892301/Edfs</t>
        </is>
      </c>
      <c r="H85" s="14" t="str"/>
      <c r="I85" s="14" t="inlineStr">
        <is>
          <t>Receipt</t>
        </is>
      </c>
      <c r="J85" s="43" t="n">
        <v>0</v>
      </c>
      <c r="K85" s="43" t="n">
        <v>333445.92</v>
      </c>
      <c r="L85" s="43" t="n">
        <v>333445.92</v>
      </c>
      <c r="M85" s="43" t="n">
        <v>-7834741.16</v>
      </c>
      <c r="N85" s="14" t="inlineStr">
        <is>
          <t>High Transaction; Recurring Transaction</t>
        </is>
      </c>
      <c r="O85" s="14" t="inlineStr">
        <is>
          <t>Yes</t>
        </is>
      </c>
      <c r="P85" s="14" t="inlineStr">
        <is>
          <t>EBANKWIB</t>
        </is>
      </c>
      <c r="Q85" s="14" t="n">
        <v>0</v>
      </c>
      <c r="R85" s="14" t="n">
        <v>1</v>
      </c>
      <c r="S85" s="14" t="n">
        <v>0</v>
      </c>
      <c r="T85" s="14" t="n">
        <v>0</v>
      </c>
      <c r="U85" s="14" t="n">
        <v>1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44" t="n">
        <v>46133</v>
      </c>
      <c r="AB85" s="46">
        <f>HYPERLINK("#'Transactions'!A82", "View Source Row")</f>
        <v/>
      </c>
    </row>
    <row r="86">
      <c r="A86" s="14" t="n">
        <v>82</v>
      </c>
      <c r="B86" s="14" t="inlineStr">
        <is>
          <t>273.pdf</t>
        </is>
      </c>
      <c r="C86" s="44" t="n">
        <v>46113</v>
      </c>
      <c r="D86" s="44" t="n">
        <v>46142</v>
      </c>
      <c r="E86" s="44" t="n">
        <v>46133</v>
      </c>
      <c r="F86" s="44" t="n">
        <v>46133</v>
      </c>
      <c r="G86" s="16" t="inlineStr">
        <is>
          <t>MANNAG-NAGPUR/ INT260404DEAL6301802 https://cbdrpt101.bankofbaroda.co.in:22000/finbranch/arjspmorph/INFENG/tran_rpt.jsp?... 04-05-2026</t>
        </is>
      </c>
      <c r="H86" s="14" t="str"/>
      <c r="I86" s="14" t="inlineStr">
        <is>
          <t>Payment</t>
        </is>
      </c>
      <c r="J86" s="43" t="n">
        <v>6.88</v>
      </c>
      <c r="K86" s="43" t="n">
        <v>0</v>
      </c>
      <c r="L86" s="43" t="n">
        <v>6.88</v>
      </c>
      <c r="M86" s="43" t="n">
        <v>-7834748.04</v>
      </c>
      <c r="N86" s="14" t="inlineStr">
        <is>
          <t>Other</t>
        </is>
      </c>
      <c r="O86" s="14" t="inlineStr">
        <is>
          <t>No</t>
        </is>
      </c>
      <c r="P86" s="14" t="inlineStr">
        <is>
          <t>INTDEAL HTTPS</t>
        </is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44" t="n">
        <v>46133</v>
      </c>
      <c r="AB86" s="46">
        <f>HYPERLINK("#'Transactions'!A83", "View Source Row")</f>
        <v/>
      </c>
    </row>
    <row r="87">
      <c r="A87" s="14" t="n">
        <v>83</v>
      </c>
      <c r="B87" s="14" t="inlineStr">
        <is>
          <t>273.pdf</t>
        </is>
      </c>
      <c r="C87" s="44" t="n">
        <v>46113</v>
      </c>
      <c r="D87" s="44" t="n">
        <v>46142</v>
      </c>
      <c r="E87" s="44" t="n">
        <v>46133</v>
      </c>
      <c r="F87" s="44" t="n">
        <v>46133</v>
      </c>
      <c r="G87" s="16" t="inlineStr">
        <is>
          <t>RTGS-BARBR5202 RTGS-BARBR52026042100866436-HINDUSTAN PETROLEUM CO</t>
        </is>
      </c>
      <c r="H87" s="14" t="str"/>
      <c r="I87" s="14" t="inlineStr">
        <is>
          <t>Payment</t>
        </is>
      </c>
      <c r="J87" s="43" t="n">
        <v>2042157.6</v>
      </c>
      <c r="K87" s="43" t="n">
        <v>0</v>
      </c>
      <c r="L87" s="43" t="n">
        <v>2042157.6</v>
      </c>
      <c r="M87" s="43" t="n">
        <v>-9876905.640000001</v>
      </c>
      <c r="N87" s="14" t="inlineStr">
        <is>
          <t>High Transaction; Recurring Transaction</t>
        </is>
      </c>
      <c r="O87" s="14" t="inlineStr">
        <is>
          <t>Yes</t>
        </is>
      </c>
      <c r="P87" s="14" t="inlineStr">
        <is>
          <t>BARBR RTGS</t>
        </is>
      </c>
      <c r="Q87" s="14" t="n">
        <v>0</v>
      </c>
      <c r="R87" s="14" t="n">
        <v>1</v>
      </c>
      <c r="S87" s="14" t="n">
        <v>0</v>
      </c>
      <c r="T87" s="14" t="n">
        <v>0</v>
      </c>
      <c r="U87" s="14" t="n">
        <v>1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44" t="n">
        <v>46133</v>
      </c>
      <c r="AB87" s="46">
        <f>HYPERLINK("#'Transactions'!A84", "View Source Row")</f>
        <v/>
      </c>
    </row>
    <row r="88">
      <c r="A88" s="14" t="n">
        <v>84</v>
      </c>
      <c r="B88" s="14" t="inlineStr">
        <is>
          <t>273.pdf</t>
        </is>
      </c>
      <c r="C88" s="44" t="n">
        <v>46113</v>
      </c>
      <c r="D88" s="44" t="n">
        <v>46142</v>
      </c>
      <c r="E88" s="44" t="n">
        <v>46133</v>
      </c>
      <c r="F88" s="44" t="n">
        <v>46133</v>
      </c>
      <c r="G88" s="16" t="inlineStr">
        <is>
          <t>BY CASH BY CASH</t>
        </is>
      </c>
      <c r="H88" s="14" t="str"/>
      <c r="I88" s="14" t="inlineStr">
        <is>
          <t>Receipt</t>
        </is>
      </c>
      <c r="J88" s="43" t="n">
        <v>0</v>
      </c>
      <c r="K88" s="43" t="n">
        <v>150500</v>
      </c>
      <c r="L88" s="43" t="n">
        <v>150500</v>
      </c>
      <c r="M88" s="43" t="n">
        <v>-9726405.640000001</v>
      </c>
      <c r="N88" s="14" t="inlineStr">
        <is>
          <t>Cash; High Transaction; Recurring Transaction</t>
        </is>
      </c>
      <c r="O88" s="14" t="inlineStr">
        <is>
          <t>Yes</t>
        </is>
      </c>
      <c r="P88" s="14" t="inlineStr">
        <is>
          <t>BY CASH BY CASH</t>
        </is>
      </c>
      <c r="Q88" s="14" t="n">
        <v>1</v>
      </c>
      <c r="R88" s="14" t="n">
        <v>1</v>
      </c>
      <c r="S88" s="14" t="n">
        <v>0</v>
      </c>
      <c r="T88" s="14" t="n">
        <v>0</v>
      </c>
      <c r="U88" s="14" t="n">
        <v>1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44" t="n">
        <v>46133</v>
      </c>
      <c r="AB88" s="46">
        <f>HYPERLINK("#'Transactions'!A85", "View Source Row")</f>
        <v/>
      </c>
    </row>
    <row r="89">
      <c r="A89" s="14" t="n">
        <v>85</v>
      </c>
      <c r="B89" s="14" t="inlineStr">
        <is>
          <t>273.pdf</t>
        </is>
      </c>
      <c r="C89" s="44" t="n">
        <v>46113</v>
      </c>
      <c r="D89" s="44" t="n">
        <v>46142</v>
      </c>
      <c r="E89" s="44" t="n">
        <v>46133</v>
      </c>
      <c r="F89" s="44" t="n">
        <v>46133</v>
      </c>
      <c r="G89" s="16" t="inlineStr">
        <is>
          <t>EBANK:WIB/1505 EBANK:WIB/1505043394/Edfs</t>
        </is>
      </c>
      <c r="H89" s="14" t="str"/>
      <c r="I89" s="14" t="inlineStr">
        <is>
          <t>Receipt</t>
        </is>
      </c>
      <c r="J89" s="43" t="n">
        <v>0</v>
      </c>
      <c r="K89" s="43" t="n">
        <v>108963.7</v>
      </c>
      <c r="L89" s="43" t="n">
        <v>108963.7</v>
      </c>
      <c r="M89" s="43" t="n">
        <v>-9617441.939999999</v>
      </c>
      <c r="N89" s="14" t="inlineStr">
        <is>
          <t>High Transaction; Recurring Transaction</t>
        </is>
      </c>
      <c r="O89" s="14" t="inlineStr">
        <is>
          <t>Yes</t>
        </is>
      </c>
      <c r="P89" s="14" t="inlineStr">
        <is>
          <t>EBANKWIB</t>
        </is>
      </c>
      <c r="Q89" s="14" t="n">
        <v>0</v>
      </c>
      <c r="R89" s="14" t="n">
        <v>1</v>
      </c>
      <c r="S89" s="14" t="n">
        <v>0</v>
      </c>
      <c r="T89" s="14" t="n">
        <v>0</v>
      </c>
      <c r="U89" s="14" t="n">
        <v>1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44" t="n">
        <v>46133</v>
      </c>
      <c r="AB89" s="46">
        <f>HYPERLINK("#'Transactions'!A86", "View Source Row")</f>
        <v/>
      </c>
    </row>
    <row r="90">
      <c r="A90" s="14" t="n">
        <v>86</v>
      </c>
      <c r="B90" s="14" t="inlineStr">
        <is>
          <t>273.pdf</t>
        </is>
      </c>
      <c r="C90" s="44" t="n">
        <v>46113</v>
      </c>
      <c r="D90" s="44" t="n">
        <v>46142</v>
      </c>
      <c r="E90" s="44" t="n">
        <v>46134</v>
      </c>
      <c r="F90" s="44" t="n">
        <v>46134</v>
      </c>
      <c r="G90" s="16" t="inlineStr">
        <is>
          <t>0000-MUMBAI/IN INT260407DEAL6316451</t>
        </is>
      </c>
      <c r="H90" s="14" t="str"/>
      <c r="I90" s="14" t="inlineStr">
        <is>
          <t>Payment</t>
        </is>
      </c>
      <c r="J90" s="43" t="n">
        <v>6617.14</v>
      </c>
      <c r="K90" s="43" t="n">
        <v>0</v>
      </c>
      <c r="L90" s="43" t="n">
        <v>6617.14</v>
      </c>
      <c r="M90" s="43" t="n">
        <v>-9624059.08</v>
      </c>
      <c r="N90" s="14" t="inlineStr">
        <is>
          <t>Recurring Transaction</t>
        </is>
      </c>
      <c r="O90" s="14" t="inlineStr">
        <is>
          <t>Yes</t>
        </is>
      </c>
      <c r="P90" s="14" t="inlineStr">
        <is>
          <t>IN INTDEAL</t>
        </is>
      </c>
      <c r="Q90" s="14" t="n">
        <v>0</v>
      </c>
      <c r="R90" s="14" t="n">
        <v>1</v>
      </c>
      <c r="S90" s="14" t="n">
        <v>0</v>
      </c>
      <c r="T90" s="14" t="n">
        <v>0</v>
      </c>
      <c r="U90" s="14" t="n">
        <v>0</v>
      </c>
      <c r="V90" s="14" t="n">
        <v>0</v>
      </c>
      <c r="W90" s="14" t="n">
        <v>0</v>
      </c>
      <c r="X90" s="14" t="n">
        <v>0</v>
      </c>
      <c r="Y90" s="14" t="n">
        <v>0</v>
      </c>
      <c r="Z90" s="14" t="n">
        <v>0</v>
      </c>
      <c r="AA90" s="44" t="n">
        <v>46134</v>
      </c>
      <c r="AB90" s="46">
        <f>HYPERLINK("#'Transactions'!A87", "View Source Row")</f>
        <v/>
      </c>
    </row>
    <row r="91">
      <c r="A91" s="14" t="n">
        <v>87</v>
      </c>
      <c r="B91" s="14" t="inlineStr">
        <is>
          <t>273.pdf</t>
        </is>
      </c>
      <c r="C91" s="44" t="n">
        <v>46113</v>
      </c>
      <c r="D91" s="44" t="n">
        <v>46142</v>
      </c>
      <c r="E91" s="44" t="n">
        <v>46134</v>
      </c>
      <c r="F91" s="44" t="n">
        <v>46134</v>
      </c>
      <c r="G91" s="16" t="inlineStr">
        <is>
          <t>EBANK:WIB/1505 EBANK:WIB/1505048812/Edfs</t>
        </is>
      </c>
      <c r="H91" s="14" t="str"/>
      <c r="I91" s="14" t="inlineStr">
        <is>
          <t>Receipt</t>
        </is>
      </c>
      <c r="J91" s="43" t="n">
        <v>0</v>
      </c>
      <c r="K91" s="43" t="n">
        <v>259307.24</v>
      </c>
      <c r="L91" s="43" t="n">
        <v>259307.24</v>
      </c>
      <c r="M91" s="43" t="n">
        <v>-9364751.84</v>
      </c>
      <c r="N91" s="14" t="inlineStr">
        <is>
          <t>High Transaction; Recurring Transaction</t>
        </is>
      </c>
      <c r="O91" s="14" t="inlineStr">
        <is>
          <t>Yes</t>
        </is>
      </c>
      <c r="P91" s="14" t="inlineStr">
        <is>
          <t>EBANKWIB</t>
        </is>
      </c>
      <c r="Q91" s="14" t="n">
        <v>0</v>
      </c>
      <c r="R91" s="14" t="n">
        <v>1</v>
      </c>
      <c r="S91" s="14" t="n">
        <v>0</v>
      </c>
      <c r="T91" s="14" t="n">
        <v>0</v>
      </c>
      <c r="U91" s="14" t="n">
        <v>1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44" t="n">
        <v>46134</v>
      </c>
      <c r="AB91" s="46">
        <f>HYPERLINK("#'Transactions'!A88", "View Source Row")</f>
        <v/>
      </c>
    </row>
    <row r="92">
      <c r="A92" s="14" t="n">
        <v>88</v>
      </c>
      <c r="B92" s="14" t="inlineStr">
        <is>
          <t>273.pdf</t>
        </is>
      </c>
      <c r="C92" s="44" t="n">
        <v>46113</v>
      </c>
      <c r="D92" s="44" t="n">
        <v>46142</v>
      </c>
      <c r="E92" s="44" t="n">
        <v>46134</v>
      </c>
      <c r="F92" s="44" t="n">
        <v>46134</v>
      </c>
      <c r="G92" s="16" t="inlineStr">
        <is>
          <t>0000-MUMBAI/IN INT260407DEAL6316451</t>
        </is>
      </c>
      <c r="H92" s="14" t="str"/>
      <c r="I92" s="14" t="inlineStr">
        <is>
          <t>Receipt</t>
        </is>
      </c>
      <c r="J92" s="43" t="n">
        <v>0</v>
      </c>
      <c r="K92" s="43" t="n">
        <v>25.67</v>
      </c>
      <c r="L92" s="43" t="n">
        <v>25.67</v>
      </c>
      <c r="M92" s="43" t="n">
        <v>-9364726.17</v>
      </c>
      <c r="N92" s="14" t="inlineStr">
        <is>
          <t>Recurring Transaction</t>
        </is>
      </c>
      <c r="O92" s="14" t="inlineStr">
        <is>
          <t>Yes</t>
        </is>
      </c>
      <c r="P92" s="14" t="inlineStr">
        <is>
          <t>IN INTDEAL</t>
        </is>
      </c>
      <c r="Q92" s="14" t="n">
        <v>0</v>
      </c>
      <c r="R92" s="14" t="n">
        <v>1</v>
      </c>
      <c r="S92" s="14" t="n">
        <v>0</v>
      </c>
      <c r="T92" s="14" t="n">
        <v>0</v>
      </c>
      <c r="U92" s="14" t="n">
        <v>0</v>
      </c>
      <c r="V92" s="14" t="n">
        <v>0</v>
      </c>
      <c r="W92" s="14" t="n">
        <v>0</v>
      </c>
      <c r="X92" s="14" t="n">
        <v>0</v>
      </c>
      <c r="Y92" s="14" t="n">
        <v>0</v>
      </c>
      <c r="Z92" s="14" t="n">
        <v>0</v>
      </c>
      <c r="AA92" s="44" t="n">
        <v>46134</v>
      </c>
      <c r="AB92" s="46">
        <f>HYPERLINK("#'Transactions'!A89", "View Source Row")</f>
        <v/>
      </c>
    </row>
    <row r="93">
      <c r="A93" s="14" t="n">
        <v>89</v>
      </c>
      <c r="B93" s="14" t="inlineStr">
        <is>
          <t>273.pdf</t>
        </is>
      </c>
      <c r="C93" s="44" t="n">
        <v>46113</v>
      </c>
      <c r="D93" s="44" t="n">
        <v>46142</v>
      </c>
      <c r="E93" s="44" t="n">
        <v>46134</v>
      </c>
      <c r="F93" s="44" t="n">
        <v>46134</v>
      </c>
      <c r="G93" s="16" t="inlineStr">
        <is>
          <t>BY CASH BY CASH</t>
        </is>
      </c>
      <c r="H93" s="14" t="str"/>
      <c r="I93" s="14" t="inlineStr">
        <is>
          <t>Receipt</t>
        </is>
      </c>
      <c r="J93" s="43" t="n">
        <v>0</v>
      </c>
      <c r="K93" s="43" t="n">
        <v>609000</v>
      </c>
      <c r="L93" s="43" t="n">
        <v>609000</v>
      </c>
      <c r="M93" s="43" t="n">
        <v>-8755726.17</v>
      </c>
      <c r="N93" s="14" t="inlineStr">
        <is>
          <t>Cash; High Transaction; Recurring Transaction</t>
        </is>
      </c>
      <c r="O93" s="14" t="inlineStr">
        <is>
          <t>Yes</t>
        </is>
      </c>
      <c r="P93" s="14" t="inlineStr">
        <is>
          <t>BY CASH BY CASH</t>
        </is>
      </c>
      <c r="Q93" s="14" t="n">
        <v>1</v>
      </c>
      <c r="R93" s="14" t="n">
        <v>1</v>
      </c>
      <c r="S93" s="14" t="n">
        <v>0</v>
      </c>
      <c r="T93" s="14" t="n">
        <v>0</v>
      </c>
      <c r="U93" s="14" t="n">
        <v>1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44" t="n">
        <v>46134</v>
      </c>
      <c r="AB93" s="46">
        <f>HYPERLINK("#'Transactions'!A90", "View Source Row")</f>
        <v/>
      </c>
    </row>
    <row r="94">
      <c r="A94" s="14" t="n">
        <v>90</v>
      </c>
      <c r="B94" s="14" t="inlineStr">
        <is>
          <t>273.pdf</t>
        </is>
      </c>
      <c r="C94" s="44" t="n">
        <v>46113</v>
      </c>
      <c r="D94" s="44" t="n">
        <v>46142</v>
      </c>
      <c r="E94" s="44" t="n">
        <v>46134</v>
      </c>
      <c r="F94" s="44" t="n">
        <v>46134</v>
      </c>
      <c r="G94" s="16" t="inlineStr">
        <is>
          <t>EBANK:WIB/1505 EBANK:WIB/1505171210/Edfs</t>
        </is>
      </c>
      <c r="H94" s="14" t="str"/>
      <c r="I94" s="14" t="inlineStr">
        <is>
          <t>Receipt</t>
        </is>
      </c>
      <c r="J94" s="43" t="n">
        <v>0</v>
      </c>
      <c r="K94" s="43" t="n">
        <v>356256.8</v>
      </c>
      <c r="L94" s="43" t="n">
        <v>356256.8</v>
      </c>
      <c r="M94" s="43" t="n">
        <v>-8399469.369999999</v>
      </c>
      <c r="N94" s="14" t="inlineStr">
        <is>
          <t>High Transaction; Recurring Transaction</t>
        </is>
      </c>
      <c r="O94" s="14" t="inlineStr">
        <is>
          <t>Yes</t>
        </is>
      </c>
      <c r="P94" s="14" t="inlineStr">
        <is>
          <t>EBANKWIB</t>
        </is>
      </c>
      <c r="Q94" s="14" t="n">
        <v>0</v>
      </c>
      <c r="R94" s="14" t="n">
        <v>1</v>
      </c>
      <c r="S94" s="14" t="n">
        <v>0</v>
      </c>
      <c r="T94" s="14" t="n">
        <v>0</v>
      </c>
      <c r="U94" s="14" t="n">
        <v>1</v>
      </c>
      <c r="V94" s="14" t="n">
        <v>0</v>
      </c>
      <c r="W94" s="14" t="n">
        <v>0</v>
      </c>
      <c r="X94" s="14" t="n">
        <v>0</v>
      </c>
      <c r="Y94" s="14" t="n">
        <v>0</v>
      </c>
      <c r="Z94" s="14" t="n">
        <v>0</v>
      </c>
      <c r="AA94" s="44" t="n">
        <v>46134</v>
      </c>
      <c r="AB94" s="46">
        <f>HYPERLINK("#'Transactions'!A91", "View Source Row")</f>
        <v/>
      </c>
    </row>
    <row r="95">
      <c r="A95" s="14" t="n">
        <v>91</v>
      </c>
      <c r="B95" s="14" t="inlineStr">
        <is>
          <t>273.pdf</t>
        </is>
      </c>
      <c r="C95" s="44" t="n">
        <v>46113</v>
      </c>
      <c r="D95" s="44" t="n">
        <v>46142</v>
      </c>
      <c r="E95" s="44" t="n">
        <v>46134</v>
      </c>
      <c r="F95" s="44" t="n">
        <v>46134</v>
      </c>
      <c r="G95" s="16" t="inlineStr">
        <is>
          <t>RTGS-BARBR5202 RTGS-BARBR52026042200989175-HINDUSTAN PETROLEUM CO</t>
        </is>
      </c>
      <c r="H95" s="14" t="str"/>
      <c r="I95" s="14" t="inlineStr">
        <is>
          <t>Payment</t>
        </is>
      </c>
      <c r="J95" s="43" t="n">
        <v>1600530</v>
      </c>
      <c r="K95" s="43" t="n">
        <v>0</v>
      </c>
      <c r="L95" s="43" t="n">
        <v>1600530</v>
      </c>
      <c r="M95" s="43" t="n">
        <v>-9999999.369999999</v>
      </c>
      <c r="N95" s="14" t="inlineStr">
        <is>
          <t>High Transaction; Recurring Transaction</t>
        </is>
      </c>
      <c r="O95" s="14" t="inlineStr">
        <is>
          <t>Yes</t>
        </is>
      </c>
      <c r="P95" s="14" t="inlineStr">
        <is>
          <t>BARBR RTGS</t>
        </is>
      </c>
      <c r="Q95" s="14" t="n">
        <v>0</v>
      </c>
      <c r="R95" s="14" t="n">
        <v>1</v>
      </c>
      <c r="S95" s="14" t="n">
        <v>0</v>
      </c>
      <c r="T95" s="14" t="n">
        <v>0</v>
      </c>
      <c r="U95" s="14" t="n">
        <v>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44" t="n">
        <v>46134</v>
      </c>
      <c r="AB95" s="46">
        <f>HYPERLINK("#'Transactions'!A92", "View Source Row")</f>
        <v/>
      </c>
    </row>
    <row r="96">
      <c r="A96" s="14" t="n">
        <v>92</v>
      </c>
      <c r="B96" s="14" t="inlineStr">
        <is>
          <t>273.pdf</t>
        </is>
      </c>
      <c r="C96" s="44" t="n">
        <v>46113</v>
      </c>
      <c r="D96" s="44" t="n">
        <v>46142</v>
      </c>
      <c r="E96" s="44" t="n">
        <v>46134</v>
      </c>
      <c r="F96" s="44" t="n">
        <v>46134</v>
      </c>
      <c r="G96" s="16" t="inlineStr">
        <is>
          <t>EBANK:WIB/1505 EBANK:WIB/1505187993/Edfs</t>
        </is>
      </c>
      <c r="H96" s="14" t="str"/>
      <c r="I96" s="14" t="inlineStr">
        <is>
          <t>Receipt</t>
        </is>
      </c>
      <c r="J96" s="43" t="n">
        <v>0</v>
      </c>
      <c r="K96" s="43" t="n">
        <v>50000</v>
      </c>
      <c r="L96" s="43" t="n">
        <v>50000</v>
      </c>
      <c r="M96" s="43" t="n">
        <v>-9949999.369999999</v>
      </c>
      <c r="N96" s="14" t="inlineStr">
        <is>
          <t>Recurring Transaction</t>
        </is>
      </c>
      <c r="O96" s="14" t="inlineStr">
        <is>
          <t>Yes</t>
        </is>
      </c>
      <c r="P96" s="14" t="inlineStr">
        <is>
          <t>EBANKWIB</t>
        </is>
      </c>
      <c r="Q96" s="14" t="n">
        <v>0</v>
      </c>
      <c r="R96" s="14" t="n">
        <v>1</v>
      </c>
      <c r="S96" s="14" t="n">
        <v>0</v>
      </c>
      <c r="T96" s="14" t="n">
        <v>0</v>
      </c>
      <c r="U96" s="14" t="n">
        <v>0</v>
      </c>
      <c r="V96" s="14" t="n">
        <v>0</v>
      </c>
      <c r="W96" s="14" t="n">
        <v>0</v>
      </c>
      <c r="X96" s="14" t="n">
        <v>0</v>
      </c>
      <c r="Y96" s="14" t="n">
        <v>0</v>
      </c>
      <c r="Z96" s="14" t="n">
        <v>0</v>
      </c>
      <c r="AA96" s="44" t="n">
        <v>46134</v>
      </c>
      <c r="AB96" s="46">
        <f>HYPERLINK("#'Transactions'!A93", "View Source Row")</f>
        <v/>
      </c>
    </row>
    <row r="97">
      <c r="A97" s="14" t="n">
        <v>93</v>
      </c>
      <c r="B97" s="14" t="inlineStr">
        <is>
          <t>273.pdf</t>
        </is>
      </c>
      <c r="C97" s="44" t="n">
        <v>46113</v>
      </c>
      <c r="D97" s="44" t="n">
        <v>46142</v>
      </c>
      <c r="E97" s="44" t="n">
        <v>46135</v>
      </c>
      <c r="F97" s="44" t="n">
        <v>46135</v>
      </c>
      <c r="G97" s="16" t="inlineStr">
        <is>
          <t>EBANK:WIB/1505 EBANK:WIB/1505193929/Edfs</t>
        </is>
      </c>
      <c r="H97" s="14" t="str"/>
      <c r="I97" s="14" t="inlineStr">
        <is>
          <t>Receipt</t>
        </is>
      </c>
      <c r="J97" s="43" t="n">
        <v>0</v>
      </c>
      <c r="K97" s="43" t="n">
        <v>224683</v>
      </c>
      <c r="L97" s="43" t="n">
        <v>224683</v>
      </c>
      <c r="M97" s="43" t="n">
        <v>-9725316.369999999</v>
      </c>
      <c r="N97" s="14" t="inlineStr">
        <is>
          <t>High Transaction; Recurring Transaction</t>
        </is>
      </c>
      <c r="O97" s="14" t="inlineStr">
        <is>
          <t>Yes</t>
        </is>
      </c>
      <c r="P97" s="14" t="inlineStr">
        <is>
          <t>EBANKWIB</t>
        </is>
      </c>
      <c r="Q97" s="14" t="n">
        <v>0</v>
      </c>
      <c r="R97" s="14" t="n">
        <v>1</v>
      </c>
      <c r="S97" s="14" t="n">
        <v>0</v>
      </c>
      <c r="T97" s="14" t="n">
        <v>0</v>
      </c>
      <c r="U97" s="14" t="n">
        <v>1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44" t="n">
        <v>46135</v>
      </c>
      <c r="AB97" s="46">
        <f>HYPERLINK("#'Transactions'!A94", "View Source Row")</f>
        <v/>
      </c>
    </row>
    <row r="98">
      <c r="A98" s="14" t="n">
        <v>94</v>
      </c>
      <c r="B98" s="14" t="inlineStr">
        <is>
          <t>273.pdf</t>
        </is>
      </c>
      <c r="C98" s="44" t="n">
        <v>46113</v>
      </c>
      <c r="D98" s="44" t="n">
        <v>46142</v>
      </c>
      <c r="E98" s="44" t="n">
        <v>46135</v>
      </c>
      <c r="F98" s="44" t="n">
        <v>46135</v>
      </c>
      <c r="G98" s="16" t="inlineStr">
        <is>
          <t>EBANK:WIB/1505 EBANK:WIB/1505194002/Edfs</t>
        </is>
      </c>
      <c r="H98" s="14" t="str"/>
      <c r="I98" s="14" t="inlineStr">
        <is>
          <t>Receipt</t>
        </is>
      </c>
      <c r="J98" s="43" t="n">
        <v>0</v>
      </c>
      <c r="K98" s="43" t="n">
        <v>82795.52</v>
      </c>
      <c r="L98" s="43" t="n">
        <v>82795.52</v>
      </c>
      <c r="M98" s="43" t="n">
        <v>-9642520.85</v>
      </c>
      <c r="N98" s="14" t="inlineStr">
        <is>
          <t>Recurring Transaction</t>
        </is>
      </c>
      <c r="O98" s="14" t="inlineStr">
        <is>
          <t>Yes</t>
        </is>
      </c>
      <c r="P98" s="14" t="inlineStr">
        <is>
          <t>EBANKWIB</t>
        </is>
      </c>
      <c r="Q98" s="14" t="n">
        <v>0</v>
      </c>
      <c r="R98" s="14" t="n">
        <v>1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44" t="n">
        <v>46135</v>
      </c>
      <c r="AB98" s="46">
        <f>HYPERLINK("#'Transactions'!A95", "View Source Row")</f>
        <v/>
      </c>
    </row>
    <row r="99">
      <c r="A99" s="14" t="n">
        <v>95</v>
      </c>
      <c r="B99" s="14" t="inlineStr">
        <is>
          <t>273.pdf</t>
        </is>
      </c>
      <c r="C99" s="44" t="n">
        <v>46113</v>
      </c>
      <c r="D99" s="44" t="n">
        <v>46142</v>
      </c>
      <c r="E99" s="44" t="n">
        <v>46135</v>
      </c>
      <c r="F99" s="44" t="n">
        <v>46135</v>
      </c>
      <c r="G99" s="16" t="inlineStr">
        <is>
          <t>MAYAJM-AJMER/I ---------------------------------------------------------------------------------------------------------------------------------- Page Total: 36,49,328.33 27,98,562.63 96,42,537.56Dr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99" s="14" t="str"/>
      <c r="I99" s="14" t="inlineStr">
        <is>
          <t>Payment</t>
        </is>
      </c>
      <c r="J99" s="43" t="n">
        <v>16.71</v>
      </c>
      <c r="K99" s="43" t="n">
        <v>0</v>
      </c>
      <c r="L99" s="43" t="n">
        <v>16.71</v>
      </c>
      <c r="M99" s="43" t="n">
        <v>-9642537.560000001</v>
      </c>
      <c r="N99" s="14" t="inlineStr">
        <is>
          <t>Recurring Transaction</t>
        </is>
      </c>
      <c r="O99" s="14" t="inlineStr">
        <is>
          <t>Yes</t>
        </is>
      </c>
      <c r="P99" s="14" t="inlineStr">
        <is>
          <t>PAGE TOTAL   DR</t>
        </is>
      </c>
      <c r="Q99" s="14" t="n">
        <v>0</v>
      </c>
      <c r="R99" s="14" t="n">
        <v>1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44" t="n">
        <v>46135</v>
      </c>
      <c r="AB99" s="46">
        <f>HYPERLINK("#'Transactions'!A96", "View Source Row")</f>
        <v/>
      </c>
    </row>
    <row r="100">
      <c r="A100" s="14" t="n">
        <v>96</v>
      </c>
      <c r="B100" s="14" t="inlineStr">
        <is>
          <t>273.pdf</t>
        </is>
      </c>
      <c r="C100" s="44" t="n">
        <v>46113</v>
      </c>
      <c r="D100" s="44" t="n">
        <v>46142</v>
      </c>
      <c r="E100" s="44" t="n">
        <v>46135</v>
      </c>
      <c r="F100" s="44" t="n">
        <v>46135</v>
      </c>
      <c r="G100" s="16" t="inlineStr">
        <is>
          <t>EBANK:WIB/1505 EBANK:WIB/1505205959/Edfs</t>
        </is>
      </c>
      <c r="H100" s="14" t="str"/>
      <c r="I100" s="14" t="inlineStr">
        <is>
          <t>Receipt</t>
        </is>
      </c>
      <c r="J100" s="43" t="n">
        <v>0</v>
      </c>
      <c r="K100" s="43" t="n">
        <v>269000</v>
      </c>
      <c r="L100" s="43" t="n">
        <v>269000</v>
      </c>
      <c r="M100" s="43" t="n">
        <v>-9373537.560000001</v>
      </c>
      <c r="N100" s="14" t="inlineStr">
        <is>
          <t>High Transaction; Recurring Transaction</t>
        </is>
      </c>
      <c r="O100" s="14" t="inlineStr">
        <is>
          <t>Yes</t>
        </is>
      </c>
      <c r="P100" s="14" t="inlineStr">
        <is>
          <t>EBANKWIB</t>
        </is>
      </c>
      <c r="Q100" s="14" t="n">
        <v>0</v>
      </c>
      <c r="R100" s="14" t="n">
        <v>1</v>
      </c>
      <c r="S100" s="14" t="n">
        <v>0</v>
      </c>
      <c r="T100" s="14" t="n">
        <v>0</v>
      </c>
      <c r="U100" s="14" t="n">
        <v>1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44" t="n">
        <v>46135</v>
      </c>
      <c r="AB100" s="46">
        <f>HYPERLINK("#'Transactions'!A97", "View Source Row")</f>
        <v/>
      </c>
    </row>
    <row r="101">
      <c r="A101" s="14" t="n">
        <v>97</v>
      </c>
      <c r="B101" s="14" t="inlineStr">
        <is>
          <t>273.pdf</t>
        </is>
      </c>
      <c r="C101" s="44" t="n">
        <v>46113</v>
      </c>
      <c r="D101" s="44" t="n">
        <v>46142</v>
      </c>
      <c r="E101" s="44" t="n">
        <v>46135</v>
      </c>
      <c r="F101" s="44" t="n">
        <v>46135</v>
      </c>
      <c r="G101" s="16" t="inlineStr">
        <is>
          <t>RTGS-BARBR5202 RTGS-BARBR52026042300993365-HINDUSTAN PETROLEUM CO</t>
        </is>
      </c>
      <c r="H101" s="14" t="str"/>
      <c r="I101" s="14" t="inlineStr">
        <is>
          <t>Payment</t>
        </is>
      </c>
      <c r="J101" s="43" t="n">
        <v>428234.82</v>
      </c>
      <c r="K101" s="43" t="n">
        <v>0</v>
      </c>
      <c r="L101" s="43" t="n">
        <v>428234.82</v>
      </c>
      <c r="M101" s="43" t="n">
        <v>-9801772.380000001</v>
      </c>
      <c r="N101" s="14" t="inlineStr">
        <is>
          <t>High Transaction; Recurring Transaction</t>
        </is>
      </c>
      <c r="O101" s="14" t="inlineStr">
        <is>
          <t>Yes</t>
        </is>
      </c>
      <c r="P101" s="14" t="inlineStr">
        <is>
          <t>BARBR RTGS</t>
        </is>
      </c>
      <c r="Q101" s="14" t="n">
        <v>0</v>
      </c>
      <c r="R101" s="14" t="n">
        <v>1</v>
      </c>
      <c r="S101" s="14" t="n">
        <v>0</v>
      </c>
      <c r="T101" s="14" t="n">
        <v>0</v>
      </c>
      <c r="U101" s="14" t="n">
        <v>1</v>
      </c>
      <c r="V101" s="14" t="n">
        <v>0</v>
      </c>
      <c r="W101" s="14" t="n">
        <v>0</v>
      </c>
      <c r="X101" s="14" t="n">
        <v>0</v>
      </c>
      <c r="Y101" s="14" t="n">
        <v>0</v>
      </c>
      <c r="Z101" s="14" t="n">
        <v>0</v>
      </c>
      <c r="AA101" s="44" t="n">
        <v>46135</v>
      </c>
      <c r="AB101" s="46">
        <f>HYPERLINK("#'Transactions'!A98", "View Source Row")</f>
        <v/>
      </c>
    </row>
    <row r="102">
      <c r="A102" s="14" t="n">
        <v>98</v>
      </c>
      <c r="B102" s="14" t="inlineStr">
        <is>
          <t>273.pdf</t>
        </is>
      </c>
      <c r="C102" s="44" t="n">
        <v>46113</v>
      </c>
      <c r="D102" s="44" t="n">
        <v>46142</v>
      </c>
      <c r="E102" s="44" t="n">
        <v>46135</v>
      </c>
      <c r="F102" s="44" t="n">
        <v>46135</v>
      </c>
      <c r="G102" s="16" t="inlineStr">
        <is>
          <t>BY CASH BY CASH</t>
        </is>
      </c>
      <c r="H102" s="14" t="str"/>
      <c r="I102" s="14" t="inlineStr">
        <is>
          <t>Receipt</t>
        </is>
      </c>
      <c r="J102" s="43" t="n">
        <v>0</v>
      </c>
      <c r="K102" s="43" t="n">
        <v>253500</v>
      </c>
      <c r="L102" s="43" t="n">
        <v>253500</v>
      </c>
      <c r="M102" s="43" t="n">
        <v>-9548272.380000001</v>
      </c>
      <c r="N102" s="14" t="inlineStr">
        <is>
          <t>Cash; High Transaction; Recurring Transaction</t>
        </is>
      </c>
      <c r="O102" s="14" t="inlineStr">
        <is>
          <t>Yes</t>
        </is>
      </c>
      <c r="P102" s="14" t="inlineStr">
        <is>
          <t>BY CASH BY CASH</t>
        </is>
      </c>
      <c r="Q102" s="14" t="n">
        <v>1</v>
      </c>
      <c r="R102" s="14" t="n">
        <v>1</v>
      </c>
      <c r="S102" s="14" t="n">
        <v>0</v>
      </c>
      <c r="T102" s="14" t="n">
        <v>0</v>
      </c>
      <c r="U102" s="14" t="n">
        <v>1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44" t="n">
        <v>46135</v>
      </c>
      <c r="AB102" s="46">
        <f>HYPERLINK("#'Transactions'!A99", "View Source Row")</f>
        <v/>
      </c>
    </row>
    <row r="103">
      <c r="A103" s="14" t="n">
        <v>99</v>
      </c>
      <c r="B103" s="14" t="inlineStr">
        <is>
          <t>273.pdf</t>
        </is>
      </c>
      <c r="C103" s="44" t="n">
        <v>46113</v>
      </c>
      <c r="D103" s="44" t="n">
        <v>46142</v>
      </c>
      <c r="E103" s="44" t="n">
        <v>46135</v>
      </c>
      <c r="F103" s="44" t="n">
        <v>46135</v>
      </c>
      <c r="G103" s="16" t="inlineStr">
        <is>
          <t>RTGS-BARBR5202 RTGS-BARBR52026042300772587-HINDUSTAN PETROLEUM CO</t>
        </is>
      </c>
      <c r="H103" s="14" t="str"/>
      <c r="I103" s="14" t="inlineStr">
        <is>
          <t>Payment</t>
        </is>
      </c>
      <c r="J103" s="43" t="n">
        <v>451000</v>
      </c>
      <c r="K103" s="43" t="n">
        <v>0</v>
      </c>
      <c r="L103" s="43" t="n">
        <v>451000</v>
      </c>
      <c r="M103" s="43" t="n">
        <v>-9999272.380000001</v>
      </c>
      <c r="N103" s="14" t="inlineStr">
        <is>
          <t>High Transaction; Recurring Transaction</t>
        </is>
      </c>
      <c r="O103" s="14" t="inlineStr">
        <is>
          <t>Yes</t>
        </is>
      </c>
      <c r="P103" s="14" t="inlineStr">
        <is>
          <t>BARBR RTGS</t>
        </is>
      </c>
      <c r="Q103" s="14" t="n">
        <v>0</v>
      </c>
      <c r="R103" s="14" t="n">
        <v>1</v>
      </c>
      <c r="S103" s="14" t="n">
        <v>0</v>
      </c>
      <c r="T103" s="14" t="n">
        <v>0</v>
      </c>
      <c r="U103" s="14" t="n">
        <v>1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44" t="n">
        <v>46135</v>
      </c>
      <c r="AB103" s="46">
        <f>HYPERLINK("#'Transactions'!A100", "View Source Row")</f>
        <v/>
      </c>
    </row>
    <row r="104">
      <c r="A104" s="14" t="n">
        <v>100</v>
      </c>
      <c r="B104" s="14" t="inlineStr">
        <is>
          <t>273.pdf</t>
        </is>
      </c>
      <c r="C104" s="44" t="n">
        <v>46113</v>
      </c>
      <c r="D104" s="44" t="n">
        <v>46142</v>
      </c>
      <c r="E104" s="44" t="n">
        <v>46135</v>
      </c>
      <c r="F104" s="44" t="n">
        <v>46135</v>
      </c>
      <c r="G104" s="16" t="inlineStr">
        <is>
          <t>EBANK:WIB/1505 EBANK:WIB/1505315722/Edfs</t>
        </is>
      </c>
      <c r="H104" s="14" t="str"/>
      <c r="I104" s="14" t="inlineStr">
        <is>
          <t>Receipt</t>
        </is>
      </c>
      <c r="J104" s="43" t="n">
        <v>0</v>
      </c>
      <c r="K104" s="43" t="n">
        <v>222635.35</v>
      </c>
      <c r="L104" s="43" t="n">
        <v>222635.35</v>
      </c>
      <c r="M104" s="43" t="n">
        <v>-9776637.029999999</v>
      </c>
      <c r="N104" s="14" t="inlineStr">
        <is>
          <t>High Transaction; Recurring Transaction</t>
        </is>
      </c>
      <c r="O104" s="14" t="inlineStr">
        <is>
          <t>Yes</t>
        </is>
      </c>
      <c r="P104" s="14" t="inlineStr">
        <is>
          <t>EBANKWIB</t>
        </is>
      </c>
      <c r="Q104" s="14" t="n">
        <v>0</v>
      </c>
      <c r="R104" s="14" t="n">
        <v>1</v>
      </c>
      <c r="S104" s="14" t="n">
        <v>0</v>
      </c>
      <c r="T104" s="14" t="n">
        <v>0</v>
      </c>
      <c r="U104" s="14" t="n">
        <v>1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44" t="n">
        <v>46135</v>
      </c>
      <c r="AB104" s="46">
        <f>HYPERLINK("#'Transactions'!A101", "View Source Row")</f>
        <v/>
      </c>
    </row>
    <row r="105">
      <c r="A105" s="14" t="n">
        <v>101</v>
      </c>
      <c r="B105" s="14" t="inlineStr">
        <is>
          <t>273.pdf</t>
        </is>
      </c>
      <c r="C105" s="44" t="n">
        <v>46113</v>
      </c>
      <c r="D105" s="44" t="n">
        <v>46142</v>
      </c>
      <c r="E105" s="44" t="n">
        <v>46136</v>
      </c>
      <c r="F105" s="44" t="n">
        <v>46136</v>
      </c>
      <c r="G105" s="16" t="inlineStr">
        <is>
          <t>EBANK:WIB/1505 EBANK:WIB/1505337172/Edfs</t>
        </is>
      </c>
      <c r="H105" s="14" t="str"/>
      <c r="I105" s="14" t="inlineStr">
        <is>
          <t>Receipt</t>
        </is>
      </c>
      <c r="J105" s="43" t="n">
        <v>0</v>
      </c>
      <c r="K105" s="43" t="n">
        <v>400403</v>
      </c>
      <c r="L105" s="43" t="n">
        <v>400403</v>
      </c>
      <c r="M105" s="43" t="n">
        <v>-9376234.029999999</v>
      </c>
      <c r="N105" s="14" t="inlineStr">
        <is>
          <t>High Transaction; Recurring Transaction</t>
        </is>
      </c>
      <c r="O105" s="14" t="inlineStr">
        <is>
          <t>Yes</t>
        </is>
      </c>
      <c r="P105" s="14" t="inlineStr">
        <is>
          <t>EBANKWIB</t>
        </is>
      </c>
      <c r="Q105" s="14" t="n">
        <v>0</v>
      </c>
      <c r="R105" s="14" t="n">
        <v>1</v>
      </c>
      <c r="S105" s="14" t="n">
        <v>0</v>
      </c>
      <c r="T105" s="14" t="n">
        <v>0</v>
      </c>
      <c r="U105" s="14" t="n">
        <v>1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44" t="n">
        <v>46136</v>
      </c>
      <c r="AB105" s="46">
        <f>HYPERLINK("#'Transactions'!A102", "View Source Row")</f>
        <v/>
      </c>
    </row>
    <row r="106">
      <c r="A106" s="14" t="n">
        <v>102</v>
      </c>
      <c r="B106" s="14" t="inlineStr">
        <is>
          <t>273.pdf</t>
        </is>
      </c>
      <c r="C106" s="44" t="n">
        <v>46113</v>
      </c>
      <c r="D106" s="44" t="n">
        <v>46142</v>
      </c>
      <c r="E106" s="44" t="n">
        <v>46136</v>
      </c>
      <c r="F106" s="44" t="n">
        <v>46136</v>
      </c>
      <c r="G106" s="16" t="inlineStr">
        <is>
          <t>BY CASH BY CASH</t>
        </is>
      </c>
      <c r="H106" s="14" t="str"/>
      <c r="I106" s="14" t="inlineStr">
        <is>
          <t>Receipt</t>
        </is>
      </c>
      <c r="J106" s="43" t="n">
        <v>0</v>
      </c>
      <c r="K106" s="43" t="n">
        <v>281000</v>
      </c>
      <c r="L106" s="43" t="n">
        <v>281000</v>
      </c>
      <c r="M106" s="43" t="n">
        <v>-9095234.029999999</v>
      </c>
      <c r="N106" s="14" t="inlineStr">
        <is>
          <t>Cash; High Transaction; Recurring Transaction</t>
        </is>
      </c>
      <c r="O106" s="14" t="inlineStr">
        <is>
          <t>Yes</t>
        </is>
      </c>
      <c r="P106" s="14" t="inlineStr">
        <is>
          <t>BY CASH BY CASH</t>
        </is>
      </c>
      <c r="Q106" s="14" t="n">
        <v>1</v>
      </c>
      <c r="R106" s="14" t="n">
        <v>1</v>
      </c>
      <c r="S106" s="14" t="n">
        <v>0</v>
      </c>
      <c r="T106" s="14" t="n">
        <v>0</v>
      </c>
      <c r="U106" s="14" t="n">
        <v>1</v>
      </c>
      <c r="V106" s="14" t="n">
        <v>0</v>
      </c>
      <c r="W106" s="14" t="n">
        <v>0</v>
      </c>
      <c r="X106" s="14" t="n">
        <v>0</v>
      </c>
      <c r="Y106" s="14" t="n">
        <v>0</v>
      </c>
      <c r="Z106" s="14" t="n">
        <v>0</v>
      </c>
      <c r="AA106" s="44" t="n">
        <v>46136</v>
      </c>
      <c r="AB106" s="46">
        <f>HYPERLINK("#'Transactions'!A103", "View Source Row")</f>
        <v/>
      </c>
    </row>
    <row r="107">
      <c r="A107" s="14" t="n">
        <v>103</v>
      </c>
      <c r="B107" s="14" t="inlineStr">
        <is>
          <t>273.pdf</t>
        </is>
      </c>
      <c r="C107" s="44" t="n">
        <v>46113</v>
      </c>
      <c r="D107" s="44" t="n">
        <v>46142</v>
      </c>
      <c r="E107" s="44" t="n">
        <v>46136</v>
      </c>
      <c r="F107" s="44" t="n">
        <v>46136</v>
      </c>
      <c r="G107" s="16" t="inlineStr">
        <is>
          <t>VIRARW-THANE/B BY CASH</t>
        </is>
      </c>
      <c r="H107" s="14" t="str"/>
      <c r="I107" s="14" t="inlineStr">
        <is>
          <t>Receipt</t>
        </is>
      </c>
      <c r="J107" s="43" t="n">
        <v>0</v>
      </c>
      <c r="K107" s="43" t="n">
        <v>250000</v>
      </c>
      <c r="L107" s="43" t="n">
        <v>250000</v>
      </c>
      <c r="M107" s="43" t="n">
        <v>-8845234.029999999</v>
      </c>
      <c r="N107" s="14" t="inlineStr">
        <is>
          <t>Cash; High Transaction; Recurring Transaction</t>
        </is>
      </c>
      <c r="O107" s="14" t="inlineStr">
        <is>
          <t>Yes</t>
        </is>
      </c>
      <c r="P107" s="14" t="inlineStr">
        <is>
          <t>B BY CASH</t>
        </is>
      </c>
      <c r="Q107" s="14" t="n">
        <v>1</v>
      </c>
      <c r="R107" s="14" t="n">
        <v>1</v>
      </c>
      <c r="S107" s="14" t="n">
        <v>0</v>
      </c>
      <c r="T107" s="14" t="n">
        <v>0</v>
      </c>
      <c r="U107" s="14" t="n">
        <v>1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44" t="n">
        <v>46136</v>
      </c>
      <c r="AB107" s="46">
        <f>HYPERLINK("#'Transactions'!A104", "View Source Row")</f>
        <v/>
      </c>
    </row>
    <row r="108">
      <c r="A108" s="14" t="n">
        <v>104</v>
      </c>
      <c r="B108" s="14" t="inlineStr">
        <is>
          <t>273.pdf</t>
        </is>
      </c>
      <c r="C108" s="44" t="n">
        <v>46113</v>
      </c>
      <c r="D108" s="44" t="n">
        <v>46142</v>
      </c>
      <c r="E108" s="44" t="n">
        <v>46136</v>
      </c>
      <c r="F108" s="44" t="n">
        <v>46136</v>
      </c>
      <c r="G108" s="16" t="inlineStr">
        <is>
          <t>BAGBAH-BAGBAHR INT260410DEAL6330158</t>
        </is>
      </c>
      <c r="H108" s="14" t="str"/>
      <c r="I108" s="14" t="inlineStr">
        <is>
          <t>Payment</t>
        </is>
      </c>
      <c r="J108" s="43" t="n">
        <v>5712.82</v>
      </c>
      <c r="K108" s="43" t="n">
        <v>0</v>
      </c>
      <c r="L108" s="43" t="n">
        <v>5712.82</v>
      </c>
      <c r="M108" s="43" t="n">
        <v>-8850946.85</v>
      </c>
      <c r="N108" s="14" t="inlineStr">
        <is>
          <t>Other</t>
        </is>
      </c>
      <c r="O108" s="14" t="inlineStr">
        <is>
          <t>No</t>
        </is>
      </c>
      <c r="P108" s="14" t="inlineStr">
        <is>
          <t>BAGBAHR INTDEAL</t>
        </is>
      </c>
      <c r="Q108" s="14" t="n">
        <v>0</v>
      </c>
      <c r="R108" s="14" t="n">
        <v>0</v>
      </c>
      <c r="S108" s="14" t="n">
        <v>0</v>
      </c>
      <c r="T108" s="14" t="n">
        <v>0</v>
      </c>
      <c r="U108" s="14" t="n">
        <v>0</v>
      </c>
      <c r="V108" s="14" t="n">
        <v>0</v>
      </c>
      <c r="W108" s="14" t="n">
        <v>0</v>
      </c>
      <c r="X108" s="14" t="n">
        <v>0</v>
      </c>
      <c r="Y108" s="14" t="n">
        <v>0</v>
      </c>
      <c r="Z108" s="14" t="n">
        <v>0</v>
      </c>
      <c r="AA108" s="44" t="n">
        <v>46136</v>
      </c>
      <c r="AB108" s="46">
        <f>HYPERLINK("#'Transactions'!A105", "View Source Row")</f>
        <v/>
      </c>
    </row>
    <row r="109">
      <c r="A109" s="14" t="n">
        <v>105</v>
      </c>
      <c r="B109" s="14" t="inlineStr">
        <is>
          <t>273.pdf</t>
        </is>
      </c>
      <c r="C109" s="44" t="n">
        <v>46113</v>
      </c>
      <c r="D109" s="44" t="n">
        <v>46142</v>
      </c>
      <c r="E109" s="44" t="n">
        <v>46136</v>
      </c>
      <c r="F109" s="44" t="n">
        <v>46136</v>
      </c>
      <c r="G109" s="16" t="inlineStr">
        <is>
          <t>VJARDI-ARDI,KA INT260410DEAL6333836</t>
        </is>
      </c>
      <c r="H109" s="14" t="str"/>
      <c r="I109" s="14" t="inlineStr">
        <is>
          <t>Payment</t>
        </is>
      </c>
      <c r="J109" s="43" t="n">
        <v>67.48</v>
      </c>
      <c r="K109" s="43" t="n">
        <v>0</v>
      </c>
      <c r="L109" s="43" t="n">
        <v>67.48</v>
      </c>
      <c r="M109" s="43" t="n">
        <v>-8851014.33</v>
      </c>
      <c r="N109" s="14" t="inlineStr">
        <is>
          <t>Other</t>
        </is>
      </c>
      <c r="O109" s="14" t="inlineStr">
        <is>
          <t>No</t>
        </is>
      </c>
      <c r="P109" s="14" t="inlineStr">
        <is>
          <t>ARDIKA INTDEAL</t>
        </is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44" t="n">
        <v>46136</v>
      </c>
      <c r="AB109" s="46">
        <f>HYPERLINK("#'Transactions'!A106", "View Source Row")</f>
        <v/>
      </c>
    </row>
    <row r="110">
      <c r="A110" s="14" t="n">
        <v>106</v>
      </c>
      <c r="B110" s="14" t="inlineStr">
        <is>
          <t>273.pdf</t>
        </is>
      </c>
      <c r="C110" s="44" t="n">
        <v>46113</v>
      </c>
      <c r="D110" s="44" t="n">
        <v>46142</v>
      </c>
      <c r="E110" s="44" t="n">
        <v>46136</v>
      </c>
      <c r="F110" s="44" t="n">
        <v>46136</v>
      </c>
      <c r="G110" s="16" t="inlineStr">
        <is>
          <t>RTGS-BARBR5202 RTGS-BARBR52026042400851908-HINDUSTAN PETROLEUM CO</t>
        </is>
      </c>
      <c r="H110" s="14" t="str"/>
      <c r="I110" s="14" t="inlineStr">
        <is>
          <t>Payment</t>
        </is>
      </c>
      <c r="J110" s="43" t="n">
        <v>1148985</v>
      </c>
      <c r="K110" s="43" t="n">
        <v>0</v>
      </c>
      <c r="L110" s="43" t="n">
        <v>1148985</v>
      </c>
      <c r="M110" s="43" t="n">
        <v>-9999999.33</v>
      </c>
      <c r="N110" s="14" t="inlineStr">
        <is>
          <t>High Transaction; Recurring Transaction</t>
        </is>
      </c>
      <c r="O110" s="14" t="inlineStr">
        <is>
          <t>Yes</t>
        </is>
      </c>
      <c r="P110" s="14" t="inlineStr">
        <is>
          <t>BARBR RTGS</t>
        </is>
      </c>
      <c r="Q110" s="14" t="n">
        <v>0</v>
      </c>
      <c r="R110" s="14" t="n">
        <v>1</v>
      </c>
      <c r="S110" s="14" t="n">
        <v>0</v>
      </c>
      <c r="T110" s="14" t="n">
        <v>0</v>
      </c>
      <c r="U110" s="14" t="n">
        <v>1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44" t="n">
        <v>46136</v>
      </c>
      <c r="AB110" s="46">
        <f>HYPERLINK("#'Transactions'!A107", "View Source Row")</f>
        <v/>
      </c>
    </row>
    <row r="111">
      <c r="A111" s="14" t="n">
        <v>107</v>
      </c>
      <c r="B111" s="14" t="inlineStr">
        <is>
          <t>273.pdf</t>
        </is>
      </c>
      <c r="C111" s="44" t="n">
        <v>46113</v>
      </c>
      <c r="D111" s="44" t="n">
        <v>46142</v>
      </c>
      <c r="E111" s="44" t="n">
        <v>46136</v>
      </c>
      <c r="F111" s="44" t="n">
        <v>46136</v>
      </c>
      <c r="G111" s="16" t="inlineStr">
        <is>
          <t>EBANK:WIB/1505 EBANK:WIB/1505452714/Edfs https://cbdrpt101.bankofbaroda.co.in:22000/finbranch/arjspmorph/INFENG/tran_rpt.jsp?... 04-05-2026</t>
        </is>
      </c>
      <c r="H111" s="14" t="str"/>
      <c r="I111" s="14" t="inlineStr">
        <is>
          <t>Receipt</t>
        </is>
      </c>
      <c r="J111" s="43" t="n">
        <v>0</v>
      </c>
      <c r="K111" s="43" t="n">
        <v>115069</v>
      </c>
      <c r="L111" s="43" t="n">
        <v>115069</v>
      </c>
      <c r="M111" s="43" t="n">
        <v>-9884930.33</v>
      </c>
      <c r="N111" s="14" t="inlineStr">
        <is>
          <t>High Transaction; Recurring Transaction</t>
        </is>
      </c>
      <c r="O111" s="14" t="inlineStr">
        <is>
          <t>Yes</t>
        </is>
      </c>
      <c r="P111" s="14" t="inlineStr">
        <is>
          <t>EBANKWIB</t>
        </is>
      </c>
      <c r="Q111" s="14" t="n">
        <v>0</v>
      </c>
      <c r="R111" s="14" t="n">
        <v>1</v>
      </c>
      <c r="S111" s="14" t="n">
        <v>0</v>
      </c>
      <c r="T111" s="14" t="n">
        <v>0</v>
      </c>
      <c r="U111" s="14" t="n">
        <v>1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44" t="n">
        <v>46136</v>
      </c>
      <c r="AB111" s="46">
        <f>HYPERLINK("#'Transactions'!A108", "View Source Row")</f>
        <v/>
      </c>
    </row>
    <row r="112">
      <c r="A112" s="14" t="n">
        <v>108</v>
      </c>
      <c r="B112" s="14" t="inlineStr">
        <is>
          <t>273.pdf</t>
        </is>
      </c>
      <c r="C112" s="44" t="n">
        <v>46113</v>
      </c>
      <c r="D112" s="44" t="n">
        <v>46142</v>
      </c>
      <c r="E112" s="44" t="n">
        <v>46136</v>
      </c>
      <c r="F112" s="44" t="n">
        <v>46136</v>
      </c>
      <c r="G112" s="16" t="inlineStr">
        <is>
          <t>NEFT-BARBY2611 NEFT-BARBY26114821805-HINDUSTAN PETROLEUM CORPORAT</t>
        </is>
      </c>
      <c r="H112" s="14" t="str"/>
      <c r="I112" s="14" t="inlineStr">
        <is>
          <t>Payment</t>
        </is>
      </c>
      <c r="J112" s="43" t="n">
        <v>115069</v>
      </c>
      <c r="K112" s="43" t="n">
        <v>0</v>
      </c>
      <c r="L112" s="43" t="n">
        <v>115069</v>
      </c>
      <c r="M112" s="43" t="n">
        <v>-9999999.33</v>
      </c>
      <c r="N112" s="14" t="inlineStr">
        <is>
          <t>High Transaction</t>
        </is>
      </c>
      <c r="O112" s="14" t="inlineStr">
        <is>
          <t>No</t>
        </is>
      </c>
      <c r="P112" s="14" t="inlineStr">
        <is>
          <t>BARBY NEFT</t>
        </is>
      </c>
      <c r="Q112" s="14" t="n">
        <v>0</v>
      </c>
      <c r="R112" s="14" t="n">
        <v>0</v>
      </c>
      <c r="S112" s="14" t="n">
        <v>0</v>
      </c>
      <c r="T112" s="14" t="n">
        <v>0</v>
      </c>
      <c r="U112" s="14" t="n">
        <v>1</v>
      </c>
      <c r="V112" s="14" t="n">
        <v>0</v>
      </c>
      <c r="W112" s="14" t="n">
        <v>0</v>
      </c>
      <c r="X112" s="14" t="n">
        <v>0</v>
      </c>
      <c r="Y112" s="14" t="n">
        <v>0</v>
      </c>
      <c r="Z112" s="14" t="n">
        <v>0</v>
      </c>
      <c r="AA112" s="44" t="n">
        <v>46136</v>
      </c>
      <c r="AB112" s="46">
        <f>HYPERLINK("#'Transactions'!A109", "View Source Row")</f>
        <v/>
      </c>
    </row>
    <row r="113">
      <c r="A113" s="14" t="n">
        <v>109</v>
      </c>
      <c r="B113" s="14" t="inlineStr">
        <is>
          <t>273.pdf</t>
        </is>
      </c>
      <c r="C113" s="44" t="n">
        <v>46113</v>
      </c>
      <c r="D113" s="44" t="n">
        <v>46142</v>
      </c>
      <c r="E113" s="44" t="n">
        <v>46137</v>
      </c>
      <c r="F113" s="44" t="n">
        <v>46137</v>
      </c>
      <c r="G113" s="16" t="inlineStr">
        <is>
          <t>EBANK:WIB/1505 EBANK:WIB/1505471306/Edfs</t>
        </is>
      </c>
      <c r="H113" s="14" t="str"/>
      <c r="I113" s="14" t="inlineStr">
        <is>
          <t>Receipt</t>
        </is>
      </c>
      <c r="J113" s="43" t="n">
        <v>0</v>
      </c>
      <c r="K113" s="43" t="n">
        <v>273418</v>
      </c>
      <c r="L113" s="43" t="n">
        <v>273418</v>
      </c>
      <c r="M113" s="43" t="n">
        <v>-9726581.33</v>
      </c>
      <c r="N113" s="14" t="inlineStr">
        <is>
          <t>High Transaction; Recurring Transaction</t>
        </is>
      </c>
      <c r="O113" s="14" t="inlineStr">
        <is>
          <t>Yes</t>
        </is>
      </c>
      <c r="P113" s="14" t="inlineStr">
        <is>
          <t>EBANKWIB</t>
        </is>
      </c>
      <c r="Q113" s="14" t="n">
        <v>0</v>
      </c>
      <c r="R113" s="14" t="n">
        <v>1</v>
      </c>
      <c r="S113" s="14" t="n">
        <v>0</v>
      </c>
      <c r="T113" s="14" t="n">
        <v>0</v>
      </c>
      <c r="U113" s="14" t="n">
        <v>1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44" t="n">
        <v>46137</v>
      </c>
      <c r="AB113" s="46">
        <f>HYPERLINK("#'Transactions'!A110", "View Source Row")</f>
        <v/>
      </c>
    </row>
    <row r="114">
      <c r="A114" s="14" t="n">
        <v>110</v>
      </c>
      <c r="B114" s="14" t="inlineStr">
        <is>
          <t>273.pdf</t>
        </is>
      </c>
      <c r="C114" s="44" t="n">
        <v>46113</v>
      </c>
      <c r="D114" s="44" t="n">
        <v>46142</v>
      </c>
      <c r="E114" s="44" t="n">
        <v>46137</v>
      </c>
      <c r="F114" s="44" t="n">
        <v>46137</v>
      </c>
      <c r="G114" s="16" t="inlineStr">
        <is>
          <t>EBANK:WIB/1505 EBANK:WIB/1505471386/Edfs</t>
        </is>
      </c>
      <c r="H114" s="14" t="str"/>
      <c r="I114" s="14" t="inlineStr">
        <is>
          <t>Receipt</t>
        </is>
      </c>
      <c r="J114" s="43" t="n">
        <v>0</v>
      </c>
      <c r="K114" s="43" t="n">
        <v>72545.92999999999</v>
      </c>
      <c r="L114" s="43" t="n">
        <v>72545.92999999999</v>
      </c>
      <c r="M114" s="43" t="n">
        <v>-9654035.4</v>
      </c>
      <c r="N114" s="14" t="inlineStr">
        <is>
          <t>Recurring Transaction</t>
        </is>
      </c>
      <c r="O114" s="14" t="inlineStr">
        <is>
          <t>Yes</t>
        </is>
      </c>
      <c r="P114" s="14" t="inlineStr">
        <is>
          <t>EBANKWIB</t>
        </is>
      </c>
      <c r="Q114" s="14" t="n">
        <v>0</v>
      </c>
      <c r="R114" s="14" t="n">
        <v>1</v>
      </c>
      <c r="S114" s="14" t="n">
        <v>0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44" t="n">
        <v>46137</v>
      </c>
      <c r="AB114" s="46">
        <f>HYPERLINK("#'Transactions'!A111", "View Source Row")</f>
        <v/>
      </c>
    </row>
    <row r="115">
      <c r="A115" s="14" t="n">
        <v>111</v>
      </c>
      <c r="B115" s="14" t="inlineStr">
        <is>
          <t>273.pdf</t>
        </is>
      </c>
      <c r="C115" s="44" t="n">
        <v>46113</v>
      </c>
      <c r="D115" s="44" t="n">
        <v>46142</v>
      </c>
      <c r="E115" s="44" t="n">
        <v>46137</v>
      </c>
      <c r="F115" s="44" t="n">
        <v>46137</v>
      </c>
      <c r="G115" s="16" t="inlineStr">
        <is>
          <t>RTGS-BARBR5202 ---------------------------------------------------------------------------------------------------------------------------------- Page Total: 24,78,719.12 21,37,571.28 99,83,685.40Dr ---------------------------------------------------------------------------------------------------------------------------------- Note: Cheques received in inward clearing will be considered for debiting/ returning on the basis opening balance in account Unless the constituent notifies the bank of a</t>
        </is>
      </c>
      <c r="H115" s="14" t="str"/>
      <c r="I115" s="14" t="inlineStr">
        <is>
          <t>Payment</t>
        </is>
      </c>
      <c r="J115" s="43" t="n">
        <v>329650</v>
      </c>
      <c r="K115" s="43" t="n">
        <v>0</v>
      </c>
      <c r="L115" s="43" t="n">
        <v>329650</v>
      </c>
      <c r="M115" s="43" t="n">
        <v>-9983685.4</v>
      </c>
      <c r="N115" s="14" t="inlineStr">
        <is>
          <t>High Transaction; Recurring Transaction</t>
        </is>
      </c>
      <c r="O115" s="14" t="inlineStr">
        <is>
          <t>Yes</t>
        </is>
      </c>
      <c r="P115" s="14" t="inlineStr">
        <is>
          <t>PAGE TOTAL   DR</t>
        </is>
      </c>
      <c r="Q115" s="14" t="n">
        <v>0</v>
      </c>
      <c r="R115" s="14" t="n">
        <v>1</v>
      </c>
      <c r="S115" s="14" t="n">
        <v>0</v>
      </c>
      <c r="T115" s="14" t="n">
        <v>0</v>
      </c>
      <c r="U115" s="14" t="n">
        <v>1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44" t="n">
        <v>46137</v>
      </c>
      <c r="AB115" s="46">
        <f>HYPERLINK("#'Transactions'!A112", "View Source Row")</f>
        <v/>
      </c>
    </row>
    <row r="116">
      <c r="A116" s="14" t="n">
        <v>112</v>
      </c>
      <c r="B116" s="14" t="inlineStr">
        <is>
          <t>273.pdf</t>
        </is>
      </c>
      <c r="C116" s="44" t="n">
        <v>46113</v>
      </c>
      <c r="D116" s="44" t="n">
        <v>46142</v>
      </c>
      <c r="E116" s="44" t="n">
        <v>46137</v>
      </c>
      <c r="F116" s="44" t="n">
        <v>46137</v>
      </c>
      <c r="G116" s="16" t="inlineStr">
        <is>
          <t>EBANK:WIB/1505 EBANK:WIB/1505585919/Edfs</t>
        </is>
      </c>
      <c r="H116" s="14" t="str"/>
      <c r="I116" s="14" t="inlineStr">
        <is>
          <t>Receipt</t>
        </is>
      </c>
      <c r="J116" s="43" t="n">
        <v>0</v>
      </c>
      <c r="K116" s="43" t="n">
        <v>172247.15</v>
      </c>
      <c r="L116" s="43" t="n">
        <v>172247.15</v>
      </c>
      <c r="M116" s="43" t="n">
        <v>-9811438.25</v>
      </c>
      <c r="N116" s="14" t="inlineStr">
        <is>
          <t>High Transaction; Recurring Transaction</t>
        </is>
      </c>
      <c r="O116" s="14" t="inlineStr">
        <is>
          <t>Yes</t>
        </is>
      </c>
      <c r="P116" s="14" t="inlineStr">
        <is>
          <t>EBANKWIB</t>
        </is>
      </c>
      <c r="Q116" s="14" t="n">
        <v>0</v>
      </c>
      <c r="R116" s="14" t="n">
        <v>1</v>
      </c>
      <c r="S116" s="14" t="n">
        <v>0</v>
      </c>
      <c r="T116" s="14" t="n">
        <v>0</v>
      </c>
      <c r="U116" s="14" t="n">
        <v>1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44" t="n">
        <v>46137</v>
      </c>
      <c r="AB116" s="46">
        <f>HYPERLINK("#'Transactions'!A113", "View Source Row")</f>
        <v/>
      </c>
    </row>
    <row r="117">
      <c r="A117" s="14" t="n">
        <v>113</v>
      </c>
      <c r="B117" s="14" t="inlineStr">
        <is>
          <t>273.pdf</t>
        </is>
      </c>
      <c r="C117" s="44" t="n">
        <v>46113</v>
      </c>
      <c r="D117" s="44" t="n">
        <v>46142</v>
      </c>
      <c r="E117" s="44" t="n">
        <v>46138</v>
      </c>
      <c r="F117" s="44" t="n">
        <v>46138</v>
      </c>
      <c r="G117" s="16" t="inlineStr">
        <is>
          <t>EBANK:WIB/1505 EBANK:WIB/1505590344/Edfs</t>
        </is>
      </c>
      <c r="H117" s="14" t="str"/>
      <c r="I117" s="14" t="inlineStr">
        <is>
          <t>Receipt</t>
        </is>
      </c>
      <c r="J117" s="43" t="n">
        <v>0</v>
      </c>
      <c r="K117" s="43" t="n">
        <v>300990.79</v>
      </c>
      <c r="L117" s="43" t="n">
        <v>300990.79</v>
      </c>
      <c r="M117" s="43" t="n">
        <v>-9510447.460000001</v>
      </c>
      <c r="N117" s="14" t="inlineStr">
        <is>
          <t>High Transaction; Recurring Transaction</t>
        </is>
      </c>
      <c r="O117" s="14" t="inlineStr">
        <is>
          <t>Yes</t>
        </is>
      </c>
      <c r="P117" s="14" t="inlineStr">
        <is>
          <t>EBANKWIB</t>
        </is>
      </c>
      <c r="Q117" s="14" t="n">
        <v>0</v>
      </c>
      <c r="R117" s="14" t="n">
        <v>1</v>
      </c>
      <c r="S117" s="14" t="n">
        <v>0</v>
      </c>
      <c r="T117" s="14" t="n">
        <v>0</v>
      </c>
      <c r="U117" s="14" t="n">
        <v>1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44" t="n">
        <v>46138</v>
      </c>
      <c r="AB117" s="46">
        <f>HYPERLINK("#'Transactions'!A114", "View Source Row")</f>
        <v/>
      </c>
    </row>
    <row r="118">
      <c r="A118" s="14" t="n">
        <v>114</v>
      </c>
      <c r="B118" s="14" t="inlineStr">
        <is>
          <t>273.pdf</t>
        </is>
      </c>
      <c r="C118" s="44" t="n">
        <v>46113</v>
      </c>
      <c r="D118" s="44" t="n">
        <v>46142</v>
      </c>
      <c r="E118" s="44" t="n">
        <v>46138</v>
      </c>
      <c r="F118" s="44" t="n">
        <v>46138</v>
      </c>
      <c r="G118" s="16" t="inlineStr">
        <is>
          <t>EBANK:WIB/1505 EBANK:WIB/1505633295/Edfs</t>
        </is>
      </c>
      <c r="H118" s="14" t="str"/>
      <c r="I118" s="14" t="inlineStr">
        <is>
          <t>Receipt</t>
        </is>
      </c>
      <c r="J118" s="43" t="n">
        <v>0</v>
      </c>
      <c r="K118" s="43" t="n">
        <v>114728</v>
      </c>
      <c r="L118" s="43" t="n">
        <v>114728</v>
      </c>
      <c r="M118" s="43" t="n">
        <v>-9395719.460000001</v>
      </c>
      <c r="N118" s="14" t="inlineStr">
        <is>
          <t>High Transaction; Recurring Transaction</t>
        </is>
      </c>
      <c r="O118" s="14" t="inlineStr">
        <is>
          <t>Yes</t>
        </is>
      </c>
      <c r="P118" s="14" t="inlineStr">
        <is>
          <t>EBANKWIB</t>
        </is>
      </c>
      <c r="Q118" s="14" t="n">
        <v>0</v>
      </c>
      <c r="R118" s="14" t="n">
        <v>1</v>
      </c>
      <c r="S118" s="14" t="n">
        <v>0</v>
      </c>
      <c r="T118" s="14" t="n">
        <v>0</v>
      </c>
      <c r="U118" s="14" t="n">
        <v>1</v>
      </c>
      <c r="V118" s="14" t="n">
        <v>0</v>
      </c>
      <c r="W118" s="14" t="n">
        <v>0</v>
      </c>
      <c r="X118" s="14" t="n">
        <v>0</v>
      </c>
      <c r="Y118" s="14" t="n">
        <v>0</v>
      </c>
      <c r="Z118" s="14" t="n">
        <v>0</v>
      </c>
      <c r="AA118" s="44" t="n">
        <v>46138</v>
      </c>
      <c r="AB118" s="46">
        <f>HYPERLINK("#'Transactions'!A115", "View Source Row")</f>
        <v/>
      </c>
    </row>
    <row r="119">
      <c r="A119" s="14" t="n">
        <v>115</v>
      </c>
      <c r="B119" s="14" t="inlineStr">
        <is>
          <t>273.pdf</t>
        </is>
      </c>
      <c r="C119" s="44" t="n">
        <v>46113</v>
      </c>
      <c r="D119" s="44" t="n">
        <v>46142</v>
      </c>
      <c r="E119" s="44" t="n">
        <v>46139</v>
      </c>
      <c r="F119" s="44" t="n">
        <v>46139</v>
      </c>
      <c r="G119" s="16" t="inlineStr">
        <is>
          <t>EBANK:WIB/1505 EBANK:WIB/1505672686/Edfs</t>
        </is>
      </c>
      <c r="H119" s="14" t="str"/>
      <c r="I119" s="14" t="inlineStr">
        <is>
          <t>Receipt</t>
        </is>
      </c>
      <c r="J119" s="43" t="n">
        <v>0</v>
      </c>
      <c r="K119" s="43" t="n">
        <v>460000.8</v>
      </c>
      <c r="L119" s="43" t="n">
        <v>460000.8</v>
      </c>
      <c r="M119" s="43" t="n">
        <v>-8935718.66</v>
      </c>
      <c r="N119" s="14" t="inlineStr">
        <is>
          <t>High Transaction; Recurring Transaction</t>
        </is>
      </c>
      <c r="O119" s="14" t="inlineStr">
        <is>
          <t>Yes</t>
        </is>
      </c>
      <c r="P119" s="14" t="inlineStr">
        <is>
          <t>EBANKWIB</t>
        </is>
      </c>
      <c r="Q119" s="14" t="n">
        <v>0</v>
      </c>
      <c r="R119" s="14" t="n">
        <v>1</v>
      </c>
      <c r="S119" s="14" t="n">
        <v>0</v>
      </c>
      <c r="T119" s="14" t="n">
        <v>0</v>
      </c>
      <c r="U119" s="14" t="n">
        <v>1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44" t="n">
        <v>46139</v>
      </c>
      <c r="AB119" s="46">
        <f>HYPERLINK("#'Transactions'!A116", "View Source Row")</f>
        <v/>
      </c>
    </row>
    <row r="120">
      <c r="A120" s="14" t="n">
        <v>116</v>
      </c>
      <c r="B120" s="14" t="inlineStr">
        <is>
          <t>273.pdf</t>
        </is>
      </c>
      <c r="C120" s="44" t="n">
        <v>46113</v>
      </c>
      <c r="D120" s="44" t="n">
        <v>46142</v>
      </c>
      <c r="E120" s="44" t="n">
        <v>46139</v>
      </c>
      <c r="F120" s="44" t="n">
        <v>46139</v>
      </c>
      <c r="G120" s="16" t="inlineStr">
        <is>
          <t>BY CASH BY CASH</t>
        </is>
      </c>
      <c r="H120" s="14" t="str"/>
      <c r="I120" s="14" t="inlineStr">
        <is>
          <t>Receipt</t>
        </is>
      </c>
      <c r="J120" s="43" t="n">
        <v>0</v>
      </c>
      <c r="K120" s="43" t="n">
        <v>774500</v>
      </c>
      <c r="L120" s="43" t="n">
        <v>774500</v>
      </c>
      <c r="M120" s="43" t="n">
        <v>-8161218.66</v>
      </c>
      <c r="N120" s="14" t="inlineStr">
        <is>
          <t>Cash; High Transaction; Recurring Transaction</t>
        </is>
      </c>
      <c r="O120" s="14" t="inlineStr">
        <is>
          <t>Yes</t>
        </is>
      </c>
      <c r="P120" s="14" t="inlineStr">
        <is>
          <t>BY CASH BY CASH</t>
        </is>
      </c>
      <c r="Q120" s="14" t="n">
        <v>1</v>
      </c>
      <c r="R120" s="14" t="n">
        <v>1</v>
      </c>
      <c r="S120" s="14" t="n">
        <v>0</v>
      </c>
      <c r="T120" s="14" t="n">
        <v>0</v>
      </c>
      <c r="U120" s="14" t="n">
        <v>1</v>
      </c>
      <c r="V120" s="14" t="n">
        <v>0</v>
      </c>
      <c r="W120" s="14" t="n">
        <v>0</v>
      </c>
      <c r="X120" s="14" t="n">
        <v>0</v>
      </c>
      <c r="Y120" s="14" t="n">
        <v>0</v>
      </c>
      <c r="Z120" s="14" t="n">
        <v>0</v>
      </c>
      <c r="AA120" s="44" t="n">
        <v>46139</v>
      </c>
      <c r="AB120" s="46">
        <f>HYPERLINK("#'Transactions'!A117", "View Source Row")</f>
        <v/>
      </c>
    </row>
    <row r="121">
      <c r="A121" s="14" t="n">
        <v>117</v>
      </c>
      <c r="B121" s="14" t="inlineStr">
        <is>
          <t>273.pdf</t>
        </is>
      </c>
      <c r="C121" s="44" t="n">
        <v>46113</v>
      </c>
      <c r="D121" s="44" t="n">
        <v>46142</v>
      </c>
      <c r="E121" s="44" t="n">
        <v>46139</v>
      </c>
      <c r="F121" s="44" t="n">
        <v>46139</v>
      </c>
      <c r="G121" s="16" t="inlineStr">
        <is>
          <t>DIGITA-MUMBAI/ INT260413DEAL6345818</t>
        </is>
      </c>
      <c r="H121" s="14" t="str"/>
      <c r="I121" s="14" t="inlineStr">
        <is>
          <t>Payment</t>
        </is>
      </c>
      <c r="J121" s="43" t="n">
        <v>5991.69</v>
      </c>
      <c r="K121" s="43" t="n">
        <v>0</v>
      </c>
      <c r="L121" s="43" t="n">
        <v>5991.69</v>
      </c>
      <c r="M121" s="43" t="n">
        <v>-8167210.35</v>
      </c>
      <c r="N121" s="14" t="inlineStr">
        <is>
          <t>Recurring Transaction</t>
        </is>
      </c>
      <c r="O121" s="14" t="inlineStr">
        <is>
          <t>Yes</t>
        </is>
      </c>
      <c r="P121" s="14" t="inlineStr">
        <is>
          <t>DIGITA-MUMBAI/ INT#DEAL#</t>
        </is>
      </c>
      <c r="Q121" s="14" t="n">
        <v>0</v>
      </c>
      <c r="R121" s="14" t="n">
        <v>1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44" t="n">
        <v>46139</v>
      </c>
      <c r="AB121" s="46">
        <f>HYPERLINK("#'Transactions'!A118", "View Source Row")</f>
        <v/>
      </c>
    </row>
    <row r="122">
      <c r="A122" s="14" t="n">
        <v>118</v>
      </c>
      <c r="B122" s="14" t="inlineStr">
        <is>
          <t>273.pdf</t>
        </is>
      </c>
      <c r="C122" s="44" t="n">
        <v>46113</v>
      </c>
      <c r="D122" s="44" t="n">
        <v>46142</v>
      </c>
      <c r="E122" s="44" t="n">
        <v>46139</v>
      </c>
      <c r="F122" s="44" t="n">
        <v>46139</v>
      </c>
      <c r="G122" s="16" t="inlineStr">
        <is>
          <t>EBANK:WIB/1505 EBANK:WIB/1505752441/Edfs</t>
        </is>
      </c>
      <c r="H122" s="14" t="str"/>
      <c r="I122" s="14" t="inlineStr">
        <is>
          <t>Receipt</t>
        </is>
      </c>
      <c r="J122" s="43" t="n">
        <v>0</v>
      </c>
      <c r="K122" s="43" t="n">
        <v>365005</v>
      </c>
      <c r="L122" s="43" t="n">
        <v>365005</v>
      </c>
      <c r="M122" s="43" t="n">
        <v>-7802205.35</v>
      </c>
      <c r="N122" s="14" t="inlineStr">
        <is>
          <t>High Transaction; Recurring Transaction</t>
        </is>
      </c>
      <c r="O122" s="14" t="inlineStr">
        <is>
          <t>Yes</t>
        </is>
      </c>
      <c r="P122" s="14" t="inlineStr">
        <is>
          <t>EBANKWIB</t>
        </is>
      </c>
      <c r="Q122" s="14" t="n">
        <v>0</v>
      </c>
      <c r="R122" s="14" t="n">
        <v>1</v>
      </c>
      <c r="S122" s="14" t="n">
        <v>0</v>
      </c>
      <c r="T122" s="14" t="n">
        <v>0</v>
      </c>
      <c r="U122" s="14" t="n">
        <v>1</v>
      </c>
      <c r="V122" s="14" t="n">
        <v>0</v>
      </c>
      <c r="W122" s="14" t="n">
        <v>0</v>
      </c>
      <c r="X122" s="14" t="n">
        <v>0</v>
      </c>
      <c r="Y122" s="14" t="n">
        <v>0</v>
      </c>
      <c r="Z122" s="14" t="n">
        <v>0</v>
      </c>
      <c r="AA122" s="44" t="n">
        <v>46139</v>
      </c>
      <c r="AB122" s="46">
        <f>HYPERLINK("#'Transactions'!A119", "View Source Row")</f>
        <v/>
      </c>
    </row>
    <row r="123">
      <c r="A123" s="14" t="n">
        <v>119</v>
      </c>
      <c r="B123" s="14" t="inlineStr">
        <is>
          <t>273.pdf</t>
        </is>
      </c>
      <c r="C123" s="44" t="n">
        <v>46113</v>
      </c>
      <c r="D123" s="44" t="n">
        <v>46142</v>
      </c>
      <c r="E123" s="44" t="n">
        <v>46139</v>
      </c>
      <c r="F123" s="44" t="n">
        <v>46139</v>
      </c>
      <c r="G123" s="16" t="inlineStr">
        <is>
          <t>RTGS-BARBR5202 RTGS-BARBR52026042700952483-HINDUSTAN PETROLEUM CO</t>
        </is>
      </c>
      <c r="H123" s="14" t="str"/>
      <c r="I123" s="14" t="inlineStr">
        <is>
          <t>Payment</t>
        </is>
      </c>
      <c r="J123" s="43" t="n">
        <v>1064000</v>
      </c>
      <c r="K123" s="43" t="n">
        <v>0</v>
      </c>
      <c r="L123" s="43" t="n">
        <v>1064000</v>
      </c>
      <c r="M123" s="43" t="n">
        <v>-8866205.35</v>
      </c>
      <c r="N123" s="14" t="inlineStr">
        <is>
          <t>High Transaction; Recurring Transaction</t>
        </is>
      </c>
      <c r="O123" s="14" t="inlineStr">
        <is>
          <t>Yes</t>
        </is>
      </c>
      <c r="P123" s="14" t="inlineStr">
        <is>
          <t>BARBR RTGS</t>
        </is>
      </c>
      <c r="Q123" s="14" t="n">
        <v>0</v>
      </c>
      <c r="R123" s="14" t="n">
        <v>1</v>
      </c>
      <c r="S123" s="14" t="n">
        <v>0</v>
      </c>
      <c r="T123" s="14" t="n">
        <v>0</v>
      </c>
      <c r="U123" s="14" t="n">
        <v>1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44" t="n">
        <v>46139</v>
      </c>
      <c r="AB123" s="46">
        <f>HYPERLINK("#'Transactions'!A120", "View Source Row")</f>
        <v/>
      </c>
    </row>
    <row r="124">
      <c r="A124" s="14" t="n">
        <v>120</v>
      </c>
      <c r="B124" s="14" t="inlineStr">
        <is>
          <t>273.pdf</t>
        </is>
      </c>
      <c r="C124" s="44" t="n">
        <v>46113</v>
      </c>
      <c r="D124" s="44" t="n">
        <v>46142</v>
      </c>
      <c r="E124" s="44" t="n">
        <v>46139</v>
      </c>
      <c r="F124" s="44" t="n">
        <v>46139</v>
      </c>
      <c r="G124" s="16" t="inlineStr">
        <is>
          <t>RTGS-BARBR5202 RTGS-BARBR52026042700958299-HINDUSTAN PETROLEUM CO</t>
        </is>
      </c>
      <c r="H124" s="14" t="str"/>
      <c r="I124" s="14" t="inlineStr">
        <is>
          <t>Payment</t>
        </is>
      </c>
      <c r="J124" s="43" t="n">
        <v>768789</v>
      </c>
      <c r="K124" s="43" t="n">
        <v>0</v>
      </c>
      <c r="L124" s="43" t="n">
        <v>768789</v>
      </c>
      <c r="M124" s="43" t="n">
        <v>-9634994.35</v>
      </c>
      <c r="N124" s="14" t="inlineStr">
        <is>
          <t>High Transaction; Recurring Transaction</t>
        </is>
      </c>
      <c r="O124" s="14" t="inlineStr">
        <is>
          <t>Yes</t>
        </is>
      </c>
      <c r="P124" s="14" t="inlineStr">
        <is>
          <t>BARBR RTGS</t>
        </is>
      </c>
      <c r="Q124" s="14" t="n">
        <v>0</v>
      </c>
      <c r="R124" s="14" t="n">
        <v>1</v>
      </c>
      <c r="S124" s="14" t="n">
        <v>0</v>
      </c>
      <c r="T124" s="14" t="n">
        <v>0</v>
      </c>
      <c r="U124" s="14" t="n">
        <v>1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44" t="n">
        <v>46139</v>
      </c>
      <c r="AB124" s="46">
        <f>HYPERLINK("#'Transactions'!A121", "View Source Row")</f>
        <v/>
      </c>
    </row>
    <row r="125">
      <c r="A125" s="14" t="n">
        <v>121</v>
      </c>
      <c r="B125" s="14" t="inlineStr">
        <is>
          <t>273.pdf</t>
        </is>
      </c>
      <c r="C125" s="44" t="n">
        <v>46113</v>
      </c>
      <c r="D125" s="44" t="n">
        <v>46142</v>
      </c>
      <c r="E125" s="44" t="n">
        <v>46140</v>
      </c>
      <c r="F125" s="44" t="n">
        <v>46140</v>
      </c>
      <c r="G125" s="16" t="inlineStr">
        <is>
          <t>BY CASH BY CASH</t>
        </is>
      </c>
      <c r="H125" s="14" t="str"/>
      <c r="I125" s="14" t="inlineStr">
        <is>
          <t>Receipt</t>
        </is>
      </c>
      <c r="J125" s="43" t="n">
        <v>0</v>
      </c>
      <c r="K125" s="43" t="n">
        <v>246500</v>
      </c>
      <c r="L125" s="43" t="n">
        <v>246500</v>
      </c>
      <c r="M125" s="43" t="n">
        <v>-9388494.35</v>
      </c>
      <c r="N125" s="14" t="inlineStr">
        <is>
          <t>Cash; High Transaction; Recurring Transaction</t>
        </is>
      </c>
      <c r="O125" s="14" t="inlineStr">
        <is>
          <t>Yes</t>
        </is>
      </c>
      <c r="P125" s="14" t="inlineStr">
        <is>
          <t>BY CASH BY CASH</t>
        </is>
      </c>
      <c r="Q125" s="14" t="n">
        <v>1</v>
      </c>
      <c r="R125" s="14" t="n">
        <v>1</v>
      </c>
      <c r="S125" s="14" t="n">
        <v>0</v>
      </c>
      <c r="T125" s="14" t="n">
        <v>0</v>
      </c>
      <c r="U125" s="14" t="n">
        <v>1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44" t="n">
        <v>46140</v>
      </c>
      <c r="AB125" s="46">
        <f>HYPERLINK("#'Transactions'!A122", "View Source Row")</f>
        <v/>
      </c>
    </row>
    <row r="126">
      <c r="A126" s="14" t="n">
        <v>122</v>
      </c>
      <c r="B126" s="14" t="inlineStr">
        <is>
          <t>273.pdf</t>
        </is>
      </c>
      <c r="C126" s="44" t="n">
        <v>46113</v>
      </c>
      <c r="D126" s="44" t="n">
        <v>46142</v>
      </c>
      <c r="E126" s="44" t="n">
        <v>46140</v>
      </c>
      <c r="F126" s="44" t="n">
        <v>46140</v>
      </c>
      <c r="G126" s="16" t="inlineStr">
        <is>
          <t>EBANK:WIB/1505 EBANK:WIB/1505883831/Edfs</t>
        </is>
      </c>
      <c r="H126" s="14" t="str"/>
      <c r="I126" s="14" t="inlineStr">
        <is>
          <t>Receipt</t>
        </is>
      </c>
      <c r="J126" s="43" t="n">
        <v>0</v>
      </c>
      <c r="K126" s="43" t="n">
        <v>402798.6</v>
      </c>
      <c r="L126" s="43" t="n">
        <v>402798.6</v>
      </c>
      <c r="M126" s="43" t="n">
        <v>-8985695.75</v>
      </c>
      <c r="N126" s="14" t="inlineStr">
        <is>
          <t>High Transaction; Recurring Transaction</t>
        </is>
      </c>
      <c r="O126" s="14" t="inlineStr">
        <is>
          <t>Yes</t>
        </is>
      </c>
      <c r="P126" s="14" t="inlineStr">
        <is>
          <t>EBANKWIB</t>
        </is>
      </c>
      <c r="Q126" s="14" t="n">
        <v>0</v>
      </c>
      <c r="R126" s="14" t="n">
        <v>1</v>
      </c>
      <c r="S126" s="14" t="n">
        <v>0</v>
      </c>
      <c r="T126" s="14" t="n">
        <v>0</v>
      </c>
      <c r="U126" s="14" t="n">
        <v>1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44" t="n">
        <v>46140</v>
      </c>
      <c r="AB126" s="46">
        <f>HYPERLINK("#'Transactions'!A123", "View Source Row")</f>
        <v/>
      </c>
    </row>
    <row r="127">
      <c r="A127" s="14" t="n">
        <v>123</v>
      </c>
      <c r="B127" s="14" t="inlineStr">
        <is>
          <t>273.pdf</t>
        </is>
      </c>
      <c r="C127" s="44" t="n">
        <v>46113</v>
      </c>
      <c r="D127" s="44" t="n">
        <v>46142</v>
      </c>
      <c r="E127" s="44" t="n">
        <v>46140</v>
      </c>
      <c r="F127" s="44" t="n">
        <v>46140</v>
      </c>
      <c r="G127" s="16" t="inlineStr">
        <is>
          <t>EBANK:WIB/1505 EBANK:WIB/1505948506/Edfs</t>
        </is>
      </c>
      <c r="H127" s="14" t="str"/>
      <c r="I127" s="14" t="inlineStr">
        <is>
          <t>Receipt</t>
        </is>
      </c>
      <c r="J127" s="43" t="n">
        <v>0</v>
      </c>
      <c r="K127" s="43" t="n">
        <v>192251.79</v>
      </c>
      <c r="L127" s="43" t="n">
        <v>192251.79</v>
      </c>
      <c r="M127" s="43" t="n">
        <v>-8793443.960000001</v>
      </c>
      <c r="N127" s="14" t="inlineStr">
        <is>
          <t>High Transaction; Recurring Transaction</t>
        </is>
      </c>
      <c r="O127" s="14" t="inlineStr">
        <is>
          <t>Yes</t>
        </is>
      </c>
      <c r="P127" s="14" t="inlineStr">
        <is>
          <t>EBANKWIB</t>
        </is>
      </c>
      <c r="Q127" s="14" t="n">
        <v>0</v>
      </c>
      <c r="R127" s="14" t="n">
        <v>1</v>
      </c>
      <c r="S127" s="14" t="n">
        <v>0</v>
      </c>
      <c r="T127" s="14" t="n">
        <v>0</v>
      </c>
      <c r="U127" s="14" t="n">
        <v>1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44" t="n">
        <v>46140</v>
      </c>
      <c r="AB127" s="46">
        <f>HYPERLINK("#'Transactions'!A124", "View Source Row")</f>
        <v/>
      </c>
    </row>
    <row r="128">
      <c r="A128" s="14" t="n">
        <v>124</v>
      </c>
      <c r="B128" s="14" t="inlineStr">
        <is>
          <t>273.pdf</t>
        </is>
      </c>
      <c r="C128" s="44" t="n">
        <v>46113</v>
      </c>
      <c r="D128" s="44" t="n">
        <v>46142</v>
      </c>
      <c r="E128" s="44" t="n">
        <v>46141</v>
      </c>
      <c r="F128" s="44" t="n">
        <v>46141</v>
      </c>
      <c r="G128" s="16" t="inlineStr">
        <is>
          <t>EBANK:WIB/1505 EBANK:WIB/1505959390/Edfs</t>
        </is>
      </c>
      <c r="H128" s="14" t="str"/>
      <c r="I128" s="14" t="inlineStr">
        <is>
          <t>Receipt</t>
        </is>
      </c>
      <c r="J128" s="43" t="n">
        <v>0</v>
      </c>
      <c r="K128" s="43" t="n">
        <v>383365.33</v>
      </c>
      <c r="L128" s="43" t="n">
        <v>383365.33</v>
      </c>
      <c r="M128" s="43" t="n">
        <v>-8410078.630000001</v>
      </c>
      <c r="N128" s="14" t="inlineStr">
        <is>
          <t>High Transaction; Recurring Transaction</t>
        </is>
      </c>
      <c r="O128" s="14" t="inlineStr">
        <is>
          <t>Yes</t>
        </is>
      </c>
      <c r="P128" s="14" t="inlineStr">
        <is>
          <t>EBANKWIB</t>
        </is>
      </c>
      <c r="Q128" s="14" t="n">
        <v>0</v>
      </c>
      <c r="R128" s="14" t="n">
        <v>1</v>
      </c>
      <c r="S128" s="14" t="n">
        <v>0</v>
      </c>
      <c r="T128" s="14" t="n">
        <v>0</v>
      </c>
      <c r="U128" s="14" t="n">
        <v>1</v>
      </c>
      <c r="V128" s="14" t="n">
        <v>0</v>
      </c>
      <c r="W128" s="14" t="n">
        <v>0</v>
      </c>
      <c r="X128" s="14" t="n">
        <v>0</v>
      </c>
      <c r="Y128" s="14" t="n">
        <v>0</v>
      </c>
      <c r="Z128" s="14" t="n">
        <v>0</v>
      </c>
      <c r="AA128" s="44" t="n">
        <v>46141</v>
      </c>
      <c r="AB128" s="46">
        <f>HYPERLINK("#'Transactions'!A125", "View Source Row")</f>
        <v/>
      </c>
    </row>
    <row r="129">
      <c r="A129" s="14" t="n">
        <v>125</v>
      </c>
      <c r="B129" s="14" t="inlineStr">
        <is>
          <t>273.pdf</t>
        </is>
      </c>
      <c r="C129" s="44" t="n">
        <v>46113</v>
      </c>
      <c r="D129" s="44" t="n">
        <v>46142</v>
      </c>
      <c r="E129" s="44" t="n">
        <v>46141</v>
      </c>
      <c r="F129" s="44" t="n">
        <v>46141</v>
      </c>
      <c r="G129" s="16" t="inlineStr">
        <is>
          <t>PEENYA-BANGALO INT260415DEAL6357250</t>
        </is>
      </c>
      <c r="H129" s="14" t="str"/>
      <c r="I129" s="14" t="inlineStr">
        <is>
          <t>Payment</t>
        </is>
      </c>
      <c r="J129" s="43" t="n">
        <v>5675.17</v>
      </c>
      <c r="K129" s="43" t="n">
        <v>0</v>
      </c>
      <c r="L129" s="43" t="n">
        <v>5675.17</v>
      </c>
      <c r="M129" s="43" t="n">
        <v>-8415753.800000001</v>
      </c>
      <c r="N129" s="14" t="inlineStr">
        <is>
          <t>Other</t>
        </is>
      </c>
      <c r="O129" s="14" t="inlineStr">
        <is>
          <t>No</t>
        </is>
      </c>
      <c r="P129" s="14" t="inlineStr">
        <is>
          <t>BANGALO INTDEAL</t>
        </is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44" t="n">
        <v>46141</v>
      </c>
      <c r="AB129" s="46">
        <f>HYPERLINK("#'Transactions'!A126", "View Source Row")</f>
        <v/>
      </c>
    </row>
    <row r="130">
      <c r="A130" s="14" t="n">
        <v>126</v>
      </c>
      <c r="B130" s="14" t="inlineStr">
        <is>
          <t>273.pdf</t>
        </is>
      </c>
      <c r="C130" s="44" t="n">
        <v>46113</v>
      </c>
      <c r="D130" s="44" t="n">
        <v>46142</v>
      </c>
      <c r="E130" s="44" t="n">
        <v>46141</v>
      </c>
      <c r="F130" s="44" t="n">
        <v>46141</v>
      </c>
      <c r="G130" s="16" t="inlineStr">
        <is>
          <t>VJJAVA-JAVAGAL INT260415DEAL6357445</t>
        </is>
      </c>
      <c r="H130" s="14" t="str"/>
      <c r="I130" s="14" t="inlineStr">
        <is>
          <t>Payment</t>
        </is>
      </c>
      <c r="J130" s="43" t="n">
        <v>224.28</v>
      </c>
      <c r="K130" s="43" t="n">
        <v>0</v>
      </c>
      <c r="L130" s="43" t="n">
        <v>224.28</v>
      </c>
      <c r="M130" s="43" t="n">
        <v>-8415978.08</v>
      </c>
      <c r="N130" s="14" t="inlineStr">
        <is>
          <t>Other</t>
        </is>
      </c>
      <c r="O130" s="14" t="inlineStr">
        <is>
          <t>No</t>
        </is>
      </c>
      <c r="P130" s="14" t="inlineStr">
        <is>
          <t>JAVAGAL INTDEAL</t>
        </is>
      </c>
      <c r="Q130" s="14" t="n">
        <v>0</v>
      </c>
      <c r="R130" s="14" t="n">
        <v>0</v>
      </c>
      <c r="S130" s="14" t="n">
        <v>0</v>
      </c>
      <c r="T130" s="14" t="n">
        <v>0</v>
      </c>
      <c r="U130" s="14" t="n">
        <v>0</v>
      </c>
      <c r="V130" s="14" t="n">
        <v>0</v>
      </c>
      <c r="W130" s="14" t="n">
        <v>0</v>
      </c>
      <c r="X130" s="14" t="n">
        <v>0</v>
      </c>
      <c r="Y130" s="14" t="n">
        <v>0</v>
      </c>
      <c r="Z130" s="14" t="n">
        <v>0</v>
      </c>
      <c r="AA130" s="44" t="n">
        <v>46141</v>
      </c>
      <c r="AB130" s="46">
        <f>HYPERLINK("#'Transactions'!A127", "View Source Row")</f>
        <v/>
      </c>
    </row>
    <row r="131">
      <c r="A131" s="14" t="n">
        <v>127</v>
      </c>
      <c r="B131" s="14" t="inlineStr">
        <is>
          <t>273.pdf</t>
        </is>
      </c>
      <c r="C131" s="44" t="n">
        <v>46113</v>
      </c>
      <c r="D131" s="44" t="n">
        <v>46142</v>
      </c>
      <c r="E131" s="44" t="n">
        <v>46141</v>
      </c>
      <c r="F131" s="44" t="n">
        <v>46141</v>
      </c>
      <c r="G131" s="16" t="inlineStr">
        <is>
          <t>EBANK:WIB/1505 EBANK:WIB/1505997293/Edfs ---------------------------------------------------------------------------------------------------------------------------------- Page Total: 18,44,680.14 35,74,340.46 82,54,025.08Dr ---------------------------------------------------------------------------------------------------------------------------------- Note: Cheques received in inward clearing will be considered for debiting/ returning on the basis opening balance in account Unless the constitu</t>
        </is>
      </c>
      <c r="H131" s="14" t="str"/>
      <c r="I131" s="14" t="inlineStr">
        <is>
          <t>Receipt</t>
        </is>
      </c>
      <c r="J131" s="43" t="n">
        <v>0</v>
      </c>
      <c r="K131" s="43" t="n">
        <v>161953</v>
      </c>
      <c r="L131" s="43" t="n">
        <v>161953</v>
      </c>
      <c r="M131" s="43" t="n">
        <v>-8254025.08</v>
      </c>
      <c r="N131" s="14" t="inlineStr">
        <is>
          <t>High Transaction; Recurring Transaction</t>
        </is>
      </c>
      <c r="O131" s="14" t="inlineStr">
        <is>
          <t>Yes</t>
        </is>
      </c>
      <c r="P131" s="14" t="inlineStr">
        <is>
          <t>EBANKWIB</t>
        </is>
      </c>
      <c r="Q131" s="14" t="n">
        <v>0</v>
      </c>
      <c r="R131" s="14" t="n">
        <v>1</v>
      </c>
      <c r="S131" s="14" t="n">
        <v>0</v>
      </c>
      <c r="T131" s="14" t="n">
        <v>0</v>
      </c>
      <c r="U131" s="14" t="n">
        <v>1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44" t="n">
        <v>46141</v>
      </c>
      <c r="AB131" s="46">
        <f>HYPERLINK("#'Transactions'!A128", "View Source Row")</f>
        <v/>
      </c>
    </row>
    <row r="132">
      <c r="A132" s="14" t="n">
        <v>128</v>
      </c>
      <c r="B132" s="14" t="inlineStr">
        <is>
          <t>273.pdf</t>
        </is>
      </c>
      <c r="C132" s="44" t="n">
        <v>46113</v>
      </c>
      <c r="D132" s="44" t="n">
        <v>46142</v>
      </c>
      <c r="E132" s="44" t="n">
        <v>46141</v>
      </c>
      <c r="F132" s="44" t="n">
        <v>46141</v>
      </c>
      <c r="G132" s="16" t="inlineStr">
        <is>
          <t>BAREIL-BAREILL INT260416DEAL6357960</t>
        </is>
      </c>
      <c r="H132" s="14" t="str"/>
      <c r="I132" s="14" t="inlineStr">
        <is>
          <t>Payment</t>
        </is>
      </c>
      <c r="J132" s="43" t="n">
        <v>124.67</v>
      </c>
      <c r="K132" s="43" t="n">
        <v>0</v>
      </c>
      <c r="L132" s="43" t="n">
        <v>124.67</v>
      </c>
      <c r="M132" s="43" t="n">
        <v>-8254149.75</v>
      </c>
      <c r="N132" s="14" t="inlineStr">
        <is>
          <t>Other</t>
        </is>
      </c>
      <c r="O132" s="14" t="inlineStr">
        <is>
          <t>No</t>
        </is>
      </c>
      <c r="P132" s="14" t="inlineStr">
        <is>
          <t>BAREILL INTDEAL</t>
        </is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44" t="n">
        <v>46141</v>
      </c>
      <c r="AB132" s="46">
        <f>HYPERLINK("#'Transactions'!A129", "View Source Row")</f>
        <v/>
      </c>
    </row>
    <row r="133">
      <c r="A133" s="14" t="n">
        <v>129</v>
      </c>
      <c r="B133" s="14" t="inlineStr">
        <is>
          <t>273.pdf</t>
        </is>
      </c>
      <c r="C133" s="44" t="n">
        <v>46113</v>
      </c>
      <c r="D133" s="44" t="n">
        <v>46142</v>
      </c>
      <c r="E133" s="44" t="n">
        <v>46141</v>
      </c>
      <c r="F133" s="44" t="n">
        <v>46141</v>
      </c>
      <c r="G133" s="16" t="inlineStr">
        <is>
          <t>BY CASH BY CASH</t>
        </is>
      </c>
      <c r="H133" s="14" t="str"/>
      <c r="I133" s="14" t="inlineStr">
        <is>
          <t>Receipt</t>
        </is>
      </c>
      <c r="J133" s="43" t="n">
        <v>0</v>
      </c>
      <c r="K133" s="43" t="n">
        <v>116500</v>
      </c>
      <c r="L133" s="43" t="n">
        <v>116500</v>
      </c>
      <c r="M133" s="43" t="n">
        <v>-8137649.75</v>
      </c>
      <c r="N133" s="14" t="inlineStr">
        <is>
          <t>Cash; High Transaction; Recurring Transaction</t>
        </is>
      </c>
      <c r="O133" s="14" t="inlineStr">
        <is>
          <t>Yes</t>
        </is>
      </c>
      <c r="P133" s="14" t="inlineStr">
        <is>
          <t>BY CASH BY CASH</t>
        </is>
      </c>
      <c r="Q133" s="14" t="n">
        <v>1</v>
      </c>
      <c r="R133" s="14" t="n">
        <v>1</v>
      </c>
      <c r="S133" s="14" t="n">
        <v>0</v>
      </c>
      <c r="T133" s="14" t="n">
        <v>0</v>
      </c>
      <c r="U133" s="14" t="n">
        <v>1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44" t="n">
        <v>46141</v>
      </c>
      <c r="AB133" s="46">
        <f>HYPERLINK("#'Transactions'!A130", "View Source Row")</f>
        <v/>
      </c>
    </row>
    <row r="134">
      <c r="A134" s="14" t="n">
        <v>130</v>
      </c>
      <c r="B134" s="14" t="inlineStr">
        <is>
          <t>273.pdf</t>
        </is>
      </c>
      <c r="C134" s="44" t="n">
        <v>46113</v>
      </c>
      <c r="D134" s="44" t="n">
        <v>46142</v>
      </c>
      <c r="E134" s="44" t="n">
        <v>46141</v>
      </c>
      <c r="F134" s="44" t="n">
        <v>46141</v>
      </c>
      <c r="G134" s="16" t="inlineStr">
        <is>
          <t>RTGS-BARBR5202 RTGS-BARBR52026042900818962-HINDUSTAN PETROLEUM CO</t>
        </is>
      </c>
      <c r="H134" s="14" t="str"/>
      <c r="I134" s="14" t="inlineStr">
        <is>
          <t>Payment</t>
        </is>
      </c>
      <c r="J134" s="43" t="n">
        <v>1745850</v>
      </c>
      <c r="K134" s="43" t="n">
        <v>0</v>
      </c>
      <c r="L134" s="43" t="n">
        <v>1745850</v>
      </c>
      <c r="M134" s="43" t="n">
        <v>-9883499.75</v>
      </c>
      <c r="N134" s="14" t="inlineStr">
        <is>
          <t>High Transaction; Recurring Transaction</t>
        </is>
      </c>
      <c r="O134" s="14" t="inlineStr">
        <is>
          <t>Yes</t>
        </is>
      </c>
      <c r="P134" s="14" t="inlineStr">
        <is>
          <t>BARBR RTGS</t>
        </is>
      </c>
      <c r="Q134" s="14" t="n">
        <v>0</v>
      </c>
      <c r="R134" s="14" t="n">
        <v>1</v>
      </c>
      <c r="S134" s="14" t="n">
        <v>0</v>
      </c>
      <c r="T134" s="14" t="n">
        <v>0</v>
      </c>
      <c r="U134" s="14" t="n">
        <v>1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44" t="n">
        <v>46141</v>
      </c>
      <c r="AB134" s="46">
        <f>HYPERLINK("#'Transactions'!A131", "View Source Row")</f>
        <v/>
      </c>
    </row>
    <row r="135">
      <c r="A135" s="14" t="n">
        <v>131</v>
      </c>
      <c r="B135" s="14" t="inlineStr">
        <is>
          <t>273.pdf</t>
        </is>
      </c>
      <c r="C135" s="44" t="n">
        <v>46113</v>
      </c>
      <c r="D135" s="44" t="n">
        <v>46142</v>
      </c>
      <c r="E135" s="44" t="n">
        <v>46141</v>
      </c>
      <c r="F135" s="44" t="n">
        <v>46141</v>
      </c>
      <c r="G135" s="16" t="inlineStr">
        <is>
          <t>EBANK:WIB/1506 EBANK:WIB/1506085309/Edfs</t>
        </is>
      </c>
      <c r="H135" s="14" t="str"/>
      <c r="I135" s="14" t="inlineStr">
        <is>
          <t>Receipt</t>
        </is>
      </c>
      <c r="J135" s="43" t="n">
        <v>0</v>
      </c>
      <c r="K135" s="43" t="n">
        <v>93264</v>
      </c>
      <c r="L135" s="43" t="n">
        <v>93264</v>
      </c>
      <c r="M135" s="43" t="n">
        <v>-9790235.75</v>
      </c>
      <c r="N135" s="14" t="inlineStr">
        <is>
          <t>Recurring Transaction</t>
        </is>
      </c>
      <c r="O135" s="14" t="inlineStr">
        <is>
          <t>Yes</t>
        </is>
      </c>
      <c r="P135" s="14" t="inlineStr">
        <is>
          <t>EBANKWIB</t>
        </is>
      </c>
      <c r="Q135" s="14" t="n">
        <v>0</v>
      </c>
      <c r="R135" s="14" t="n">
        <v>1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44" t="n">
        <v>46141</v>
      </c>
      <c r="AB135" s="46">
        <f>HYPERLINK("#'Transactions'!A132", "View Source Row")</f>
        <v/>
      </c>
    </row>
    <row r="136">
      <c r="A136" s="14" t="n">
        <v>132</v>
      </c>
      <c r="B136" s="14" t="inlineStr">
        <is>
          <t>273.pdf</t>
        </is>
      </c>
      <c r="C136" s="44" t="n">
        <v>46113</v>
      </c>
      <c r="D136" s="44" t="n">
        <v>46142</v>
      </c>
      <c r="E136" s="44" t="n">
        <v>46141</v>
      </c>
      <c r="F136" s="44" t="n">
        <v>46141</v>
      </c>
      <c r="G136" s="16" t="inlineStr">
        <is>
          <t>NEFT-BARBV2611 NEFT-BARBV26119745454-HINDUSTAN PETROLEUM CORPORAT</t>
        </is>
      </c>
      <c r="H136" s="14" t="str"/>
      <c r="I136" s="14" t="inlineStr">
        <is>
          <t>Payment</t>
        </is>
      </c>
      <c r="J136" s="43" t="n">
        <v>116500</v>
      </c>
      <c r="K136" s="43" t="n">
        <v>0</v>
      </c>
      <c r="L136" s="43" t="n">
        <v>116500</v>
      </c>
      <c r="M136" s="43" t="n">
        <v>-9906735.75</v>
      </c>
      <c r="N136" s="14" t="inlineStr">
        <is>
          <t>High Transaction</t>
        </is>
      </c>
      <c r="O136" s="14" t="inlineStr">
        <is>
          <t>No</t>
        </is>
      </c>
      <c r="P136" s="14" t="inlineStr">
        <is>
          <t>BARBV NEFT</t>
        </is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1</v>
      </c>
      <c r="V136" s="14" t="n">
        <v>0</v>
      </c>
      <c r="W136" s="14" t="n">
        <v>0</v>
      </c>
      <c r="X136" s="14" t="n">
        <v>0</v>
      </c>
      <c r="Y136" s="14" t="n">
        <v>0</v>
      </c>
      <c r="Z136" s="14" t="n">
        <v>0</v>
      </c>
      <c r="AA136" s="44" t="n">
        <v>46141</v>
      </c>
      <c r="AB136" s="46">
        <f>HYPERLINK("#'Transactions'!A133", "View Source Row")</f>
        <v/>
      </c>
    </row>
    <row r="137">
      <c r="A137" s="14" t="n">
        <v>133</v>
      </c>
      <c r="B137" s="14" t="inlineStr">
        <is>
          <t>273.pdf</t>
        </is>
      </c>
      <c r="C137" s="44" t="n">
        <v>46113</v>
      </c>
      <c r="D137" s="44" t="n">
        <v>46142</v>
      </c>
      <c r="E137" s="44" t="n">
        <v>46141</v>
      </c>
      <c r="F137" s="44" t="n">
        <v>46141</v>
      </c>
      <c r="G137" s="16" t="inlineStr">
        <is>
          <t>EBANK:WIB/1506 EBANK:WIB/1506102762/Edfs</t>
        </is>
      </c>
      <c r="H137" s="14" t="str"/>
      <c r="I137" s="14" t="inlineStr">
        <is>
          <t>Receipt</t>
        </is>
      </c>
      <c r="J137" s="43" t="n">
        <v>0</v>
      </c>
      <c r="K137" s="43" t="n">
        <v>92240</v>
      </c>
      <c r="L137" s="43" t="n">
        <v>92240</v>
      </c>
      <c r="M137" s="43" t="n">
        <v>-9814495.75</v>
      </c>
      <c r="N137" s="14" t="inlineStr">
        <is>
          <t>Recurring Transaction</t>
        </is>
      </c>
      <c r="O137" s="14" t="inlineStr">
        <is>
          <t>Yes</t>
        </is>
      </c>
      <c r="P137" s="14" t="inlineStr">
        <is>
          <t>EBANKWIB</t>
        </is>
      </c>
      <c r="Q137" s="14" t="n">
        <v>0</v>
      </c>
      <c r="R137" s="14" t="n">
        <v>1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44" t="n">
        <v>46141</v>
      </c>
      <c r="AB137" s="46">
        <f>HYPERLINK("#'Transactions'!A134", "View Source Row")</f>
        <v/>
      </c>
    </row>
    <row r="138">
      <c r="A138" s="14" t="n">
        <v>134</v>
      </c>
      <c r="B138" s="14" t="inlineStr">
        <is>
          <t>273.pdf</t>
        </is>
      </c>
      <c r="C138" s="44" t="n">
        <v>46113</v>
      </c>
      <c r="D138" s="44" t="n">
        <v>46142</v>
      </c>
      <c r="E138" s="44" t="n">
        <v>46142</v>
      </c>
      <c r="F138" s="44" t="n">
        <v>46142</v>
      </c>
      <c r="G138" s="16" t="inlineStr">
        <is>
          <t>EBANK:WIB/1506 EBANK:WIB/1506112730/Edfs</t>
        </is>
      </c>
      <c r="H138" s="14" t="str"/>
      <c r="I138" s="14" t="inlineStr">
        <is>
          <t>Receipt</t>
        </is>
      </c>
      <c r="J138" s="43" t="n">
        <v>0</v>
      </c>
      <c r="K138" s="43" t="n">
        <v>44070</v>
      </c>
      <c r="L138" s="43" t="n">
        <v>44070</v>
      </c>
      <c r="M138" s="43" t="n">
        <v>-9770425.75</v>
      </c>
      <c r="N138" s="14" t="inlineStr">
        <is>
          <t>Recurring Transaction</t>
        </is>
      </c>
      <c r="O138" s="14" t="inlineStr">
        <is>
          <t>Yes</t>
        </is>
      </c>
      <c r="P138" s="14" t="inlineStr">
        <is>
          <t>EBANKWIB</t>
        </is>
      </c>
      <c r="Q138" s="14" t="n">
        <v>0</v>
      </c>
      <c r="R138" s="14" t="n">
        <v>1</v>
      </c>
      <c r="S138" s="14" t="n">
        <v>0</v>
      </c>
      <c r="T138" s="14" t="n">
        <v>0</v>
      </c>
      <c r="U138" s="14" t="n">
        <v>0</v>
      </c>
      <c r="V138" s="14" t="n">
        <v>0</v>
      </c>
      <c r="W138" s="14" t="n">
        <v>0</v>
      </c>
      <c r="X138" s="14" t="n">
        <v>0</v>
      </c>
      <c r="Y138" s="14" t="n">
        <v>0</v>
      </c>
      <c r="Z138" s="14" t="n">
        <v>0</v>
      </c>
      <c r="AA138" s="44" t="n">
        <v>46142</v>
      </c>
      <c r="AB138" s="46">
        <f>HYPERLINK("#'Transactions'!A135", "View Source Row")</f>
        <v/>
      </c>
    </row>
    <row r="139">
      <c r="A139" s="14" t="n">
        <v>135</v>
      </c>
      <c r="B139" s="14" t="inlineStr">
        <is>
          <t>273.pdf</t>
        </is>
      </c>
      <c r="C139" s="44" t="n">
        <v>46113</v>
      </c>
      <c r="D139" s="44" t="n">
        <v>46142</v>
      </c>
      <c r="E139" s="44" t="n">
        <v>46142</v>
      </c>
      <c r="F139" s="44" t="n">
        <v>46142</v>
      </c>
      <c r="G139" s="16" t="inlineStr">
        <is>
          <t>EBANK:WIB/1506 EBANK:WIB/1506112904/Edfs</t>
        </is>
      </c>
      <c r="H139" s="14" t="str"/>
      <c r="I139" s="14" t="inlineStr">
        <is>
          <t>Receipt</t>
        </is>
      </c>
      <c r="J139" s="43" t="n">
        <v>0</v>
      </c>
      <c r="K139" s="43" t="n">
        <v>429587.11</v>
      </c>
      <c r="L139" s="43" t="n">
        <v>429587.11</v>
      </c>
      <c r="M139" s="43" t="n">
        <v>-9340838.640000001</v>
      </c>
      <c r="N139" s="14" t="inlineStr">
        <is>
          <t>High Transaction; Recurring Transaction</t>
        </is>
      </c>
      <c r="O139" s="14" t="inlineStr">
        <is>
          <t>Yes</t>
        </is>
      </c>
      <c r="P139" s="14" t="inlineStr">
        <is>
          <t>EBANKWIB</t>
        </is>
      </c>
      <c r="Q139" s="14" t="n">
        <v>0</v>
      </c>
      <c r="R139" s="14" t="n">
        <v>1</v>
      </c>
      <c r="S139" s="14" t="n">
        <v>0</v>
      </c>
      <c r="T139" s="14" t="n">
        <v>0</v>
      </c>
      <c r="U139" s="14" t="n">
        <v>1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44" t="n">
        <v>46142</v>
      </c>
      <c r="AB139" s="46">
        <f>HYPERLINK("#'Transactions'!A136", "View Source Row")</f>
        <v/>
      </c>
    </row>
    <row r="140">
      <c r="A140" s="14" t="n">
        <v>136</v>
      </c>
      <c r="B140" s="14" t="inlineStr">
        <is>
          <t>273.pdf</t>
        </is>
      </c>
      <c r="C140" s="44" t="n">
        <v>46113</v>
      </c>
      <c r="D140" s="44" t="n">
        <v>46142</v>
      </c>
      <c r="E140" s="44" t="n">
        <v>46142</v>
      </c>
      <c r="F140" s="44" t="n">
        <v>46142</v>
      </c>
      <c r="G140" s="16" t="inlineStr">
        <is>
          <t>NEFT-BARBX2612 NEFT-BARBX26120048957-HINDUSTAN PETROLEUM CORPORAT</t>
        </is>
      </c>
      <c r="H140" s="14" t="str"/>
      <c r="I140" s="14" t="inlineStr">
        <is>
          <t>Payment</t>
        </is>
      </c>
      <c r="J140" s="43" t="n">
        <v>93264</v>
      </c>
      <c r="K140" s="43" t="n">
        <v>0</v>
      </c>
      <c r="L140" s="43" t="n">
        <v>93264</v>
      </c>
      <c r="M140" s="43" t="n">
        <v>-9434102.640000001</v>
      </c>
      <c r="N140" s="14" t="inlineStr">
        <is>
          <t>Other</t>
        </is>
      </c>
      <c r="O140" s="14" t="inlineStr">
        <is>
          <t>No</t>
        </is>
      </c>
      <c r="P140" s="14" t="inlineStr">
        <is>
          <t>BARBX NEFT</t>
        </is>
      </c>
      <c r="Q140" s="14" t="n">
        <v>0</v>
      </c>
      <c r="R140" s="14" t="n">
        <v>0</v>
      </c>
      <c r="S140" s="14" t="n">
        <v>0</v>
      </c>
      <c r="T140" s="14" t="n">
        <v>0</v>
      </c>
      <c r="U140" s="14" t="n">
        <v>0</v>
      </c>
      <c r="V140" s="14" t="n">
        <v>0</v>
      </c>
      <c r="W140" s="14" t="n">
        <v>0</v>
      </c>
      <c r="X140" s="14" t="n">
        <v>0</v>
      </c>
      <c r="Y140" s="14" t="n">
        <v>0</v>
      </c>
      <c r="Z140" s="14" t="n">
        <v>0</v>
      </c>
      <c r="AA140" s="44" t="n">
        <v>46142</v>
      </c>
      <c r="AB140" s="46">
        <f>HYPERLINK("#'Transactions'!A137", "View Source Row")</f>
        <v/>
      </c>
    </row>
    <row r="141">
      <c r="A141" s="14" t="n">
        <v>137</v>
      </c>
      <c r="B141" s="14" t="inlineStr">
        <is>
          <t>273.pdf</t>
        </is>
      </c>
      <c r="C141" s="44" t="n">
        <v>46113</v>
      </c>
      <c r="D141" s="44" t="n">
        <v>46142</v>
      </c>
      <c r="E141" s="44" t="n">
        <v>46142</v>
      </c>
      <c r="F141" s="44" t="n">
        <v>46142</v>
      </c>
      <c r="G141" s="16" t="inlineStr">
        <is>
          <t>RTGS-BARBR5202 RTGS-BARBR52026043000849921-HINDUSTAN PETROLEUM CO</t>
        </is>
      </c>
      <c r="H141" s="14" t="str"/>
      <c r="I141" s="14" t="inlineStr">
        <is>
          <t>Payment</t>
        </is>
      </c>
      <c r="J141" s="43" t="n">
        <v>229000</v>
      </c>
      <c r="K141" s="43" t="n">
        <v>0</v>
      </c>
      <c r="L141" s="43" t="n">
        <v>229000</v>
      </c>
      <c r="M141" s="43" t="n">
        <v>-9663102.640000001</v>
      </c>
      <c r="N141" s="14" t="inlineStr">
        <is>
          <t>High Transaction; Recurring Transaction</t>
        </is>
      </c>
      <c r="O141" s="14" t="inlineStr">
        <is>
          <t>Yes</t>
        </is>
      </c>
      <c r="P141" s="14" t="inlineStr">
        <is>
          <t>BARBR RTGS</t>
        </is>
      </c>
      <c r="Q141" s="14" t="n">
        <v>0</v>
      </c>
      <c r="R141" s="14" t="n">
        <v>1</v>
      </c>
      <c r="S141" s="14" t="n">
        <v>0</v>
      </c>
      <c r="T141" s="14" t="n">
        <v>0</v>
      </c>
      <c r="U141" s="14" t="n">
        <v>1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44" t="n">
        <v>46142</v>
      </c>
      <c r="AB141" s="46">
        <f>HYPERLINK("#'Transactions'!A138", "View Source Row")</f>
        <v/>
      </c>
    </row>
    <row r="142">
      <c r="A142" s="14" t="n">
        <v>138</v>
      </c>
      <c r="B142" s="14" t="inlineStr">
        <is>
          <t>273.pdf</t>
        </is>
      </c>
      <c r="C142" s="44" t="n">
        <v>46113</v>
      </c>
      <c r="D142" s="44" t="n">
        <v>46142</v>
      </c>
      <c r="E142" s="44" t="n">
        <v>46142</v>
      </c>
      <c r="F142" s="44" t="n">
        <v>46142</v>
      </c>
      <c r="G142" s="16" t="inlineStr">
        <is>
          <t>BY CASH BY CASH</t>
        </is>
      </c>
      <c r="H142" s="14" t="str"/>
      <c r="I142" s="14" t="inlineStr">
        <is>
          <t>Receipt</t>
        </is>
      </c>
      <c r="J142" s="43" t="n">
        <v>0</v>
      </c>
      <c r="K142" s="43" t="n">
        <v>273000</v>
      </c>
      <c r="L142" s="43" t="n">
        <v>273000</v>
      </c>
      <c r="M142" s="43" t="n">
        <v>-9390102.640000001</v>
      </c>
      <c r="N142" s="14" t="inlineStr">
        <is>
          <t>Cash; High Transaction; Recurring Transaction</t>
        </is>
      </c>
      <c r="O142" s="14" t="inlineStr">
        <is>
          <t>Yes</t>
        </is>
      </c>
      <c r="P142" s="14" t="inlineStr">
        <is>
          <t>BY CASH BY CASH</t>
        </is>
      </c>
      <c r="Q142" s="14" t="n">
        <v>1</v>
      </c>
      <c r="R142" s="14" t="n">
        <v>1</v>
      </c>
      <c r="S142" s="14" t="n">
        <v>0</v>
      </c>
      <c r="T142" s="14" t="n">
        <v>0</v>
      </c>
      <c r="U142" s="14" t="n">
        <v>1</v>
      </c>
      <c r="V142" s="14" t="n">
        <v>0</v>
      </c>
      <c r="W142" s="14" t="n">
        <v>0</v>
      </c>
      <c r="X142" s="14" t="n">
        <v>0</v>
      </c>
      <c r="Y142" s="14" t="n">
        <v>0</v>
      </c>
      <c r="Z142" s="14" t="n">
        <v>0</v>
      </c>
      <c r="AA142" s="44" t="n">
        <v>46142</v>
      </c>
      <c r="AB142" s="46">
        <f>HYPERLINK("#'Transactions'!A139", "View Source Row")</f>
        <v/>
      </c>
    </row>
    <row r="143">
      <c r="A143" s="14" t="n">
        <v>139</v>
      </c>
      <c r="B143" s="14" t="inlineStr">
        <is>
          <t>273.pdf</t>
        </is>
      </c>
      <c r="C143" s="44" t="n">
        <v>46113</v>
      </c>
      <c r="D143" s="44" t="n">
        <v>46142</v>
      </c>
      <c r="E143" s="44" t="n">
        <v>46142</v>
      </c>
      <c r="F143" s="44" t="n">
        <v>46142</v>
      </c>
      <c r="G143" s="16" t="inlineStr">
        <is>
          <t>EBANK:WIB/1506 EBANK:WIB/1506237357/Edfs</t>
        </is>
      </c>
      <c r="H143" s="14" t="str"/>
      <c r="I143" s="14" t="inlineStr">
        <is>
          <t>Receipt</t>
        </is>
      </c>
      <c r="J143" s="43" t="n">
        <v>0</v>
      </c>
      <c r="K143" s="43" t="n">
        <v>307440.05</v>
      </c>
      <c r="L143" s="43" t="n">
        <v>307440.05</v>
      </c>
      <c r="M143" s="43" t="n">
        <v>-9082662.59</v>
      </c>
      <c r="N143" s="14" t="inlineStr">
        <is>
          <t>High Transaction; Recurring Transaction</t>
        </is>
      </c>
      <c r="O143" s="14" t="inlineStr">
        <is>
          <t>Yes</t>
        </is>
      </c>
      <c r="P143" s="14" t="inlineStr">
        <is>
          <t>EBANKWIB</t>
        </is>
      </c>
      <c r="Q143" s="14" t="n">
        <v>0</v>
      </c>
      <c r="R143" s="14" t="n">
        <v>1</v>
      </c>
      <c r="S143" s="14" t="n">
        <v>0</v>
      </c>
      <c r="T143" s="14" t="n">
        <v>0</v>
      </c>
      <c r="U143" s="14" t="n">
        <v>1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44" t="n">
        <v>46142</v>
      </c>
      <c r="AB143" s="46">
        <f>HYPERLINK("#'Transactions'!A140", "View Source Row")</f>
        <v/>
      </c>
    </row>
    <row r="144">
      <c r="A144" s="14" t="n">
        <v>140</v>
      </c>
      <c r="B144" s="14" t="inlineStr">
        <is>
          <t>273.pdf</t>
        </is>
      </c>
      <c r="C144" s="44" t="n">
        <v>46113</v>
      </c>
      <c r="D144" s="44" t="n">
        <v>46142</v>
      </c>
      <c r="E144" s="44" t="n">
        <v>46142</v>
      </c>
      <c r="F144" s="44" t="n">
        <v>46142</v>
      </c>
      <c r="G144" s="16" t="inlineStr">
        <is>
          <t>EBANK:WIB/1506 EBANK:WIB/1506303993/Edfs ---------------------------------------------------------------------------------------------------------------------------------- Page Total: 21,84,738.67 14,84,724.36 89,54,039.39Dr ---------------------------------------------------------------------------------------------------------------------------------- Grand Total: 2,30,94,114.44 2,41,39,693.85 89,54,039.39Dr --------------------------------------------------------------------------------------</t>
        </is>
      </c>
      <c r="H144" s="14" t="str"/>
      <c r="I144" s="14" t="inlineStr">
        <is>
          <t>Receipt</t>
        </is>
      </c>
      <c r="J144" s="43" t="n">
        <v>0</v>
      </c>
      <c r="K144" s="43" t="n">
        <v>128623.2</v>
      </c>
      <c r="L144" s="43" t="n">
        <v>128623.2</v>
      </c>
      <c r="M144" s="43" t="n">
        <v>-8954039.390000001</v>
      </c>
      <c r="N144" s="14" t="inlineStr">
        <is>
          <t>High Transaction; Recurring Transaction</t>
        </is>
      </c>
      <c r="O144" s="14" t="inlineStr">
        <is>
          <t>Yes</t>
        </is>
      </c>
      <c r="P144" s="14" t="inlineStr">
        <is>
          <t>EBANKWIB</t>
        </is>
      </c>
      <c r="Q144" s="14" t="n">
        <v>0</v>
      </c>
      <c r="R144" s="14" t="n">
        <v>1</v>
      </c>
      <c r="S144" s="14" t="n">
        <v>0</v>
      </c>
      <c r="T144" s="14" t="n">
        <v>0</v>
      </c>
      <c r="U144" s="14" t="n">
        <v>1</v>
      </c>
      <c r="V144" s="14" t="n">
        <v>0</v>
      </c>
      <c r="W144" s="14" t="n">
        <v>0</v>
      </c>
      <c r="X144" s="14" t="n">
        <v>0</v>
      </c>
      <c r="Y144" s="14" t="n">
        <v>0</v>
      </c>
      <c r="Z144" s="14" t="n">
        <v>0</v>
      </c>
      <c r="AA144" s="44" t="n">
        <v>46142</v>
      </c>
      <c r="AB144" s="46">
        <f>HYPERLINK("#'Transactions'!A141", "View Source Row")</f>
        <v/>
      </c>
    </row>
  </sheetData>
  <mergeCells count="1">
    <mergeCell ref="B1:A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UPI Transactions</t>
        </is>
      </c>
    </row>
    <row r="2">
      <c r="A2" s="33" t="inlineStr">
        <is>
          <t>Rows</t>
        </is>
      </c>
      <c r="B2" s="33" t="n">
        <v>0</v>
      </c>
      <c r="C2" s="33" t="inlineStr">
        <is>
          <t>Match</t>
        </is>
      </c>
      <c r="D2" s="33" t="inlineStr">
        <is>
          <t>UPI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4" t="inlineStr">
        <is>
          <t>No matching transactions.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</row>
  </sheetData>
  <mergeCells count="1">
    <mergeCell ref="B1:A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LIC Transactions</t>
        </is>
      </c>
    </row>
    <row r="2">
      <c r="A2" s="33" t="inlineStr">
        <is>
          <t>Rows</t>
        </is>
      </c>
      <c r="B2" s="33" t="n">
        <v>0</v>
      </c>
      <c r="C2" s="33" t="inlineStr">
        <is>
          <t>Match</t>
        </is>
      </c>
      <c r="D2" s="33" t="inlineStr">
        <is>
          <t>LIC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4" t="inlineStr">
        <is>
          <t>No matching transactions.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</row>
  </sheetData>
  <mergeCells count="1">
    <mergeCell ref="B1:A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FD interest Transactions</t>
        </is>
      </c>
    </row>
    <row r="2">
      <c r="A2" s="33" t="inlineStr">
        <is>
          <t>Rows</t>
        </is>
      </c>
      <c r="B2" s="33" t="n">
        <v>0</v>
      </c>
      <c r="C2" s="33" t="inlineStr">
        <is>
          <t>Match</t>
        </is>
      </c>
      <c r="D2" s="33" t="inlineStr">
        <is>
          <t>FD interest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4" t="inlineStr">
        <is>
          <t>No matching transactions.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</row>
  </sheetData>
  <mergeCells count="1">
    <mergeCell ref="B1:A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FD Deposit and withdrawals Transactions</t>
        </is>
      </c>
    </row>
    <row r="2">
      <c r="A2" s="33" t="inlineStr">
        <is>
          <t>Rows</t>
        </is>
      </c>
      <c r="B2" s="33" t="n">
        <v>0</v>
      </c>
      <c r="C2" s="33" t="inlineStr">
        <is>
          <t>Match</t>
        </is>
      </c>
      <c r="D2" s="33" t="inlineStr">
        <is>
          <t>FD Deposit/Withdrawal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4" t="inlineStr">
        <is>
          <t>No matching transactions.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</row>
  </sheetData>
  <mergeCells count="1">
    <mergeCell ref="B1:A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44" customWidth="1" min="7" max="7"/>
    <col width="1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8" customWidth="1" min="14" max="14"/>
    <col width="12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8" customWidth="1" min="28" max="28"/>
  </cols>
  <sheetData>
    <row r="1" ht="30" customHeight="1">
      <c r="A1" s="45">
        <f>HYPERLINK("#'Dashboard'!A1", "← Return to Dashboard")</f>
        <v/>
      </c>
      <c r="B1" s="32" t="inlineStr">
        <is>
          <t>PPF/PF interest and contribution Transactions</t>
        </is>
      </c>
    </row>
    <row r="2">
      <c r="A2" s="33" t="inlineStr">
        <is>
          <t>Rows</t>
        </is>
      </c>
      <c r="B2" s="33" t="n">
        <v>0</v>
      </c>
      <c r="C2" s="33" t="inlineStr">
        <is>
          <t>Match</t>
        </is>
      </c>
      <c r="D2" s="33" t="inlineStr">
        <is>
          <t>PPF/PF interest/contribution</t>
        </is>
      </c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</row>
    <row r="3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</row>
    <row r="4">
      <c r="A4" s="13" t="inlineStr">
        <is>
          <t>Seq</t>
        </is>
      </c>
      <c r="B4" s="13" t="inlineStr">
        <is>
          <t>Source File</t>
        </is>
      </c>
      <c r="C4" s="13" t="inlineStr">
        <is>
          <t>Statement From</t>
        </is>
      </c>
      <c r="D4" s="13" t="inlineStr">
        <is>
          <t>Statement To</t>
        </is>
      </c>
      <c r="E4" s="13" t="inlineStr">
        <is>
          <t>Date</t>
        </is>
      </c>
      <c r="F4" s="13" t="inlineStr">
        <is>
          <t>Value Date</t>
        </is>
      </c>
      <c r="G4" s="13" t="inlineStr">
        <is>
          <t>Narration</t>
        </is>
      </c>
      <c r="H4" s="13" t="inlineStr">
        <is>
          <t>Reference</t>
        </is>
      </c>
      <c r="I4" s="13" t="inlineStr">
        <is>
          <t>Direction</t>
        </is>
      </c>
      <c r="J4" s="13" t="inlineStr">
        <is>
          <t>Withdrawal</t>
        </is>
      </c>
      <c r="K4" s="13" t="inlineStr">
        <is>
          <t>Deposit</t>
        </is>
      </c>
      <c r="L4" s="13" t="inlineStr">
        <is>
          <t>Amount</t>
        </is>
      </c>
      <c r="M4" s="13" t="inlineStr">
        <is>
          <t>Closing Balance</t>
        </is>
      </c>
      <c r="N4" s="13" t="inlineStr">
        <is>
          <t>Categories</t>
        </is>
      </c>
      <c r="O4" s="13" t="inlineStr">
        <is>
          <t>Recurring?</t>
        </is>
      </c>
      <c r="P4" s="13" t="inlineStr">
        <is>
          <t>Recurring Key</t>
        </is>
      </c>
      <c r="Q4" s="13" t="inlineStr">
        <is>
          <t>Flag - Cash</t>
        </is>
      </c>
      <c r="R4" s="13" t="inlineStr">
        <is>
          <t>Flag - Recurring Transaction</t>
        </is>
      </c>
      <c r="S4" s="13" t="inlineStr">
        <is>
          <t>Flag - EMI</t>
        </is>
      </c>
      <c r="T4" s="13" t="inlineStr">
        <is>
          <t>Flag - Salary</t>
        </is>
      </c>
      <c r="U4" s="13" t="inlineStr">
        <is>
          <t>Flag - High Transaction</t>
        </is>
      </c>
      <c r="V4" s="13" t="inlineStr">
        <is>
          <t>Flag - UPI</t>
        </is>
      </c>
      <c r="W4" s="13" t="inlineStr">
        <is>
          <t>Flag - LIC</t>
        </is>
      </c>
      <c r="X4" s="13" t="inlineStr">
        <is>
          <t>Flag - FD interest</t>
        </is>
      </c>
      <c r="Y4" s="13" t="inlineStr">
        <is>
          <t>Flag - FD Deposit and withdrawals</t>
        </is>
      </c>
      <c r="Z4" s="13" t="inlineStr">
        <is>
          <t>Flag - PPF/PF interest and contribution</t>
        </is>
      </c>
      <c r="AA4" s="13" t="inlineStr">
        <is>
          <t>Month Date</t>
        </is>
      </c>
      <c r="AB4" s="13" t="inlineStr">
        <is>
          <t>View Source Row</t>
        </is>
      </c>
    </row>
    <row r="5">
      <c r="A5" s="34" t="inlineStr">
        <is>
          <t>No matching transactions.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</row>
  </sheetData>
  <mergeCells count="1">
    <mergeCell ref="B1:A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3" t="inlineStr">
        <is>
          <t>Check</t>
        </is>
      </c>
      <c r="B1" s="13" t="inlineStr">
        <is>
          <t>Actual</t>
        </is>
      </c>
      <c r="C1" s="13" t="inlineStr">
        <is>
          <t>Expected</t>
        </is>
      </c>
      <c r="D1" s="13" t="inlineStr">
        <is>
          <t>Difference</t>
        </is>
      </c>
      <c r="E1" s="13" t="inlineStr">
        <is>
          <t>Tolerance</t>
        </is>
      </c>
      <c r="F1" s="13" t="inlineStr">
        <is>
          <t>Status</t>
        </is>
      </c>
    </row>
    <row r="2">
      <c r="A2" s="14" t="inlineStr">
        <is>
          <t>Total payments tie to Bank of Baroda summaries</t>
        </is>
      </c>
      <c r="B2" s="43">
        <f>SUM(Transactions!$J$2:$J$141)</f>
        <v/>
      </c>
      <c r="C2" s="43">
        <f>SUM('Monthly Summary'!$I$2:$I$2)</f>
        <v/>
      </c>
      <c r="D2" s="43">
        <f>B2-C2</f>
        <v/>
      </c>
      <c r="E2" s="43">
        <f>0.01</f>
        <v/>
      </c>
      <c r="F2" s="14">
        <f>IF(ABS(D2)&lt;=E2,"OK","Check")</f>
        <v/>
      </c>
    </row>
    <row r="3">
      <c r="A3" s="14" t="inlineStr">
        <is>
          <t>Total receipts tie to Bank of Baroda summaries</t>
        </is>
      </c>
      <c r="B3" s="43">
        <f>SUM(Transactions!$K$2:$K$141)</f>
        <v/>
      </c>
      <c r="C3" s="43">
        <f>SUM('Monthly Summary'!$J$2:$J$2)</f>
        <v/>
      </c>
      <c r="D3" s="43">
        <f>B3-C3</f>
        <v/>
      </c>
      <c r="E3" s="43">
        <f>0.01</f>
        <v/>
      </c>
      <c r="F3" s="14">
        <f>IF(ABS(D3)&lt;=E3,"OK","Check")</f>
        <v/>
      </c>
    </row>
    <row r="4">
      <c r="A4" s="14" t="inlineStr">
        <is>
          <t>All monthly payment checks OK</t>
        </is>
      </c>
      <c r="B4" s="47">
        <f>COUNTIF('Monthly Summary'!$N$2:$N$2,"OK")</f>
        <v/>
      </c>
      <c r="C4" s="47">
        <f>1</f>
        <v/>
      </c>
      <c r="D4" s="47">
        <f>B4-C4</f>
        <v/>
      </c>
      <c r="E4" s="47">
        <f>0</f>
        <v/>
      </c>
      <c r="F4" s="14">
        <f>IF(D4=0,"OK","Check")</f>
        <v/>
      </c>
    </row>
    <row r="5">
      <c r="A5" s="14" t="inlineStr">
        <is>
          <t>All monthly receipt checks OK</t>
        </is>
      </c>
      <c r="B5" s="47">
        <f>COUNTIF('Monthly Summary'!$O$2:$O$2,"OK")</f>
        <v/>
      </c>
      <c r="C5" s="47">
        <f>1</f>
        <v/>
      </c>
      <c r="D5" s="47">
        <f>B5-C5</f>
        <v/>
      </c>
      <c r="E5" s="47">
        <f>0</f>
        <v/>
      </c>
      <c r="F5" s="14">
        <f>IF(D5=0,"OK","Check")</f>
        <v/>
      </c>
    </row>
    <row r="6">
      <c r="A6" s="14" t="inlineStr">
        <is>
          <t>Transaction rows parsed</t>
        </is>
      </c>
      <c r="B6" s="47">
        <f>COUNTA(Transactions!$A$2:$A$141)</f>
        <v/>
      </c>
      <c r="C6" s="47">
        <f>140</f>
        <v/>
      </c>
      <c r="D6" s="47">
        <f>B6-C6</f>
        <v/>
      </c>
      <c r="E6" s="47">
        <f>0</f>
        <v/>
      </c>
      <c r="F6" s="14">
        <f>IF(D6=0,"OK","Check")</f>
        <v/>
      </c>
    </row>
    <row r="7">
      <c r="A7" s="14" t="inlineStr">
        <is>
          <t>Statement PDFs processed</t>
        </is>
      </c>
      <c r="B7" s="47">
        <f>COUNTA(Sources!$A$2:$A$2)</f>
        <v/>
      </c>
      <c r="C7" s="47">
        <f>1</f>
        <v/>
      </c>
      <c r="D7" s="47">
        <f>B7-C7</f>
        <v/>
      </c>
      <c r="E7" s="47">
        <f>0</f>
        <v/>
      </c>
      <c r="F7" s="14">
        <f>IF(D7=0,"OK","Check")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8" customWidth="1" min="4" max="4"/>
    <col width="60" customWidth="1" min="5" max="5"/>
  </cols>
  <sheetData>
    <row r="1">
      <c r="A1" s="13" t="inlineStr">
        <is>
          <t>Source File</t>
        </is>
      </c>
      <c r="B1" s="13" t="inlineStr">
        <is>
          <t>Statement From</t>
        </is>
      </c>
      <c r="C1" s="13" t="inlineStr">
        <is>
          <t>Statement To</t>
        </is>
      </c>
      <c r="D1" s="13" t="inlineStr">
        <is>
          <t>Pages</t>
        </is>
      </c>
      <c r="E1" s="13" t="inlineStr">
        <is>
          <t>Layout Review</t>
        </is>
      </c>
    </row>
    <row r="2">
      <c r="A2" s="14" t="inlineStr">
        <is>
          <t>273.pdf</t>
        </is>
      </c>
      <c r="B2" s="44" t="n">
        <v>46113</v>
      </c>
      <c r="C2" s="44" t="n">
        <v>46142</v>
      </c>
      <c r="D2" s="14" t="n">
        <v>8</v>
      </c>
      <c r="E2" s="16" t="inlineStr">
        <is>
          <t>Text-based Bank of Baroda statement table. Transaction rows reconciled to statement summary.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2026-06-19T11:01:16Z</dcterms:created>
  <dcterms:modified xmlns:dcterms="http://purl.org/dc/terms/" xmlns:xsi="http://www.w3.org/2001/XMLSchema-instance" xsi:type="dcterms:W3CDTF">2026-06-19T11:01:17Z</dcterms:modified>
</cp:coreProperties>
</file>