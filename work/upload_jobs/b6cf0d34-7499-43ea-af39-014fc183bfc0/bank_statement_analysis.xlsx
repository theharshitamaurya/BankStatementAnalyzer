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Detail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Detail Total" sheetId="6" state="visible" r:id="rId6"/>
    <sheet xmlns:r="http://schemas.openxmlformats.org/officeDocument/2006/relationships" name="Detail Cash" sheetId="7" state="visible" r:id="rId7"/>
    <sheet xmlns:r="http://schemas.openxmlformats.org/officeDocument/2006/relationships" name="Detail Recurring Transaction" sheetId="8" state="visible" r:id="rId8"/>
    <sheet xmlns:r="http://schemas.openxmlformats.org/officeDocument/2006/relationships" name="Detail EMI" sheetId="9" state="visible" r:id="rId9"/>
    <sheet xmlns:r="http://schemas.openxmlformats.org/officeDocument/2006/relationships" name="Detail Salary" sheetId="10" state="visible" r:id="rId10"/>
    <sheet xmlns:r="http://schemas.openxmlformats.org/officeDocument/2006/relationships" name="Detail High Transaction" sheetId="11" state="visible" r:id="rId11"/>
    <sheet xmlns:r="http://schemas.openxmlformats.org/officeDocument/2006/relationships" name="Detail Total Receipts and Payme" sheetId="12" state="visible" r:id="rId12"/>
    <sheet xmlns:r="http://schemas.openxmlformats.org/officeDocument/2006/relationships" name="Detail UPI" sheetId="13" state="visible" r:id="rId13"/>
    <sheet xmlns:r="http://schemas.openxmlformats.org/officeDocument/2006/relationships" name="Detail LIC" sheetId="14" state="visible" r:id="rId14"/>
    <sheet xmlns:r="http://schemas.openxmlformats.org/officeDocument/2006/relationships" name="Detail FD interest" sheetId="15" state="visible" r:id="rId15"/>
    <sheet xmlns:r="http://schemas.openxmlformats.org/officeDocument/2006/relationships" name="Detail FD Deposit and withdrawa" sheetId="16" state="visible" r:id="rId16"/>
    <sheet xmlns:r="http://schemas.openxmlformats.org/officeDocument/2006/relationships" name="Detail PPF PF interest and cont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Sources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;[Red](₹#,##0.00);-"/>
  </numFmts>
  <fonts count="11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135E75"/>
      <sz val="11"/>
    </font>
    <font>
      <name val="Carlito"/>
      <b val="1"/>
      <color rgb="FFFFFFFF"/>
      <sz val="16"/>
    </font>
    <font>
      <name val="Carlito"/>
      <b val="1"/>
      <sz val="11"/>
    </font>
    <font>
      <name val="Aptos"/>
      <b val="1"/>
      <color rgb="FF135E75"/>
      <sz val="10"/>
    </font>
    <font>
      <name val="Aptos"/>
      <b val="1"/>
      <sz val="10"/>
    </font>
    <font>
      <name val="Aptos Display"/>
      <b val="1"/>
      <color rgb="FFFFFFFF"/>
      <sz val="16"/>
    </font>
    <font>
      <name val="Aptos"/>
      <b val="1"/>
      <color rgb="00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315A7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2F8"/>
      </patternFill>
    </fill>
  </fills>
  <borders count="3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3" fillId="0" borderId="0" pivotButton="0" quotePrefix="0" xfId="0"/>
    <xf numFmtId="3" fontId="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4" borderId="0" applyAlignment="1" pivotButton="0" quotePrefix="0" xfId="0">
      <alignment horizontal="center" vertical="center"/>
    </xf>
    <xf numFmtId="165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Receipts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'Dashboard'!$J$4</f>
              <numCache>
                <formatCode>₹#,##0.00;[Red](₹#,##0.00);-</formatCode>
                <ptCount val="0"/>
              </numCache>
            </numRef>
          </val>
        </ser>
        <ser>
          <idx val="1"/>
          <order val="1"/>
          <tx>
            <v>Payments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'Dashboard'!$K$4</f>
              <numCache>
                <formatCode>₹#,##0.00;[Red](₹#,##0.00);-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₹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tegorySummaryTable" displayName="CategorySummaryTable" ref="A1:H12" headerRowCount="1">
  <tableColumns count="8">
    <tableColumn id="1" name="Requested Category"/>
    <tableColumn id="2" name="Match Term"/>
    <tableColumn id="3" name="Receipt Count"/>
    <tableColumn id="4" name="Receipts"/>
    <tableColumn id="5" name="Payment Count"/>
    <tableColumn id="6" name="Payments"/>
    <tableColumn id="7" name="Net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ategoryDetailsTable" displayName="CategoryDetailsTable" ref="A3:H15" headerRowCount="1">
  <tableColumns count="8">
    <tableColumn id="1" name="Category"/>
    <tableColumn id="2" name="Detail Sheet"/>
    <tableColumn id="3" name="Rows"/>
    <tableColumn id="4" name="Receipt Count"/>
    <tableColumn id="5" name="Receipts"/>
    <tableColumn id="6" name="Payment Count"/>
    <tableColumn id="7" name="Payments"/>
    <tableColumn id="8" name="Net"/>
  </tableColumns>
  <tableStyleInfo name="TableStyleMedium2" showRowStripes="1"/>
</table>
</file>

<file path=xl/tables/table3.xml><?xml version="1.0" encoding="utf-8"?>
<table xmlns="http://schemas.openxmlformats.org/spreadsheetml/2006/main" id="3" name="MonthlySummaryTable" displayName="MonthlySummaryTable" ref="A1:O2" headerRowCount="1">
  <tableColumns count="15">
    <tableColumn id="1" name="Month Key"/>
    <tableColumn id="2" name="From"/>
    <tableColumn id="3" name="To"/>
    <tableColumn id="4" name="Period"/>
    <tableColumn id="5" name="Transactions"/>
    <tableColumn id="6" name="Opening Balance"/>
    <tableColumn id="7" name="Dr Count"/>
    <tableColumn id="8" name="Cr Count"/>
    <tableColumn id="9" name="Payments"/>
    <tableColumn id="10" name="Receipts"/>
    <tableColumn id="11" name="Closing Balance"/>
    <tableColumn id="12" name="Parsed Payments"/>
    <tableColumn id="13" name="Parsed Receipts"/>
    <tableColumn id="14" name="Payment Check"/>
    <tableColumn id="15" name="Receipt Check"/>
  </tableColumns>
  <tableStyleInfo name="TableStyleMedium2" showRowStripes="1"/>
</table>
</file>

<file path=xl/tables/table4.xml><?xml version="1.0" encoding="utf-8"?>
<table xmlns="http://schemas.openxmlformats.org/spreadsheetml/2006/main" id="4" name="TransactionsTable" displayName="TransactionsTable" ref="A1:AA399" headerRowCount="1">
  <tableColumns count="27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</tableColumns>
  <tableStyleInfo name="TableStyleMedium2" showRowStripes="1"/>
</table>
</file>

<file path=xl/tables/table5.xml><?xml version="1.0" encoding="utf-8"?>
<table xmlns="http://schemas.openxmlformats.org/spreadsheetml/2006/main" id="5" name="TotalDetailTable" displayName="Total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6.xml><?xml version="1.0" encoding="utf-8"?>
<table xmlns="http://schemas.openxmlformats.org/spreadsheetml/2006/main" id="6" name="CashDetailTable" displayName="Cash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7.xml><?xml version="1.0" encoding="utf-8"?>
<table xmlns="http://schemas.openxmlformats.org/spreadsheetml/2006/main" id="7" name="RecurringTransactionDetailTable" displayName="RecurringTransactionDetailTable" ref="A4:AB35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8.xml><?xml version="1.0" encoding="utf-8"?>
<table xmlns="http://schemas.openxmlformats.org/spreadsheetml/2006/main" id="8" name="EMIDetailTable" displayName="EMI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9.xml><?xml version="1.0" encoding="utf-8"?>
<table xmlns="http://schemas.openxmlformats.org/spreadsheetml/2006/main" id="9" name="HighTransactionDetailTable" displayName="HighTransactionDetailTable" ref="A4:AB11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0.xml><?xml version="1.0" encoding="utf-8"?>
<table xmlns="http://schemas.openxmlformats.org/spreadsheetml/2006/main" id="10" name="TotalReceiptsandPaymentsDetailTable" displayName="TotalReceiptsandPayments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1.xml><?xml version="1.0" encoding="utf-8"?>
<table xmlns="http://schemas.openxmlformats.org/spreadsheetml/2006/main" id="11" name="UPIDetailTable" displayName="UPIDetailTable" ref="A4:AB4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2.xml><?xml version="1.0" encoding="utf-8"?>
<table xmlns="http://schemas.openxmlformats.org/spreadsheetml/2006/main" id="12" name="ChecksTable" displayName="ChecksTable" ref="A1:F7" headerRowCount="1">
  <tableColumns count="6">
    <tableColumn id="1" name="Check"/>
    <tableColumn id="2" name="Actual"/>
    <tableColumn id="3" name="Expected"/>
    <tableColumn id="4" name="Difference"/>
    <tableColumn id="5" name="Tolerance"/>
    <tableColumn id="6" name="Status"/>
  </tableColumns>
  <tableStyleInfo name="TableStyleMedium2" showRowStripes="1"/>
</table>
</file>

<file path=xl/tables/table13.xml><?xml version="1.0" encoding="utf-8"?>
<table xmlns="http://schemas.openxmlformats.org/spreadsheetml/2006/main" id="13" name="SourcesTable" displayName="SourcesTable" ref="A1:E2" headerRowCount="1">
  <tableColumns count="5">
    <tableColumn id="1" name="Source File"/>
    <tableColumn id="2" name="Statement From"/>
    <tableColumn id="3" name="Statement To"/>
    <tableColumn id="4" name="Pages"/>
    <tableColumn id="5" name="Layout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38" t="inlineStr">
        <is>
          <t>Bank of Baroda Statement Analysis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>
      <c r="A3" s="14" t="inlineStr">
        <is>
          <t>Period Covered</t>
        </is>
      </c>
      <c r="B3" s="14" t="inlineStr">
        <is>
          <t>Apr 2026 to Apr 2026</t>
        </is>
      </c>
      <c r="C3" s="31" t="n"/>
      <c r="D3" s="31" t="n"/>
      <c r="E3" s="31" t="n"/>
      <c r="F3" s="31" t="n"/>
      <c r="G3" s="31" t="n"/>
      <c r="H3" s="31" t="n"/>
      <c r="I3" s="13" t="inlineStr">
        <is>
          <t>Period</t>
        </is>
      </c>
      <c r="J3" s="13" t="inlineStr">
        <is>
          <t>Receipts</t>
        </is>
      </c>
      <c r="K3" s="13" t="inlineStr">
        <is>
          <t>Payments</t>
        </is>
      </c>
      <c r="L3" s="13" t="inlineStr">
        <is>
          <t>Net</t>
        </is>
      </c>
      <c r="M3" s="13" t="inlineStr">
        <is>
          <t>Closing Balance</t>
        </is>
      </c>
      <c r="N3" s="13" t="inlineStr">
        <is>
          <t>Checks</t>
        </is>
      </c>
    </row>
    <row r="4">
      <c r="A4" s="14" t="inlineStr">
        <is>
          <t>Statements Reviewed</t>
        </is>
      </c>
      <c r="B4" s="14" t="n">
        <v>1</v>
      </c>
      <c r="C4" s="31" t="n"/>
      <c r="D4" s="31" t="n"/>
      <c r="E4" s="31" t="n"/>
      <c r="F4" s="31" t="n"/>
      <c r="G4" s="31" t="n"/>
      <c r="H4" s="31" t="n"/>
      <c r="I4" s="14">
        <f>'Monthly Summary'!D2</f>
        <v/>
      </c>
      <c r="J4" s="39">
        <f>'Monthly Summary'!J2</f>
        <v/>
      </c>
      <c r="K4" s="39">
        <f>'Monthly Summary'!I2</f>
        <v/>
      </c>
      <c r="L4" s="39">
        <f>ROUND(J4-K4,2)</f>
        <v/>
      </c>
      <c r="M4" s="39">
        <f>'Monthly Summary'!K2</f>
        <v/>
      </c>
      <c r="N4" s="14">
        <f>'Monthly Summary'!N2&amp;"/"&amp;'Monthly Summary'!O2</f>
        <v/>
      </c>
    </row>
    <row r="5">
      <c r="A5" s="14" t="inlineStr">
        <is>
          <t>Transactions Parsed</t>
        </is>
      </c>
      <c r="B5" s="14" t="n">
        <v>398</v>
      </c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</row>
    <row r="7">
      <c r="A7" s="37" t="inlineStr">
        <is>
          <t>Total Receipts</t>
        </is>
      </c>
      <c r="B7" s="39">
        <f>'Category Summary'!D2</f>
        <v/>
      </c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</row>
    <row r="8">
      <c r="A8" s="37" t="inlineStr">
        <is>
          <t>Total Payments</t>
        </is>
      </c>
      <c r="B8" s="39">
        <f>'Category Summary'!F2</f>
        <v/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</row>
    <row r="9">
      <c r="A9" s="37" t="inlineStr">
        <is>
          <t>Net Movement</t>
        </is>
      </c>
      <c r="B9" s="39">
        <f>ROUND('Category Summary'!G2,2)</f>
        <v/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>
      <c r="A10" s="37" t="inlineStr">
        <is>
          <t>Cash Receipts</t>
        </is>
      </c>
      <c r="B10" s="39">
        <f>'Category Summary'!D3</f>
        <v/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</row>
    <row r="11">
      <c r="A11" s="37" t="inlineStr">
        <is>
          <t>High Transaction Value</t>
        </is>
      </c>
      <c r="B11" s="39">
        <f>ROUND('Category Summary'!D7-'Category Summary'!F7,2)</f>
        <v/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</row>
    <row r="12">
      <c r="A12" s="37" t="inlineStr">
        <is>
          <t>Recurring Transaction Value</t>
        </is>
      </c>
      <c r="B12" s="39">
        <f>ROUND('Category Summary'!D4-'Category Summary'!F4,2)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</row>
    <row r="13">
      <c r="A13" s="37" t="inlineStr">
        <is>
          <t>UPI / LIC / EMI / Salary</t>
        </is>
      </c>
      <c r="B13" s="39">
        <f>ROUND('Category Summary'!G8+'Category Summary'!G9+'Category Summary'!G5+'Category Summary'!G6,2)</f>
        <v/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>
      <c r="A15" s="13" t="inlineStr">
        <is>
          <t>Category</t>
        </is>
      </c>
      <c r="B15" s="13" t="inlineStr">
        <is>
          <t>Receipt Count</t>
        </is>
      </c>
      <c r="C15" s="13" t="inlineStr">
        <is>
          <t>Receipts</t>
        </is>
      </c>
      <c r="D15" s="13" t="inlineStr">
        <is>
          <t>Payment Count</t>
        </is>
      </c>
      <c r="E15" s="13" t="inlineStr">
        <is>
          <t>Payments</t>
        </is>
      </c>
      <c r="F15" s="13" t="inlineStr">
        <is>
          <t>Net</t>
        </is>
      </c>
      <c r="G15" s="13" t="inlineStr">
        <is>
          <t>Action / View Detail</t>
        </is>
      </c>
      <c r="H15" s="31" t="n"/>
      <c r="I15" s="31" t="n"/>
      <c r="J15" s="31" t="n"/>
      <c r="K15" s="31" t="n"/>
      <c r="L15" s="31" t="n"/>
      <c r="M15" s="31" t="n"/>
      <c r="N15" s="31" t="n"/>
    </row>
    <row r="16">
      <c r="A16" s="14">
        <f>'Category Summary'!A2</f>
        <v/>
      </c>
      <c r="B16" s="14">
        <f>'Category Summary'!C2</f>
        <v/>
      </c>
      <c r="C16" s="39">
        <f>'Category Summary'!D2</f>
        <v/>
      </c>
      <c r="D16" s="39">
        <f>'Category Summary'!E2</f>
        <v/>
      </c>
      <c r="E16" s="39">
        <f>'Category Summary'!F2</f>
        <v/>
      </c>
      <c r="F16" s="39">
        <f>'Category Summary'!G2</f>
        <v/>
      </c>
      <c r="G16" s="14" t="n"/>
      <c r="H16" s="31" t="n"/>
      <c r="I16" s="31" t="n"/>
      <c r="J16" s="31" t="n"/>
      <c r="K16" s="31" t="n"/>
      <c r="L16" s="31" t="n"/>
      <c r="M16" s="31" t="n"/>
      <c r="N16" s="31" t="n"/>
    </row>
    <row r="17">
      <c r="A17" s="14">
        <f>'Category Summary'!A3</f>
        <v/>
      </c>
      <c r="B17" s="14">
        <f>'Category Summary'!C3</f>
        <v/>
      </c>
      <c r="C17" s="39">
        <f>'Category Summary'!D3</f>
        <v/>
      </c>
      <c r="D17" s="39">
        <f>'Category Summary'!E3</f>
        <v/>
      </c>
      <c r="E17" s="39">
        <f>'Category Summary'!F3</f>
        <v/>
      </c>
      <c r="F17" s="39">
        <f>'Category Summary'!G3</f>
        <v/>
      </c>
      <c r="G17" s="14" t="n"/>
      <c r="H17" s="31" t="n"/>
      <c r="I17" s="31" t="n"/>
      <c r="J17" s="31" t="n"/>
      <c r="K17" s="31" t="n"/>
      <c r="L17" s="31" t="n"/>
      <c r="M17" s="31" t="n"/>
      <c r="N17" s="31" t="n"/>
    </row>
    <row r="18">
      <c r="A18" s="14">
        <f>'Category Summary'!A4</f>
        <v/>
      </c>
      <c r="B18" s="14">
        <f>'Category Summary'!C4</f>
        <v/>
      </c>
      <c r="C18" s="39">
        <f>'Category Summary'!D4</f>
        <v/>
      </c>
      <c r="D18" s="39">
        <f>'Category Summary'!E4</f>
        <v/>
      </c>
      <c r="E18" s="39">
        <f>'Category Summary'!F4</f>
        <v/>
      </c>
      <c r="F18" s="39">
        <f>'Category Summary'!G4</f>
        <v/>
      </c>
      <c r="G18" s="14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14">
        <f>'Category Summary'!A5</f>
        <v/>
      </c>
      <c r="B19" s="14">
        <f>'Category Summary'!C5</f>
        <v/>
      </c>
      <c r="C19" s="39">
        <f>'Category Summary'!D5</f>
        <v/>
      </c>
      <c r="D19" s="39">
        <f>'Category Summary'!E5</f>
        <v/>
      </c>
      <c r="E19" s="39">
        <f>'Category Summary'!F5</f>
        <v/>
      </c>
      <c r="F19" s="39">
        <f>'Category Summary'!G5</f>
        <v/>
      </c>
      <c r="G19" s="14" t="n"/>
      <c r="H19" s="31" t="n"/>
      <c r="I19" s="31" t="n"/>
      <c r="J19" s="31" t="n"/>
      <c r="K19" s="31" t="n"/>
      <c r="L19" s="31" t="n"/>
      <c r="M19" s="31" t="n"/>
      <c r="N19" s="31" t="n"/>
    </row>
    <row r="20">
      <c r="A20" s="14">
        <f>'Category Summary'!A6</f>
        <v/>
      </c>
      <c r="B20" s="14">
        <f>'Category Summary'!C6</f>
        <v/>
      </c>
      <c r="C20" s="39">
        <f>'Category Summary'!D6</f>
        <v/>
      </c>
      <c r="D20" s="39">
        <f>'Category Summary'!E6</f>
        <v/>
      </c>
      <c r="E20" s="39">
        <f>'Category Summary'!F6</f>
        <v/>
      </c>
      <c r="F20" s="39">
        <f>'Category Summary'!G6</f>
        <v/>
      </c>
      <c r="G20" s="14" t="n"/>
      <c r="H20" s="31" t="n"/>
      <c r="I20" s="31" t="n"/>
      <c r="J20" s="31" t="n"/>
      <c r="K20" s="31" t="n"/>
      <c r="L20" s="31" t="n"/>
      <c r="M20" s="31" t="n"/>
      <c r="N20" s="31" t="n"/>
    </row>
    <row r="21">
      <c r="A21" s="14">
        <f>'Category Summary'!A7</f>
        <v/>
      </c>
      <c r="B21" s="14">
        <f>'Category Summary'!C7</f>
        <v/>
      </c>
      <c r="C21" s="39">
        <f>'Category Summary'!D7</f>
        <v/>
      </c>
      <c r="D21" s="39">
        <f>'Category Summary'!E7</f>
        <v/>
      </c>
      <c r="E21" s="39">
        <f>'Category Summary'!F7</f>
        <v/>
      </c>
      <c r="F21" s="39">
        <f>'Category Summary'!G7</f>
        <v/>
      </c>
      <c r="G21" s="14" t="n"/>
      <c r="H21" s="31" t="n"/>
      <c r="I21" s="31" t="n"/>
      <c r="J21" s="31" t="n"/>
      <c r="K21" s="31" t="n"/>
      <c r="L21" s="31" t="n"/>
      <c r="M21" s="31" t="n"/>
      <c r="N21" s="31" t="n"/>
    </row>
    <row r="22">
      <c r="A22" s="14">
        <f>'Category Summary'!A8</f>
        <v/>
      </c>
      <c r="B22" s="14">
        <f>'Category Summary'!C8</f>
        <v/>
      </c>
      <c r="C22" s="39">
        <f>'Category Summary'!D8</f>
        <v/>
      </c>
      <c r="D22" s="39">
        <f>'Category Summary'!E8</f>
        <v/>
      </c>
      <c r="E22" s="39">
        <f>'Category Summary'!F8</f>
        <v/>
      </c>
      <c r="F22" s="39">
        <f>'Category Summary'!G8</f>
        <v/>
      </c>
      <c r="G22" s="14" t="n"/>
      <c r="H22" s="31" t="n"/>
      <c r="I22" s="31" t="n"/>
      <c r="J22" s="31" t="n"/>
      <c r="K22" s="31" t="n"/>
      <c r="L22" s="31" t="n"/>
      <c r="M22" s="31" t="n"/>
      <c r="N22" s="31" t="n"/>
    </row>
    <row r="23">
      <c r="A23" s="14">
        <f>'Category Summary'!A9</f>
        <v/>
      </c>
      <c r="B23" s="14">
        <f>'Category Summary'!C9</f>
        <v/>
      </c>
      <c r="C23" s="39">
        <f>'Category Summary'!D9</f>
        <v/>
      </c>
      <c r="D23" s="39">
        <f>'Category Summary'!E9</f>
        <v/>
      </c>
      <c r="E23" s="39">
        <f>'Category Summary'!F9</f>
        <v/>
      </c>
      <c r="F23" s="39">
        <f>'Category Summary'!G9</f>
        <v/>
      </c>
      <c r="G23" s="14" t="n"/>
      <c r="H23" s="31" t="n"/>
      <c r="I23" s="31" t="n"/>
      <c r="J23" s="31" t="n"/>
      <c r="K23" s="31" t="n"/>
      <c r="L23" s="31" t="n"/>
      <c r="M23" s="31" t="n"/>
      <c r="N23" s="31" t="n"/>
    </row>
    <row r="24">
      <c r="A24" s="14">
        <f>'Category Summary'!A10</f>
        <v/>
      </c>
      <c r="B24" s="14">
        <f>'Category Summary'!C10</f>
        <v/>
      </c>
      <c r="C24" s="39">
        <f>'Category Summary'!D10</f>
        <v/>
      </c>
      <c r="D24" s="39">
        <f>'Category Summary'!E10</f>
        <v/>
      </c>
      <c r="E24" s="39">
        <f>'Category Summary'!F10</f>
        <v/>
      </c>
      <c r="F24" s="39">
        <f>'Category Summary'!G10</f>
        <v/>
      </c>
      <c r="G24" s="14" t="n"/>
      <c r="H24" s="31" t="n"/>
      <c r="I24" s="31" t="n"/>
      <c r="J24" s="31" t="n"/>
      <c r="K24" s="31" t="n"/>
      <c r="L24" s="31" t="n"/>
      <c r="M24" s="31" t="n"/>
      <c r="N24" s="31" t="n"/>
    </row>
    <row r="25">
      <c r="A25" s="14">
        <f>'Category Summary'!A11</f>
        <v/>
      </c>
      <c r="B25" s="14">
        <f>'Category Summary'!C11</f>
        <v/>
      </c>
      <c r="C25" s="39">
        <f>'Category Summary'!D11</f>
        <v/>
      </c>
      <c r="D25" s="39">
        <f>'Category Summary'!E11</f>
        <v/>
      </c>
      <c r="E25" s="39">
        <f>'Category Summary'!F11</f>
        <v/>
      </c>
      <c r="F25" s="39">
        <f>'Category Summary'!G11</f>
        <v/>
      </c>
      <c r="G25" s="14" t="n"/>
      <c r="H25" s="31" t="n"/>
      <c r="I25" s="31" t="n"/>
      <c r="J25" s="31" t="n"/>
      <c r="K25" s="31" t="n"/>
      <c r="L25" s="31" t="n"/>
      <c r="M25" s="31" t="n"/>
      <c r="N25" s="31" t="n"/>
    </row>
    <row r="26">
      <c r="A26" s="14">
        <f>'Category Summary'!A12</f>
        <v/>
      </c>
      <c r="B26" s="14">
        <f>'Category Summary'!C12</f>
        <v/>
      </c>
      <c r="C26" s="39">
        <f>'Category Summary'!D12</f>
        <v/>
      </c>
      <c r="D26" s="39">
        <f>'Category Summary'!E12</f>
        <v/>
      </c>
      <c r="E26" s="39">
        <f>'Category Summary'!F12</f>
        <v/>
      </c>
      <c r="F26" s="39">
        <f>'Category Summary'!G12</f>
        <v/>
      </c>
      <c r="G26" s="14" t="n"/>
      <c r="H26" s="31" t="n"/>
      <c r="I26" s="31" t="n"/>
      <c r="J26" s="31" t="n"/>
      <c r="K26" s="31" t="n"/>
      <c r="L26" s="31" t="n"/>
      <c r="M26" s="31" t="n"/>
      <c r="N26" s="31" t="n"/>
    </row>
    <row r="27"/>
    <row r="28"/>
    <row r="29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44" customWidth="1" min="8" max="8"/>
  </cols>
  <sheetData>
    <row r="1">
      <c r="A1" s="13" t="inlineStr">
        <is>
          <t>Requested Category</t>
        </is>
      </c>
      <c r="B1" s="13" t="inlineStr">
        <is>
          <t>Match Term</t>
        </is>
      </c>
      <c r="C1" s="13" t="inlineStr">
        <is>
          <t>Receipt Count</t>
        </is>
      </c>
      <c r="D1" s="13" t="inlineStr">
        <is>
          <t>Receipts</t>
        </is>
      </c>
      <c r="E1" s="13" t="inlineStr">
        <is>
          <t>Payment Count</t>
        </is>
      </c>
      <c r="F1" s="13" t="inlineStr">
        <is>
          <t>Payments</t>
        </is>
      </c>
      <c r="G1" s="13" t="inlineStr">
        <is>
          <t>Net</t>
        </is>
      </c>
      <c r="H1" s="13" t="inlineStr">
        <is>
          <t>Notes</t>
        </is>
      </c>
    </row>
    <row r="2">
      <c r="A2" s="14" t="inlineStr">
        <is>
          <t>Total</t>
        </is>
      </c>
      <c r="B2" s="14" t="str"/>
      <c r="C2" s="14">
        <f>COUNTIF(Transactions!$I$2:$I$399,"Receipt")</f>
        <v/>
      </c>
      <c r="D2" s="39">
        <f>SUM(Transactions!$K$2:$K$399)</f>
        <v/>
      </c>
      <c r="E2" s="39">
        <f>COUNTIF(Transactions!$I$2:$I$399,"Payment")</f>
        <v/>
      </c>
      <c r="F2" s="39">
        <f>SUM(Transactions!$J$2:$J$399)</f>
        <v/>
      </c>
      <c r="G2" s="39">
        <f>ROUND(D2-F2,2)</f>
        <v/>
      </c>
      <c r="H2" s="16" t="inlineStr">
        <is>
          <t>All parsed receipts and payments.</t>
        </is>
      </c>
    </row>
    <row r="3">
      <c r="A3" s="14" t="inlineStr">
        <is>
          <t>Cash</t>
        </is>
      </c>
      <c r="B3" s="14" t="inlineStr">
        <is>
          <t>Cash</t>
        </is>
      </c>
      <c r="C3" s="14">
        <f>COUNTIFS(Transactions!$Q$2:$Q$399,1,Transactions!$I$2:$I$399,"Receipt")</f>
        <v/>
      </c>
      <c r="D3" s="39">
        <f>SUMIFS(Transactions!$K$2:$K$399,Transactions!$Q$2:$Q$399,1)</f>
        <v/>
      </c>
      <c r="E3" s="39">
        <f>COUNTIFS(Transactions!$Q$2:$Q$399,1,Transactions!$I$2:$I$399,"Payment")</f>
        <v/>
      </c>
      <c r="F3" s="39">
        <f>SUMIFS(Transactions!$J$2:$J$399,Transactions!$Q$2:$Q$399,1)</f>
        <v/>
      </c>
      <c r="G3" s="39">
        <f>ROUND(D3-F3,2)</f>
        <v/>
      </c>
      <c r="H3" s="16" t="inlineStr">
        <is>
          <t>Cash detected from CASH DEPOSIT BY narration.</t>
        </is>
      </c>
    </row>
    <row r="4">
      <c r="A4" s="14" t="inlineStr">
        <is>
          <t>Recurring Transaction</t>
        </is>
      </c>
      <c r="B4" s="14" t="inlineStr">
        <is>
          <t>Recurring Transaction</t>
        </is>
      </c>
      <c r="C4" s="14">
        <f>COUNTIFS(Transactions!$R$2:$R$399,1,Transactions!$I$2:$I$399,"Receipt")</f>
        <v/>
      </c>
      <c r="D4" s="39">
        <f>SUMIFS(Transactions!$K$2:$K$399,Transactions!$R$2:$R$399,1)</f>
        <v/>
      </c>
      <c r="E4" s="39">
        <f>COUNTIFS(Transactions!$R$2:$R$399,1,Transactions!$I$2:$I$399,"Payment")</f>
        <v/>
      </c>
      <c r="F4" s="39">
        <f>SUMIFS(Transactions!$J$2:$J$399,Transactions!$R$2:$R$399,1)</f>
        <v/>
      </c>
      <c r="G4" s="39">
        <f>ROUND(D4-F4,2)</f>
        <v/>
      </c>
      <c r="H4" s="16" t="inlineStr">
        <is>
          <t>Repeated counterpart/pattern appearing at least twice.</t>
        </is>
      </c>
    </row>
    <row r="5">
      <c r="A5" s="14" t="inlineStr">
        <is>
          <t>EMI</t>
        </is>
      </c>
      <c r="B5" s="14" t="inlineStr">
        <is>
          <t>EMI</t>
        </is>
      </c>
      <c r="C5" s="14">
        <f>COUNTIFS(Transactions!$S$2:$S$399,1,Transactions!$I$2:$I$399,"Receipt")</f>
        <v/>
      </c>
      <c r="D5" s="39">
        <f>SUMIFS(Transactions!$K$2:$K$399,Transactions!$S$2:$S$399,1)</f>
        <v/>
      </c>
      <c r="E5" s="39">
        <f>COUNTIFS(Transactions!$S$2:$S$399,1,Transactions!$I$2:$I$399,"Payment")</f>
        <v/>
      </c>
      <c r="F5" s="39">
        <f>SUMIFS(Transactions!$J$2:$J$399,Transactions!$S$2:$S$399,1)</f>
        <v/>
      </c>
      <c r="G5" s="39">
        <f>ROUND(D5-F5,2)</f>
        <v/>
      </c>
      <c r="H5" s="16" t="inlineStr">
        <is>
          <t>Keyword based: EMI/ECS/ACH/loan/installment.</t>
        </is>
      </c>
    </row>
    <row r="6">
      <c r="A6" s="14" t="inlineStr">
        <is>
          <t>Salary</t>
        </is>
      </c>
      <c r="B6" s="14" t="inlineStr">
        <is>
          <t>Salary</t>
        </is>
      </c>
      <c r="C6" s="14">
        <f>COUNTIFS(Transactions!$T$2:$T$399,1,Transactions!$I$2:$I$399,"Receipt")</f>
        <v/>
      </c>
      <c r="D6" s="39">
        <f>SUMIFS(Transactions!$K$2:$K$399,Transactions!$T$2:$T$399,1)</f>
        <v/>
      </c>
      <c r="E6" s="39">
        <f>COUNTIFS(Transactions!$T$2:$T$399,1,Transactions!$I$2:$I$399,"Payment")</f>
        <v/>
      </c>
      <c r="F6" s="39">
        <f>SUMIFS(Transactions!$J$2:$J$399,Transactions!$T$2:$T$399,1)</f>
        <v/>
      </c>
      <c r="G6" s="39">
        <f>ROUND(D6-F6,2)</f>
        <v/>
      </c>
      <c r="H6" s="16" t="inlineStr">
        <is>
          <t>Keyword based: salary.</t>
        </is>
      </c>
    </row>
    <row r="7">
      <c r="A7" s="14" t="inlineStr">
        <is>
          <t>High Transaction</t>
        </is>
      </c>
      <c r="B7" s="14" t="inlineStr">
        <is>
          <t>High Transaction</t>
        </is>
      </c>
      <c r="C7" s="14">
        <f>COUNTIFS(Transactions!$U$2:$U$399,1,Transactions!$I$2:$I$399,"Receipt")</f>
        <v/>
      </c>
      <c r="D7" s="39">
        <f>SUMIFS(Transactions!$K$2:$K$399,Transactions!$U$2:$U$399,1)</f>
        <v/>
      </c>
      <c r="E7" s="39">
        <f>COUNTIFS(Transactions!$U$2:$U$399,1,Transactions!$I$2:$I$399,"Payment")</f>
        <v/>
      </c>
      <c r="F7" s="39">
        <f>SUMIFS(Transactions!$J$2:$J$399,Transactions!$U$2:$U$399,1)</f>
        <v/>
      </c>
      <c r="G7" s="39">
        <f>ROUND(D7-F7,2)</f>
        <v/>
      </c>
      <c r="H7" s="16" t="inlineStr">
        <is>
          <t>Transactions with absolute amount at or above Rs 100,000.</t>
        </is>
      </c>
    </row>
    <row r="8">
      <c r="A8" s="14" t="inlineStr">
        <is>
          <t>UPI</t>
        </is>
      </c>
      <c r="B8" s="14" t="inlineStr">
        <is>
          <t>UPI</t>
        </is>
      </c>
      <c r="C8" s="14">
        <f>COUNTIFS(Transactions!$V$2:$V$399,1,Transactions!$I$2:$I$399,"Receipt")</f>
        <v/>
      </c>
      <c r="D8" s="39">
        <f>SUMIFS(Transactions!$K$2:$K$399,Transactions!$V$2:$V$399,1)</f>
        <v/>
      </c>
      <c r="E8" s="39">
        <f>COUNTIFS(Transactions!$V$2:$V$399,1,Transactions!$I$2:$I$399,"Payment")</f>
        <v/>
      </c>
      <c r="F8" s="39">
        <f>SUMIFS(Transactions!$J$2:$J$399,Transactions!$V$2:$V$399,1)</f>
        <v/>
      </c>
      <c r="G8" s="39">
        <f>ROUND(D8-F8,2)</f>
        <v/>
      </c>
      <c r="H8" s="16" t="inlineStr">
        <is>
          <t>Keyword based: UPI.</t>
        </is>
      </c>
    </row>
    <row r="9">
      <c r="A9" s="14" t="inlineStr">
        <is>
          <t>LIC</t>
        </is>
      </c>
      <c r="B9" s="14" t="inlineStr">
        <is>
          <t>LIC</t>
        </is>
      </c>
      <c r="C9" s="14">
        <f>COUNTIFS(Transactions!$W$2:$W$399,1,Transactions!$I$2:$I$399,"Receipt")</f>
        <v/>
      </c>
      <c r="D9" s="39">
        <f>SUMIFS(Transactions!$K$2:$K$399,Transactions!$W$2:$W$399,1)</f>
        <v/>
      </c>
      <c r="E9" s="39">
        <f>COUNTIFS(Transactions!$W$2:$W$399,1,Transactions!$I$2:$I$399,"Payment")</f>
        <v/>
      </c>
      <c r="F9" s="39">
        <f>SUMIFS(Transactions!$J$2:$J$399,Transactions!$W$2:$W$399,1)</f>
        <v/>
      </c>
      <c r="G9" s="39">
        <f>ROUND(D9-F9,2)</f>
        <v/>
      </c>
      <c r="H9" s="16" t="inlineStr">
        <is>
          <t>Keyword based: LIC.</t>
        </is>
      </c>
    </row>
    <row r="10">
      <c r="A10" s="14" t="inlineStr">
        <is>
          <t>FD interest</t>
        </is>
      </c>
      <c r="B10" s="14" t="inlineStr">
        <is>
          <t>FD interest</t>
        </is>
      </c>
      <c r="C10" s="14">
        <f>COUNTIFS(Transactions!$X$2:$X$399,1,Transactions!$I$2:$I$399,"Receipt")</f>
        <v/>
      </c>
      <c r="D10" s="39">
        <f>SUMIFS(Transactions!$K$2:$K$399,Transactions!$X$2:$X$399,1)</f>
        <v/>
      </c>
      <c r="E10" s="39">
        <f>COUNTIFS(Transactions!$X$2:$X$399,1,Transactions!$I$2:$I$399,"Payment")</f>
        <v/>
      </c>
      <c r="F10" s="39">
        <f>SUMIFS(Transactions!$J$2:$J$399,Transactions!$X$2:$X$399,1)</f>
        <v/>
      </c>
      <c r="G10" s="39">
        <f>ROUND(D10-F10,2)</f>
        <v/>
      </c>
      <c r="H10" s="16" t="inlineStr">
        <is>
          <t>Keyword based: FD plus interest/int.</t>
        </is>
      </c>
    </row>
    <row r="11">
      <c r="A11" s="14" t="inlineStr">
        <is>
          <t>FD Deposit and withdrawals</t>
        </is>
      </c>
      <c r="B11" s="14" t="inlineStr">
        <is>
          <t>FD Deposit/Withdrawal</t>
        </is>
      </c>
      <c r="C11" s="14">
        <f>COUNTIFS(Transactions!$Y$2:$Y$399,1,Transactions!$I$2:$I$399,"Receipt")</f>
        <v/>
      </c>
      <c r="D11" s="39">
        <f>SUMIFS(Transactions!$K$2:$K$399,Transactions!$Y$2:$Y$399,1)</f>
        <v/>
      </c>
      <c r="E11" s="39">
        <f>COUNTIFS(Transactions!$Y$2:$Y$399,1,Transactions!$I$2:$I$399,"Payment")</f>
        <v/>
      </c>
      <c r="F11" s="39">
        <f>SUMIFS(Transactions!$J$2:$J$399,Transactions!$Y$2:$Y$399,1)</f>
        <v/>
      </c>
      <c r="G11" s="39">
        <f>ROUND(D11-F11,2)</f>
        <v/>
      </c>
      <c r="H11" s="16" t="inlineStr">
        <is>
          <t>Keyword based: FD/fixed deposit/TDR/term deposit.</t>
        </is>
      </c>
    </row>
    <row r="12">
      <c r="A12" s="14" t="inlineStr">
        <is>
          <t>PPF/PF interest and contribution</t>
        </is>
      </c>
      <c r="B12" s="14" t="inlineStr">
        <is>
          <t>PPF/PF interest/contribution</t>
        </is>
      </c>
      <c r="C12" s="14">
        <f>COUNTIFS(Transactions!$Z$2:$Z$399,1,Transactions!$I$2:$I$399,"Receipt")</f>
        <v/>
      </c>
      <c r="D12" s="39">
        <f>SUMIFS(Transactions!$K$2:$K$399,Transactions!$Z$2:$Z$399,1)</f>
        <v/>
      </c>
      <c r="E12" s="39">
        <f>COUNTIFS(Transactions!$Z$2:$Z$399,1,Transactions!$I$2:$I$399,"Payment")</f>
        <v/>
      </c>
      <c r="F12" s="39">
        <f>SUMIFS(Transactions!$J$2:$J$399,Transactions!$Z$2:$Z$399,1)</f>
        <v/>
      </c>
      <c r="G12" s="39">
        <f>ROUND(D12-F12,2)</f>
        <v/>
      </c>
      <c r="H12" s="16" t="inlineStr">
        <is>
          <t>Keyword based: PPF/PF/EPF/provident fund.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29" t="inlineStr">
        <is>
          <t>Category Details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</row>
    <row r="3">
      <c r="A3" s="13" t="inlineStr">
        <is>
          <t>Category</t>
        </is>
      </c>
      <c r="B3" s="13" t="inlineStr">
        <is>
          <t>Detail Sheet</t>
        </is>
      </c>
      <c r="C3" s="13" t="inlineStr">
        <is>
          <t>Rows</t>
        </is>
      </c>
      <c r="D3" s="13" t="inlineStr">
        <is>
          <t>Receipt Count</t>
        </is>
      </c>
      <c r="E3" s="13" t="inlineStr">
        <is>
          <t>Receipts</t>
        </is>
      </c>
      <c r="F3" s="13" t="inlineStr">
        <is>
          <t>Payment Count</t>
        </is>
      </c>
      <c r="G3" s="13" t="inlineStr">
        <is>
          <t>Payments</t>
        </is>
      </c>
      <c r="H3" s="13" t="inlineStr">
        <is>
          <t>Net</t>
        </is>
      </c>
    </row>
    <row r="4">
      <c r="A4" s="14" t="inlineStr">
        <is>
          <t>Total</t>
        </is>
      </c>
      <c r="B4" s="14" t="inlineStr">
        <is>
          <t>Detail Total</t>
        </is>
      </c>
      <c r="C4" s="14" t="n">
        <v>398</v>
      </c>
      <c r="D4" s="14" t="n">
        <v>283</v>
      </c>
      <c r="E4" s="39" t="n">
        <v>17768567.18999999</v>
      </c>
      <c r="F4" s="39" t="n">
        <v>115</v>
      </c>
      <c r="G4" s="39" t="n">
        <v>18129258.18999999</v>
      </c>
      <c r="H4" s="39" t="n">
        <v>-360690.9999999963</v>
      </c>
    </row>
    <row r="5">
      <c r="A5" s="14" t="inlineStr">
        <is>
          <t>Cash</t>
        </is>
      </c>
      <c r="B5" s="14" t="inlineStr">
        <is>
          <t>Detail Cash</t>
        </is>
      </c>
      <c r="C5" s="14" t="n">
        <v>2</v>
      </c>
      <c r="D5" s="14" t="n">
        <v>1</v>
      </c>
      <c r="E5" s="39" t="n">
        <v>114500</v>
      </c>
      <c r="F5" s="39" t="n">
        <v>1</v>
      </c>
      <c r="G5" s="39" t="n">
        <v>24</v>
      </c>
      <c r="H5" s="39" t="n">
        <v>114476</v>
      </c>
    </row>
    <row r="6">
      <c r="A6" s="14" t="inlineStr">
        <is>
          <t>Recurring Transaction</t>
        </is>
      </c>
      <c r="B6" s="14" t="inlineStr">
        <is>
          <t>Detail Recurring Transaction</t>
        </is>
      </c>
      <c r="C6" s="14" t="n">
        <v>346</v>
      </c>
      <c r="D6" s="14" t="n">
        <v>250</v>
      </c>
      <c r="E6" s="39" t="n">
        <v>15926651.49</v>
      </c>
      <c r="F6" s="39" t="n">
        <v>96</v>
      </c>
      <c r="G6" s="39" t="n">
        <v>17904826.13999999</v>
      </c>
      <c r="H6" s="39" t="n">
        <v>-1978174.649999993</v>
      </c>
    </row>
    <row r="7">
      <c r="A7" s="14" t="inlineStr">
        <is>
          <t>EMI</t>
        </is>
      </c>
      <c r="B7" s="14" t="inlineStr">
        <is>
          <t>Detail EMI</t>
        </is>
      </c>
      <c r="C7" s="14" t="n">
        <v>2</v>
      </c>
      <c r="D7" s="14" t="n">
        <v>2</v>
      </c>
      <c r="E7" s="39" t="n">
        <v>55541</v>
      </c>
      <c r="F7" s="39" t="n">
        <v>0</v>
      </c>
      <c r="G7" s="39" t="n">
        <v>0</v>
      </c>
      <c r="H7" s="39" t="n">
        <v>55541</v>
      </c>
    </row>
    <row r="8">
      <c r="A8" s="14" t="inlineStr">
        <is>
          <t>Salary</t>
        </is>
      </c>
      <c r="B8" s="14" t="inlineStr">
        <is>
          <t>Detail Salary</t>
        </is>
      </c>
      <c r="C8" s="14" t="n">
        <v>0</v>
      </c>
      <c r="D8" s="14" t="n">
        <v>0</v>
      </c>
      <c r="E8" s="39" t="n">
        <v>0</v>
      </c>
      <c r="F8" s="39" t="n">
        <v>0</v>
      </c>
      <c r="G8" s="39" t="n">
        <v>0</v>
      </c>
      <c r="H8" s="39" t="n">
        <v>0</v>
      </c>
    </row>
    <row r="9">
      <c r="A9" s="14" t="inlineStr">
        <is>
          <t>High Transaction</t>
        </is>
      </c>
      <c r="B9" s="14" t="inlineStr">
        <is>
          <t>Detail High Transaction</t>
        </is>
      </c>
      <c r="C9" s="14" t="n">
        <v>112</v>
      </c>
      <c r="D9" s="14" t="n">
        <v>59</v>
      </c>
      <c r="E9" s="39" t="n">
        <v>10963793.9</v>
      </c>
      <c r="F9" s="39" t="n">
        <v>53</v>
      </c>
      <c r="G9" s="39" t="n">
        <v>17146556.34</v>
      </c>
      <c r="H9" s="39" t="n">
        <v>-6182762.439999996</v>
      </c>
    </row>
    <row r="10">
      <c r="A10" s="14" t="inlineStr">
        <is>
          <t>Total Receipts and Payments</t>
        </is>
      </c>
      <c r="B10" s="14" t="inlineStr">
        <is>
          <t>Detail Total Receipts and Payme</t>
        </is>
      </c>
      <c r="C10" s="14" t="n">
        <v>398</v>
      </c>
      <c r="D10" s="14" t="n">
        <v>283</v>
      </c>
      <c r="E10" s="39" t="n">
        <v>17768567.18999999</v>
      </c>
      <c r="F10" s="39" t="n">
        <v>115</v>
      </c>
      <c r="G10" s="39" t="n">
        <v>18129258.18999999</v>
      </c>
      <c r="H10" s="39" t="n">
        <v>-360690.9999999963</v>
      </c>
    </row>
    <row r="11">
      <c r="A11" s="14" t="inlineStr">
        <is>
          <t>UPI</t>
        </is>
      </c>
      <c r="B11" s="14" t="inlineStr">
        <is>
          <t>Detail UPI</t>
        </is>
      </c>
      <c r="C11" s="14" t="n">
        <v>36</v>
      </c>
      <c r="D11" s="14" t="n">
        <v>24</v>
      </c>
      <c r="E11" s="39" t="n">
        <v>416085</v>
      </c>
      <c r="F11" s="39" t="n">
        <v>12</v>
      </c>
      <c r="G11" s="39" t="n">
        <v>71816.63</v>
      </c>
      <c r="H11" s="39" t="n">
        <v>344268.37</v>
      </c>
    </row>
    <row r="12">
      <c r="A12" s="14" t="inlineStr">
        <is>
          <t>LIC</t>
        </is>
      </c>
      <c r="B12" s="14" t="inlineStr">
        <is>
          <t>Detail LIC</t>
        </is>
      </c>
      <c r="C12" s="14" t="n">
        <v>0</v>
      </c>
      <c r="D12" s="14" t="n">
        <v>0</v>
      </c>
      <c r="E12" s="39" t="n">
        <v>0</v>
      </c>
      <c r="F12" s="39" t="n">
        <v>0</v>
      </c>
      <c r="G12" s="39" t="n">
        <v>0</v>
      </c>
      <c r="H12" s="39" t="n">
        <v>0</v>
      </c>
    </row>
    <row r="13">
      <c r="A13" s="14" t="inlineStr">
        <is>
          <t>FD interest</t>
        </is>
      </c>
      <c r="B13" s="14" t="inlineStr">
        <is>
          <t>Detail FD interest</t>
        </is>
      </c>
      <c r="C13" s="14" t="n">
        <v>0</v>
      </c>
      <c r="D13" s="14" t="n">
        <v>0</v>
      </c>
      <c r="E13" s="39" t="n">
        <v>0</v>
      </c>
      <c r="F13" s="39" t="n">
        <v>0</v>
      </c>
      <c r="G13" s="39" t="n">
        <v>0</v>
      </c>
      <c r="H13" s="39" t="n">
        <v>0</v>
      </c>
    </row>
    <row r="14">
      <c r="A14" s="14" t="inlineStr">
        <is>
          <t>FD Deposit and withdrawals</t>
        </is>
      </c>
      <c r="B14" s="14" t="inlineStr">
        <is>
          <t>Detail FD Deposit and withdrawa</t>
        </is>
      </c>
      <c r="C14" s="14" t="n">
        <v>0</v>
      </c>
      <c r="D14" s="14" t="n">
        <v>0</v>
      </c>
      <c r="E14" s="39" t="n">
        <v>0</v>
      </c>
      <c r="F14" s="39" t="n">
        <v>0</v>
      </c>
      <c r="G14" s="39" t="n">
        <v>0</v>
      </c>
      <c r="H14" s="39" t="n">
        <v>0</v>
      </c>
    </row>
    <row r="15">
      <c r="A15" s="14" t="inlineStr">
        <is>
          <t>PPF/PF interest and contribution</t>
        </is>
      </c>
      <c r="B15" s="14" t="inlineStr">
        <is>
          <t>Detail PPF PF interest and cont</t>
        </is>
      </c>
      <c r="C15" s="14" t="n">
        <v>0</v>
      </c>
      <c r="D15" s="14" t="n">
        <v>0</v>
      </c>
      <c r="E15" s="39" t="n">
        <v>0</v>
      </c>
      <c r="F15" s="39" t="n">
        <v>0</v>
      </c>
      <c r="G15" s="39" t="n">
        <v>0</v>
      </c>
      <c r="H15" s="39" t="n">
        <v>0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4" customWidth="1" min="14" max="14"/>
    <col width="14" customWidth="1" min="15" max="15"/>
  </cols>
  <sheetData>
    <row r="1">
      <c r="A1" s="13" t="inlineStr">
        <is>
          <t>Month Key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Period</t>
        </is>
      </c>
      <c r="E1" s="13" t="inlineStr">
        <is>
          <t>Transactions</t>
        </is>
      </c>
      <c r="F1" s="13" t="inlineStr">
        <is>
          <t>Opening Balance</t>
        </is>
      </c>
      <c r="G1" s="13" t="inlineStr">
        <is>
          <t>Dr Count</t>
        </is>
      </c>
      <c r="H1" s="13" t="inlineStr">
        <is>
          <t>Cr Count</t>
        </is>
      </c>
      <c r="I1" s="13" t="inlineStr">
        <is>
          <t>Payments</t>
        </is>
      </c>
      <c r="J1" s="13" t="inlineStr">
        <is>
          <t>Receipts</t>
        </is>
      </c>
      <c r="K1" s="13" t="inlineStr">
        <is>
          <t>Closing Balance</t>
        </is>
      </c>
      <c r="L1" s="13" t="inlineStr">
        <is>
          <t>Parsed Payments</t>
        </is>
      </c>
      <c r="M1" s="13" t="inlineStr">
        <is>
          <t>Parsed Receipts</t>
        </is>
      </c>
      <c r="N1" s="13" t="inlineStr">
        <is>
          <t>Payment Check</t>
        </is>
      </c>
      <c r="O1" s="13" t="inlineStr">
        <is>
          <t>Receipt Check</t>
        </is>
      </c>
    </row>
    <row r="2">
      <c r="A2" s="14" t="inlineStr">
        <is>
          <t>2026-04</t>
        </is>
      </c>
      <c r="B2" s="40" t="n">
        <v>46113</v>
      </c>
      <c r="C2" s="40" t="n">
        <v>46143</v>
      </c>
      <c r="D2" s="14" t="inlineStr">
        <is>
          <t>Apr 2026</t>
        </is>
      </c>
      <c r="E2" s="14" t="n">
        <v>398</v>
      </c>
      <c r="F2" s="39" t="n">
        <v>363191</v>
      </c>
      <c r="G2" s="14" t="n">
        <v>115</v>
      </c>
      <c r="H2" s="14" t="n">
        <v>283</v>
      </c>
      <c r="I2" s="39" t="n">
        <v>18129258.18999999</v>
      </c>
      <c r="J2" s="39" t="n">
        <v>17768567.18999999</v>
      </c>
      <c r="K2" s="39" t="n">
        <v>2500</v>
      </c>
      <c r="L2" s="39">
        <f>SUMIFS(Transactions!$J$2:$J$399,Transactions!$AA$2:$AA$399,"&gt;="&amp;B2,Transactions!$AA$2:$AA$399,"&lt;"&amp;C2)</f>
        <v/>
      </c>
      <c r="M2" s="39">
        <f>SUMIFS(Transactions!$K$2:$K$399,Transactions!$AA$2:$AA$399,"&gt;="&amp;B2,Transactions!$AA$2:$AA$399,"&lt;"&amp;C2)</f>
        <v/>
      </c>
      <c r="N2" s="14">
        <f>IF(ABS(I2-L2)&lt;0.01,"OK","Check")</f>
        <v/>
      </c>
      <c r="O2" s="14">
        <f>IF(ABS(J2-M2)&lt;0.01,"OK","Check")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>
      <c r="A1" s="13" t="inlineStr">
        <is>
          <t>Seq</t>
        </is>
      </c>
      <c r="B1" s="13" t="inlineStr">
        <is>
          <t>Source File</t>
        </is>
      </c>
      <c r="C1" s="13" t="inlineStr">
        <is>
          <t>Statement From</t>
        </is>
      </c>
      <c r="D1" s="13" t="inlineStr">
        <is>
          <t>Statement To</t>
        </is>
      </c>
      <c r="E1" s="13" t="inlineStr">
        <is>
          <t>Date</t>
        </is>
      </c>
      <c r="F1" s="13" t="inlineStr">
        <is>
          <t>Value Date</t>
        </is>
      </c>
      <c r="G1" s="13" t="inlineStr">
        <is>
          <t>Narration</t>
        </is>
      </c>
      <c r="H1" s="13" t="inlineStr">
        <is>
          <t>Reference</t>
        </is>
      </c>
      <c r="I1" s="13" t="inlineStr">
        <is>
          <t>Direction</t>
        </is>
      </c>
      <c r="J1" s="13" t="inlineStr">
        <is>
          <t>Withdrawal</t>
        </is>
      </c>
      <c r="K1" s="13" t="inlineStr">
        <is>
          <t>Deposit</t>
        </is>
      </c>
      <c r="L1" s="13" t="inlineStr">
        <is>
          <t>Amount</t>
        </is>
      </c>
      <c r="M1" s="13" t="inlineStr">
        <is>
          <t>Closing Balance</t>
        </is>
      </c>
      <c r="N1" s="13" t="inlineStr">
        <is>
          <t>Categories</t>
        </is>
      </c>
      <c r="O1" s="13" t="inlineStr">
        <is>
          <t>Recurring?</t>
        </is>
      </c>
      <c r="P1" s="13" t="inlineStr">
        <is>
          <t>Recurring Key</t>
        </is>
      </c>
      <c r="Q1" s="13" t="inlineStr">
        <is>
          <t>Flag - Cash</t>
        </is>
      </c>
      <c r="R1" s="13" t="inlineStr">
        <is>
          <t>Flag - Recurring Transaction</t>
        </is>
      </c>
      <c r="S1" s="13" t="inlineStr">
        <is>
          <t>Flag - EMI</t>
        </is>
      </c>
      <c r="T1" s="13" t="inlineStr">
        <is>
          <t>Flag - Salary</t>
        </is>
      </c>
      <c r="U1" s="13" t="inlineStr">
        <is>
          <t>Flag - High Transaction</t>
        </is>
      </c>
      <c r="V1" s="13" t="inlineStr">
        <is>
          <t>Flag - UPI</t>
        </is>
      </c>
      <c r="W1" s="13" t="inlineStr">
        <is>
          <t>Flag - LIC</t>
        </is>
      </c>
      <c r="X1" s="13" t="inlineStr">
        <is>
          <t>Flag - FD interest</t>
        </is>
      </c>
      <c r="Y1" s="13" t="inlineStr">
        <is>
          <t>Flag - FD Deposit and withdrawals</t>
        </is>
      </c>
      <c r="Z1" s="13" t="inlineStr">
        <is>
          <t>Flag - PPF/PF interest and contribution</t>
        </is>
      </c>
      <c r="AA1" s="13" t="inlineStr">
        <is>
          <t>Month Date</t>
        </is>
      </c>
    </row>
    <row r="2">
      <c r="A2" s="14" t="n">
        <v>1</v>
      </c>
      <c r="B2" s="14" t="inlineStr">
        <is>
          <t>502 input.pdf</t>
        </is>
      </c>
      <c r="C2" s="40" t="n">
        <v>46113</v>
      </c>
      <c r="D2" s="40" t="n">
        <v>46142</v>
      </c>
      <c r="E2" s="40" t="n">
        <v>46114</v>
      </c>
      <c r="F2" s="40" t="n">
        <v>46114</v>
      </c>
      <c r="G2" s="16" t="inlineStr">
        <is>
          <t>DIGITA-MUMBAI/ IMPS/P2A/609147096215/HONEPELIMITEDPA/F09Hpcljige</t>
        </is>
      </c>
      <c r="H2" s="14" t="str"/>
      <c r="I2" s="14" t="inlineStr">
        <is>
          <t>Receipt</t>
        </is>
      </c>
      <c r="J2" s="39" t="n">
        <v>0</v>
      </c>
      <c r="K2" s="39" t="n">
        <v>53200</v>
      </c>
      <c r="L2" s="39" t="n">
        <v>53200</v>
      </c>
      <c r="M2" s="39" t="n">
        <v>416391</v>
      </c>
      <c r="N2" s="14" t="inlineStr">
        <is>
          <t>Other</t>
        </is>
      </c>
      <c r="O2" s="14" t="inlineStr">
        <is>
          <t>No</t>
        </is>
      </c>
      <c r="P2" s="14" t="inlineStr">
        <is>
          <t>HONEPELIMITEDPA</t>
        </is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40" t="n">
        <v>46114</v>
      </c>
    </row>
    <row r="3">
      <c r="A3" s="14" t="n">
        <v>2</v>
      </c>
      <c r="B3" s="14" t="inlineStr">
        <is>
          <t>502 input.pdf</t>
        </is>
      </c>
      <c r="C3" s="40" t="n">
        <v>46113</v>
      </c>
      <c r="D3" s="40" t="n">
        <v>46142</v>
      </c>
      <c r="E3" s="40" t="n">
        <v>46114</v>
      </c>
      <c r="F3" s="40" t="n">
        <v>46114</v>
      </c>
      <c r="G3" s="16" t="inlineStr">
        <is>
          <t>DIGITA-MUMBAI/ NEFT-YESAP60912594024-PhonePe Limited</t>
        </is>
      </c>
      <c r="H3" s="14" t="str"/>
      <c r="I3" s="14" t="inlineStr">
        <is>
          <t>Receipt</t>
        </is>
      </c>
      <c r="J3" s="39" t="n">
        <v>0</v>
      </c>
      <c r="K3" s="39" t="n">
        <v>165179</v>
      </c>
      <c r="L3" s="39" t="n">
        <v>165179</v>
      </c>
      <c r="M3" s="39" t="n">
        <v>581570</v>
      </c>
      <c r="N3" s="14" t="inlineStr">
        <is>
          <t>High Transaction; Recurring Transaction</t>
        </is>
      </c>
      <c r="O3" s="14" t="inlineStr">
        <is>
          <t>Yes</t>
        </is>
      </c>
      <c r="P3" s="14" t="inlineStr">
        <is>
          <t>PHONEPE LIMITED</t>
        </is>
      </c>
      <c r="Q3" s="14" t="n">
        <v>0</v>
      </c>
      <c r="R3" s="14" t="n">
        <v>1</v>
      </c>
      <c r="S3" s="14" t="n">
        <v>0</v>
      </c>
      <c r="T3" s="14" t="n">
        <v>0</v>
      </c>
      <c r="U3" s="14" t="n">
        <v>1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40" t="n">
        <v>46114</v>
      </c>
    </row>
    <row r="4">
      <c r="A4" s="14" t="n">
        <v>3</v>
      </c>
      <c r="B4" s="14" t="inlineStr">
        <is>
          <t>502 input.pdf</t>
        </is>
      </c>
      <c r="C4" s="40" t="n">
        <v>46113</v>
      </c>
      <c r="D4" s="40" t="n">
        <v>46142</v>
      </c>
      <c r="E4" s="40" t="n">
        <v>46114</v>
      </c>
      <c r="F4" s="40" t="n">
        <v>46114</v>
      </c>
      <c r="G4" s="16" t="inlineStr">
        <is>
          <t>UPI/6091426275 42627513 UPI/609142627513/04:54:21/UPI/dineshjogle086-5@ok</t>
        </is>
      </c>
      <c r="H4" s="14" t="str"/>
      <c r="I4" s="14" t="inlineStr">
        <is>
          <t>Payment</t>
        </is>
      </c>
      <c r="J4" s="39" t="n">
        <v>2356</v>
      </c>
      <c r="K4" s="39" t="n">
        <v>0</v>
      </c>
      <c r="L4" s="39" t="n">
        <v>2356</v>
      </c>
      <c r="M4" s="39" t="n">
        <v>579214</v>
      </c>
      <c r="N4" s="14" t="inlineStr">
        <is>
          <t>UPI</t>
        </is>
      </c>
      <c r="O4" s="14" t="inlineStr">
        <is>
          <t>No</t>
        </is>
      </c>
      <c r="P4" s="14" t="inlineStr">
        <is>
          <t>DINESHJOGLE</t>
        </is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1</v>
      </c>
      <c r="W4" s="14" t="n">
        <v>0</v>
      </c>
      <c r="X4" s="14" t="n">
        <v>0</v>
      </c>
      <c r="Y4" s="14" t="n">
        <v>0</v>
      </c>
      <c r="Z4" s="14" t="n">
        <v>0</v>
      </c>
      <c r="AA4" s="40" t="n">
        <v>46114</v>
      </c>
    </row>
    <row r="5">
      <c r="A5" s="14" t="n">
        <v>4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IMPS/P2A/609149979773/ONEMOBIKWIKSYST/IMPSAXB9100</t>
        </is>
      </c>
      <c r="H5" s="14" t="str"/>
      <c r="I5" s="14" t="inlineStr">
        <is>
          <t>Receipt</t>
        </is>
      </c>
      <c r="J5" s="39" t="n">
        <v>0</v>
      </c>
      <c r="K5" s="39" t="n">
        <v>35167.6</v>
      </c>
      <c r="L5" s="39" t="n">
        <v>35167.6</v>
      </c>
      <c r="M5" s="39" t="n">
        <v>614381.6</v>
      </c>
      <c r="N5" s="14" t="inlineStr">
        <is>
          <t>Other</t>
        </is>
      </c>
      <c r="O5" s="14" t="inlineStr">
        <is>
          <t>No</t>
        </is>
      </c>
      <c r="P5" s="14" t="inlineStr">
        <is>
          <t>ONEMOBIKWIKSYST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</row>
    <row r="7">
      <c r="A7" s="14" t="n">
        <v>6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EBANK:WIB/1502 EBANK:WIB/1502021829/Edfs</t>
        </is>
      </c>
      <c r="H7" s="14" t="str"/>
      <c r="I7" s="14" t="inlineStr">
        <is>
          <t>Payment</t>
        </is>
      </c>
      <c r="J7" s="39" t="n">
        <v>681881.6</v>
      </c>
      <c r="K7" s="39" t="n">
        <v>0</v>
      </c>
      <c r="L7" s="39" t="n">
        <v>681881.6</v>
      </c>
      <c r="M7" s="39" t="n">
        <v>2500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</row>
    <row r="8">
      <c r="A8" s="14" t="n">
        <v>7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NEFT-FBPT260916108327-PREMIER CONVEYORS PRIVATE LI</t>
        </is>
      </c>
      <c r="H8" s="14" t="str"/>
      <c r="I8" s="14" t="inlineStr">
        <is>
          <t>Receipt</t>
        </is>
      </c>
      <c r="J8" s="39" t="n">
        <v>0</v>
      </c>
      <c r="K8" s="39" t="n">
        <v>18409</v>
      </c>
      <c r="L8" s="39" t="n">
        <v>18409</v>
      </c>
      <c r="M8" s="39" t="n">
        <v>20909</v>
      </c>
      <c r="N8" s="14" t="inlineStr">
        <is>
          <t>EMI; Recurring Transaction</t>
        </is>
      </c>
      <c r="O8" s="14" t="inlineStr">
        <is>
          <t>Yes</t>
        </is>
      </c>
      <c r="P8" s="14" t="inlineStr">
        <is>
          <t>PREMIER CONVEYORS PRIVATE LI</t>
        </is>
      </c>
      <c r="Q8" s="14" t="n">
        <v>0</v>
      </c>
      <c r="R8" s="14" t="n">
        <v>1</v>
      </c>
      <c r="S8" s="14" t="n">
        <v>1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</row>
    <row r="9">
      <c r="A9" s="14" t="n">
        <v>8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NEFT-CNRBH00121803213-QUALITY PLAST INDUSTRIES LIM</t>
        </is>
      </c>
      <c r="H9" s="14" t="str"/>
      <c r="I9" s="14" t="inlineStr">
        <is>
          <t>Receipt</t>
        </is>
      </c>
      <c r="J9" s="39" t="n">
        <v>0</v>
      </c>
      <c r="K9" s="39" t="n">
        <v>121431</v>
      </c>
      <c r="L9" s="39" t="n">
        <v>121431</v>
      </c>
      <c r="M9" s="39" t="n">
        <v>142340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QUALITY PLAST INDUSTRIES LIM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</row>
    <row r="10">
      <c r="A10" s="14" t="n">
        <v>9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UPI/6091779614 77961475 UPI/609177961475/16:34:33/UPI/q297956037@ybl/food</t>
        </is>
      </c>
      <c r="H10" s="14" t="str"/>
      <c r="I10" s="14" t="inlineStr">
        <is>
          <t>Payment</t>
        </is>
      </c>
      <c r="J10" s="39" t="n">
        <v>1500</v>
      </c>
      <c r="K10" s="39" t="n">
        <v>0</v>
      </c>
      <c r="L10" s="39" t="n">
        <v>1500</v>
      </c>
      <c r="M10" s="39" t="n">
        <v>140840</v>
      </c>
      <c r="N10" s="14" t="inlineStr">
        <is>
          <t>UPI</t>
        </is>
      </c>
      <c r="O10" s="14" t="inlineStr">
        <is>
          <t>No</t>
        </is>
      </c>
      <c r="P10" s="14" t="inlineStr">
        <is>
          <t>UPI/# # UPI/#/#:#:#/UPI/Q#@YBL/FOOD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</row>
    <row r="11">
      <c r="A11" s="14" t="n">
        <v>10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IMPS/P2A/609116466512/AFZALSIRAJUDDIN/IMPSUOB9191</t>
        </is>
      </c>
      <c r="H11" s="14" t="str"/>
      <c r="I11" s="14" t="inlineStr">
        <is>
          <t>Receipt</t>
        </is>
      </c>
      <c r="J11" s="39" t="n">
        <v>0</v>
      </c>
      <c r="K11" s="39" t="n">
        <v>100000</v>
      </c>
      <c r="L11" s="39" t="n">
        <v>100000</v>
      </c>
      <c r="M11" s="39" t="n">
        <v>240840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AFZALSIRAJUDDIN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</row>
    <row r="12">
      <c r="A12" s="14" t="n">
        <v>11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NEFT-KKBKH26091970510-VENKTESHWAR INDUSTRIAL CORPO</t>
        </is>
      </c>
      <c r="H12" s="14" t="str"/>
      <c r="I12" s="14" t="inlineStr">
        <is>
          <t>Receipt</t>
        </is>
      </c>
      <c r="J12" s="39" t="n">
        <v>0</v>
      </c>
      <c r="K12" s="39" t="n">
        <v>10000</v>
      </c>
      <c r="L12" s="39" t="n">
        <v>10000</v>
      </c>
      <c r="M12" s="39" t="n">
        <v>250840</v>
      </c>
      <c r="N12" s="14" t="inlineStr">
        <is>
          <t>Recurring Transaction</t>
        </is>
      </c>
      <c r="O12" s="14" t="inlineStr">
        <is>
          <t>Yes</t>
        </is>
      </c>
      <c r="P12" s="14" t="inlineStr">
        <is>
          <t>VENKTESHWAR INDUSTRIAL CORPO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</row>
    <row r="13">
      <c r="A13" s="14" t="n">
        <v>12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3" s="14" t="str"/>
      <c r="I13" s="14" t="inlineStr">
        <is>
          <t>Payment</t>
        </is>
      </c>
      <c r="J13" s="39" t="n">
        <v>248340</v>
      </c>
      <c r="K13" s="39" t="n">
        <v>0</v>
      </c>
      <c r="L13" s="39" t="n">
        <v>248340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</row>
    <row r="14">
      <c r="A14" s="14" t="n">
        <v>13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NEFT-YESAP60924833309-PhonePe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188588.4</v>
      </c>
      <c r="L14" s="39" t="n">
        <v>188588.4</v>
      </c>
      <c r="M14" s="39" t="n">
        <v>191088.4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</row>
    <row r="15">
      <c r="A15" s="14" t="n">
        <v>14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NEFT-AXNPN09202196281-PHONEPE LIMITED-PAYMENT AGGR</t>
        </is>
      </c>
      <c r="H15" s="14" t="str"/>
      <c r="I15" s="14" t="inlineStr">
        <is>
          <t>Receipt</t>
        </is>
      </c>
      <c r="J15" s="39" t="n">
        <v>0</v>
      </c>
      <c r="K15" s="39" t="n">
        <v>50884.1</v>
      </c>
      <c r="L15" s="39" t="n">
        <v>50884.1</v>
      </c>
      <c r="M15" s="39" t="n">
        <v>241972.5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PHONEPE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</row>
    <row r="16">
      <c r="A16" s="14" t="n">
        <v>15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NEFT-AXISCN1298773772-ONE MOBIKWIK SYSTEMS LIMITED https://cbdrpt101.bankofbaroda.co.in:22000/finbranch/arjspmorph/INFENG/tran_rpt.jsp?... 04-05-2026</t>
        </is>
      </c>
      <c r="H16" s="14" t="str"/>
      <c r="I16" s="14" t="inlineStr">
        <is>
          <t>Receipt</t>
        </is>
      </c>
      <c r="J16" s="39" t="n">
        <v>0</v>
      </c>
      <c r="K16" s="39" t="n">
        <v>26312</v>
      </c>
      <c r="L16" s="39" t="n">
        <v>26312</v>
      </c>
      <c r="M16" s="39" t="n">
        <v>268284.5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ONE MOBIKWIK SYSTEMS LIMITED HTTPS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</row>
    <row r="17">
      <c r="A17" s="14" t="n">
        <v>16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IMPS/P2A/609208556385/OMSANITRANSPORT/IMPSUOB9195</t>
        </is>
      </c>
      <c r="H17" s="14" t="str"/>
      <c r="I17" s="14" t="inlineStr">
        <is>
          <t>Receipt</t>
        </is>
      </c>
      <c r="J17" s="39" t="n">
        <v>0</v>
      </c>
      <c r="K17" s="39" t="n">
        <v>16450</v>
      </c>
      <c r="L17" s="39" t="n">
        <v>16450</v>
      </c>
      <c r="M17" s="39" t="n">
        <v>284734.5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OMSANITRANSPORT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</row>
    <row r="18">
      <c r="A18" s="14" t="n">
        <v>17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NEFT-AXISCN1298906804-PINE LABS PRIVATE LIMITED-NO</t>
        </is>
      </c>
      <c r="H18" s="14" t="str"/>
      <c r="I18" s="14" t="inlineStr">
        <is>
          <t>Receipt</t>
        </is>
      </c>
      <c r="J18" s="39" t="n">
        <v>0</v>
      </c>
      <c r="K18" s="39" t="n">
        <v>61903</v>
      </c>
      <c r="L18" s="39" t="n">
        <v>61903</v>
      </c>
      <c r="M18" s="39" t="n">
        <v>346637.5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PINE LABS PRIVATE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</row>
    <row r="19">
      <c r="A19" s="14" t="n">
        <v>18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NEFT-AXISCN1299028324-PINE LABS PRIVATE LIMITED-NO</t>
        </is>
      </c>
      <c r="H19" s="14" t="str"/>
      <c r="I19" s="14" t="inlineStr">
        <is>
          <t>Receipt</t>
        </is>
      </c>
      <c r="J19" s="39" t="n">
        <v>0</v>
      </c>
      <c r="K19" s="39" t="n">
        <v>166884</v>
      </c>
      <c r="L19" s="39" t="n">
        <v>166884</v>
      </c>
      <c r="M19" s="39" t="n">
        <v>513521.5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PINE LABS PRIVATE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</row>
    <row r="20">
      <c r="A20" s="14" t="n">
        <v>19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UPI/6092378308 37830859 UPI/609237830859/11:20:36/UPI/9850754712-3@ybl/st</t>
        </is>
      </c>
      <c r="H20" s="14" t="str"/>
      <c r="I20" s="14" t="inlineStr">
        <is>
          <t>Payment</t>
        </is>
      </c>
      <c r="J20" s="39" t="n">
        <v>4000</v>
      </c>
      <c r="K20" s="39" t="n">
        <v>0</v>
      </c>
      <c r="L20" s="39" t="n">
        <v>4000</v>
      </c>
      <c r="M20" s="39" t="n">
        <v>509521.5</v>
      </c>
      <c r="N20" s="14" t="inlineStr">
        <is>
          <t>UPI</t>
        </is>
      </c>
      <c r="O20" s="14" t="inlineStr">
        <is>
          <t>No</t>
        </is>
      </c>
      <c r="P20" s="14" t="inlineStr">
        <is>
          <t>UPI/# # UPI/#/#:#:#/UPI/#-#@YBL/ST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</row>
    <row r="21">
      <c r="A21" s="14" t="n">
        <v>20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IMPS/P2A/609211135154/SHREE GANESH EN/dieselVVS91</t>
        </is>
      </c>
      <c r="H21" s="14" t="str"/>
      <c r="I21" s="14" t="inlineStr">
        <is>
          <t>Receipt</t>
        </is>
      </c>
      <c r="J21" s="39" t="n">
        <v>0</v>
      </c>
      <c r="K21" s="39" t="n">
        <v>63308</v>
      </c>
      <c r="L21" s="39" t="n">
        <v>63308</v>
      </c>
      <c r="M21" s="39" t="n">
        <v>572829.5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SHREE GANESH EN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</row>
    <row r="22">
      <c r="A22" s="14" t="n">
        <v>21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NEFT-KKBKH26092777992-VENKTESHWAR INDUSTRIAL CORPO</t>
        </is>
      </c>
      <c r="H22" s="14" t="str"/>
      <c r="I22" s="14" t="inlineStr">
        <is>
          <t>Receipt</t>
        </is>
      </c>
      <c r="J22" s="39" t="n">
        <v>0</v>
      </c>
      <c r="K22" s="39" t="n">
        <v>18088</v>
      </c>
      <c r="L22" s="39" t="n">
        <v>18088</v>
      </c>
      <c r="M22" s="39" t="n">
        <v>590917.5</v>
      </c>
      <c r="N22" s="14" t="inlineStr">
        <is>
          <t>Recurring Transaction</t>
        </is>
      </c>
      <c r="O22" s="14" t="inlineStr">
        <is>
          <t>Yes</t>
        </is>
      </c>
      <c r="P22" s="14" t="inlineStr">
        <is>
          <t>VENKTESHWAR INDUSTRIAL CORPO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</row>
    <row r="23">
      <c r="A23" s="14" t="n">
        <v>22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UPI/6092013389 1338963 UPI/609201338963/12:38:06/UPI/gpay-11193876450@ok</t>
        </is>
      </c>
      <c r="H23" s="14" t="str"/>
      <c r="I23" s="14" t="inlineStr">
        <is>
          <t>Payment</t>
        </is>
      </c>
      <c r="J23" s="39" t="n">
        <v>2800</v>
      </c>
      <c r="K23" s="39" t="n">
        <v>0</v>
      </c>
      <c r="L23" s="39" t="n">
        <v>2800</v>
      </c>
      <c r="M23" s="39" t="n">
        <v>588117.5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UPI/#/#:#:#/UPI/GPAY-#@OK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</row>
    <row r="24">
      <c r="A24" s="14" t="n">
        <v>23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NEFT-NKGSH26092846591-GEBI PRODUCTS PRIVATE LIMITE</t>
        </is>
      </c>
      <c r="H24" s="14" t="str"/>
      <c r="I24" s="14" t="inlineStr">
        <is>
          <t>Receipt</t>
        </is>
      </c>
      <c r="J24" s="39" t="n">
        <v>0</v>
      </c>
      <c r="K24" s="39" t="n">
        <v>12813</v>
      </c>
      <c r="L24" s="39" t="n">
        <v>12813</v>
      </c>
      <c r="M24" s="39" t="n">
        <v>600930.5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GEBI PRODUCTS PRIVATE LIMITE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</row>
    <row r="25">
      <c r="A25" s="14" t="n">
        <v>24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NEFT-IDIBH09236262399-JAI AMBE TRANSPORT</t>
        </is>
      </c>
      <c r="H25" s="14" t="str"/>
      <c r="I25" s="14" t="inlineStr">
        <is>
          <t>Receipt</t>
        </is>
      </c>
      <c r="J25" s="39" t="n">
        <v>0</v>
      </c>
      <c r="K25" s="39" t="n">
        <v>4378</v>
      </c>
      <c r="L25" s="39" t="n">
        <v>4378</v>
      </c>
      <c r="M25" s="39" t="n">
        <v>605308.5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JAI AMBE TRANSPORT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</row>
    <row r="26">
      <c r="A26" s="14" t="n">
        <v>25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NEFT-HDFCH00905140576-Adekar enterprises pvt ltd</t>
        </is>
      </c>
      <c r="H26" s="14" t="str"/>
      <c r="I26" s="14" t="inlineStr">
        <is>
          <t>Receipt</t>
        </is>
      </c>
      <c r="J26" s="39" t="n">
        <v>0</v>
      </c>
      <c r="K26" s="39" t="n">
        <v>138674</v>
      </c>
      <c r="L26" s="39" t="n">
        <v>138674</v>
      </c>
      <c r="M26" s="39" t="n">
        <v>743982.5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ADEKAR ENTERPRISES PVT LTD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</row>
    <row r="27">
      <c r="A27" s="14" t="n">
        <v>26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NEFT-TDCBH26092001785-V C ENTERPRISES</t>
        </is>
      </c>
      <c r="H27" s="14" t="str"/>
      <c r="I27" s="14" t="inlineStr">
        <is>
          <t>Receipt</t>
        </is>
      </c>
      <c r="J27" s="39" t="n">
        <v>0</v>
      </c>
      <c r="K27" s="39" t="n">
        <v>50000</v>
      </c>
      <c r="L27" s="39" t="n">
        <v>50000</v>
      </c>
      <c r="M27" s="39" t="n">
        <v>793982.5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V C ENTERPRISES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</row>
    <row r="28">
      <c r="A28" s="14" t="n">
        <v>27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EBANK:WIB/1502 EBANK:WIB/1502234210/Edfs</t>
        </is>
      </c>
      <c r="H28" s="14" t="str"/>
      <c r="I28" s="14" t="inlineStr">
        <is>
          <t>Payment</t>
        </is>
      </c>
      <c r="J28" s="39" t="n">
        <v>791482.5</v>
      </c>
      <c r="K28" s="39" t="n">
        <v>0</v>
      </c>
      <c r="L28" s="39" t="n">
        <v>791482.5</v>
      </c>
      <c r="M28" s="39" t="n">
        <v>2500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EBANKWIB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</row>
    <row r="29">
      <c r="A29" s="14" t="n">
        <v>28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9" s="14" t="str"/>
      <c r="I29" s="14" t="inlineStr">
        <is>
          <t>Receipt</t>
        </is>
      </c>
      <c r="J29" s="39" t="n">
        <v>0</v>
      </c>
      <c r="K29" s="39" t="n">
        <v>36176</v>
      </c>
      <c r="L29" s="39" t="n">
        <v>36176</v>
      </c>
      <c r="M29" s="39" t="n">
        <v>38676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PAGE TOTAL   CR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</row>
    <row r="30">
      <c r="A30" s="14" t="n">
        <v>29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NEFT-KKBKH26092921670-ATLAS COMMODITIES PRIVATE LI</t>
        </is>
      </c>
      <c r="H30" s="14" t="str"/>
      <c r="I30" s="14" t="inlineStr">
        <is>
          <t>Receipt</t>
        </is>
      </c>
      <c r="J30" s="39" t="n">
        <v>0</v>
      </c>
      <c r="K30" s="39" t="n">
        <v>4353</v>
      </c>
      <c r="L30" s="39" t="n">
        <v>4353</v>
      </c>
      <c r="M30" s="39" t="n">
        <v>43029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ATLAS COMMODITIES PRIVATE LI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</row>
    <row r="31">
      <c r="A31" s="14" t="n">
        <v>30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NEFT-YESAP60934071902-PhonePe Limited</t>
        </is>
      </c>
      <c r="H31" s="14" t="str"/>
      <c r="I31" s="14" t="inlineStr">
        <is>
          <t>Receipt</t>
        </is>
      </c>
      <c r="J31" s="39" t="n">
        <v>0</v>
      </c>
      <c r="K31" s="39" t="n">
        <v>173393.9</v>
      </c>
      <c r="L31" s="39" t="n">
        <v>173393.9</v>
      </c>
      <c r="M31" s="39" t="n">
        <v>216422.9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PHONEPE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</row>
    <row r="32">
      <c r="A32" s="14" t="n">
        <v>31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NEFT-AXNPN09311160907-PHONEPE LIMITED-PAYMENT AGGR</t>
        </is>
      </c>
      <c r="H32" s="14" t="str"/>
      <c r="I32" s="14" t="inlineStr">
        <is>
          <t>Receipt</t>
        </is>
      </c>
      <c r="J32" s="39" t="n">
        <v>0</v>
      </c>
      <c r="K32" s="39" t="n">
        <v>53957.68</v>
      </c>
      <c r="L32" s="39" t="n">
        <v>53957.68</v>
      </c>
      <c r="M32" s="39" t="n">
        <v>270380.58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</row>
    <row r="33">
      <c r="A33" s="14" t="n">
        <v>32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DIGITA-MUMBAI/ NEFT-AXISCN1300289999-ONE MOBIKWIK SYSTEMS LIMITED</t>
        </is>
      </c>
      <c r="H33" s="14" t="str"/>
      <c r="I33" s="14" t="inlineStr">
        <is>
          <t>Receipt</t>
        </is>
      </c>
      <c r="J33" s="39" t="n">
        <v>0</v>
      </c>
      <c r="K33" s="39" t="n">
        <v>21700</v>
      </c>
      <c r="L33" s="39" t="n">
        <v>21700</v>
      </c>
      <c r="M33" s="39" t="n">
        <v>292080.58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ONE MOBIKWIK SYSTEMS LIMITED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</row>
    <row r="34">
      <c r="A34" s="14" t="n">
        <v>33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IMPS/P2A/609308206742/S TRANS 14851/Mh04ju3738I</t>
        </is>
      </c>
      <c r="H34" s="14" t="str"/>
      <c r="I34" s="14" t="inlineStr">
        <is>
          <t>Receipt</t>
        </is>
      </c>
      <c r="J34" s="39" t="n">
        <v>0</v>
      </c>
      <c r="K34" s="39" t="n">
        <v>5750</v>
      </c>
      <c r="L34" s="39" t="n">
        <v>5750</v>
      </c>
      <c r="M34" s="39" t="n">
        <v>297830.58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DIGITA-MUMBAI/ IMPS/P#A/#/S TRANS #/MH#JU#I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</row>
    <row r="35">
      <c r="A35" s="14" t="n">
        <v>34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NEFT-AXISCN1300388689-PINE LABS PRIVATE LIMITED-NO</t>
        </is>
      </c>
      <c r="H35" s="14" t="str"/>
      <c r="I35" s="14" t="inlineStr">
        <is>
          <t>Receipt</t>
        </is>
      </c>
      <c r="J35" s="39" t="n">
        <v>0</v>
      </c>
      <c r="K35" s="39" t="n">
        <v>112894</v>
      </c>
      <c r="L35" s="39" t="n">
        <v>112894</v>
      </c>
      <c r="M35" s="39" t="n">
        <v>410724.58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PINE LABS PRIVATE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</row>
    <row r="36">
      <c r="A36" s="14" t="n">
        <v>35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IMPS/P2A/609312855509/AFZALSIRAJUDDIN/IMPSUOB9191</t>
        </is>
      </c>
      <c r="H36" s="14" t="str"/>
      <c r="I36" s="14" t="inlineStr">
        <is>
          <t>Receipt</t>
        </is>
      </c>
      <c r="J36" s="39" t="n">
        <v>0</v>
      </c>
      <c r="K36" s="39" t="n">
        <v>200000</v>
      </c>
      <c r="L36" s="39" t="n">
        <v>200000</v>
      </c>
      <c r="M36" s="39" t="n">
        <v>610724.58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AFZALSIRAJUDDIN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</row>
    <row r="37">
      <c r="A37" s="14" t="n">
        <v>36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NEFT-002663976089-GANGAMAI INDUSTRIES AND CONSTR</t>
        </is>
      </c>
      <c r="H37" s="14" t="str"/>
      <c r="I37" s="14" t="inlineStr">
        <is>
          <t>Receipt</t>
        </is>
      </c>
      <c r="J37" s="39" t="n">
        <v>0</v>
      </c>
      <c r="K37" s="39" t="n">
        <v>180880</v>
      </c>
      <c r="L37" s="39" t="n">
        <v>180880</v>
      </c>
      <c r="M37" s="39" t="n">
        <v>791604.58</v>
      </c>
      <c r="N37" s="14" t="inlineStr">
        <is>
          <t>High Transaction</t>
        </is>
      </c>
      <c r="O37" s="14" t="inlineStr">
        <is>
          <t>No</t>
        </is>
      </c>
      <c r="P37" s="14" t="inlineStr">
        <is>
          <t>GANGAMAI INDUSTRIES AND CONSTR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</row>
    <row r="38">
      <c r="A38" s="14" t="n">
        <v>37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EBANK:WIB/1502 EBANK:WIB/1502413595/Edfs</t>
        </is>
      </c>
      <c r="H38" s="14" t="str"/>
      <c r="I38" s="14" t="inlineStr">
        <is>
          <t>Payment</t>
        </is>
      </c>
      <c r="J38" s="39" t="n">
        <v>790104.58</v>
      </c>
      <c r="K38" s="39" t="n">
        <v>0</v>
      </c>
      <c r="L38" s="39" t="n">
        <v>790104.58</v>
      </c>
      <c r="M38" s="39" t="n">
        <v>1500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</row>
    <row r="39">
      <c r="A39" s="14" t="n">
        <v>38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NEFT-YESAP60944128518-PhonePe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171014</v>
      </c>
      <c r="L39" s="39" t="n">
        <v>171014</v>
      </c>
      <c r="M39" s="39" t="n">
        <v>172514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</row>
    <row r="40">
      <c r="A40" s="14" t="n">
        <v>39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https://cbdrpt101.bankofbaroda.co.in:22000/finbranch/arjspmorph/INFENG/tran_rpt.jsp?... 04-05-2026 NEFT-AXNPN09418938602-PHONEPE LIMITED-PAYMENT AGGR</t>
        </is>
      </c>
      <c r="H40" s="14" t="str"/>
      <c r="I40" s="14" t="inlineStr">
        <is>
          <t>Receipt</t>
        </is>
      </c>
      <c r="J40" s="39" t="n">
        <v>0</v>
      </c>
      <c r="K40" s="39" t="n">
        <v>49956</v>
      </c>
      <c r="L40" s="39" t="n">
        <v>49956</v>
      </c>
      <c r="M40" s="39" t="n">
        <v>222470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CBDRPTBANKOFBARODACOIN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</row>
    <row r="41">
      <c r="A41" s="14" t="n">
        <v>40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DIGITA-MUMBAI/ NEFT-AXISCN1301100257-ONE MOBIKWIK SYSTEMS LIMITED</t>
        </is>
      </c>
      <c r="H41" s="14" t="str"/>
      <c r="I41" s="14" t="inlineStr">
        <is>
          <t>Receipt</t>
        </is>
      </c>
      <c r="J41" s="39" t="n">
        <v>0</v>
      </c>
      <c r="K41" s="39" t="n">
        <v>22121</v>
      </c>
      <c r="L41" s="39" t="n">
        <v>22121</v>
      </c>
      <c r="M41" s="39" t="n">
        <v>244591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ONE MOBIKWIK SYSTEMS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</row>
    <row r="42">
      <c r="A42" s="14" t="n">
        <v>41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EBANK:WIB/1502 EBANK:WIB/1502423934/Edfs</t>
        </is>
      </c>
      <c r="H42" s="14" t="str"/>
      <c r="I42" s="14" t="inlineStr">
        <is>
          <t>Payment</t>
        </is>
      </c>
      <c r="J42" s="39" t="n">
        <v>240091</v>
      </c>
      <c r="K42" s="39" t="n">
        <v>0</v>
      </c>
      <c r="L42" s="39" t="n">
        <v>240091</v>
      </c>
      <c r="M42" s="39" t="n">
        <v>4500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</row>
    <row r="43">
      <c r="A43" s="14" t="n">
        <v>42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NEFT-AXISCN1301297166-PINE LABS PRIVATE LIMITED-NO</t>
        </is>
      </c>
      <c r="H43" s="14" t="str"/>
      <c r="I43" s="14" t="inlineStr">
        <is>
          <t>Receipt</t>
        </is>
      </c>
      <c r="J43" s="39" t="n">
        <v>0</v>
      </c>
      <c r="K43" s="39" t="n">
        <v>22400</v>
      </c>
      <c r="L43" s="39" t="n">
        <v>22400</v>
      </c>
      <c r="M43" s="39" t="n">
        <v>26900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PINE LABS PRIVATE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</row>
    <row r="44">
      <c r="A44" s="14" t="n">
        <v>43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4" s="14" t="str"/>
      <c r="I44" s="14" t="inlineStr">
        <is>
          <t>Receipt</t>
        </is>
      </c>
      <c r="J44" s="39" t="n">
        <v>0</v>
      </c>
      <c r="K44" s="39" t="n">
        <v>5800</v>
      </c>
      <c r="L44" s="39" t="n">
        <v>5800</v>
      </c>
      <c r="M44" s="39" t="n">
        <v>32700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KUNDAN QUARRY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</row>
    <row r="45">
      <c r="A45" s="14" t="n">
        <v>44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UPI/6094661908 66190812 UPI/609466190812/12:12:08/UPI/starbazaarhyper@ybl</t>
        </is>
      </c>
      <c r="H45" s="14" t="str"/>
      <c r="I45" s="14" t="inlineStr">
        <is>
          <t>Payment</t>
        </is>
      </c>
      <c r="J45" s="39" t="n">
        <v>150.63</v>
      </c>
      <c r="K45" s="39" t="n">
        <v>0</v>
      </c>
      <c r="L45" s="39" t="n">
        <v>150.63</v>
      </c>
      <c r="M45" s="39" t="n">
        <v>32549.37</v>
      </c>
      <c r="N45" s="14" t="inlineStr">
        <is>
          <t>UPI</t>
        </is>
      </c>
      <c r="O45" s="14" t="inlineStr">
        <is>
          <t>No</t>
        </is>
      </c>
      <c r="P45" s="14" t="inlineStr">
        <is>
          <t>STARBAZAARHYPERYBL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1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</row>
    <row r="46">
      <c r="A46" s="14" t="n">
        <v>45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NEFT-KKBKH26094919635-ATLAS COMMODITIES PRIVATE LI</t>
        </is>
      </c>
      <c r="H46" s="14" t="str"/>
      <c r="I46" s="14" t="inlineStr">
        <is>
          <t>Receipt</t>
        </is>
      </c>
      <c r="J46" s="39" t="n">
        <v>0</v>
      </c>
      <c r="K46" s="39" t="n">
        <v>7885</v>
      </c>
      <c r="L46" s="39" t="n">
        <v>7885</v>
      </c>
      <c r="M46" s="39" t="n">
        <v>40434.37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ATLAS COMMODITIES PRIVATE LI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</row>
    <row r="47">
      <c r="A47" s="14" t="n">
        <v>46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IMPS/P2A/609418057716/PRASAD ROADS AN/JigeeshaICI</t>
        </is>
      </c>
      <c r="H47" s="14" t="str"/>
      <c r="I47" s="14" t="inlineStr">
        <is>
          <t>Receipt</t>
        </is>
      </c>
      <c r="J47" s="39" t="n">
        <v>0</v>
      </c>
      <c r="K47" s="39" t="n">
        <v>81396</v>
      </c>
      <c r="L47" s="39" t="n">
        <v>81396</v>
      </c>
      <c r="M47" s="39" t="n">
        <v>121830.37</v>
      </c>
      <c r="N47" s="14" t="inlineStr">
        <is>
          <t>Other</t>
        </is>
      </c>
      <c r="O47" s="14" t="inlineStr">
        <is>
          <t>No</t>
        </is>
      </c>
      <c r="P47" s="14" t="inlineStr">
        <is>
          <t>PRASAD ROADS AN</t>
        </is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</row>
    <row r="48">
      <c r="A48" s="14" t="n">
        <v>47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EBANK:WIB/1502 EBANK:WIB/1502545632/Edfs</t>
        </is>
      </c>
      <c r="H48" s="14" t="str"/>
      <c r="I48" s="14" t="inlineStr">
        <is>
          <t>Payment</t>
        </is>
      </c>
      <c r="J48" s="39" t="n">
        <v>120330.37</v>
      </c>
      <c r="K48" s="39" t="n">
        <v>0</v>
      </c>
      <c r="L48" s="39" t="n">
        <v>120330.37</v>
      </c>
      <c r="M48" s="39" t="n">
        <v>1500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</row>
    <row r="49">
      <c r="A49" s="14" t="n">
        <v>48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NEFT-HDFCH00911243518-KAVITA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81396</v>
      </c>
      <c r="L49" s="39" t="n">
        <v>81396</v>
      </c>
      <c r="M49" s="39" t="n">
        <v>82896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</row>
    <row r="50">
      <c r="A50" s="14" t="n">
        <v>49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46117</v>
      </c>
      <c r="F50" s="40" t="n">
        <v>46117</v>
      </c>
      <c r="G50" s="16" t="inlineStr">
        <is>
          <t>DIGITA-MUMBAI/ NEFT-YESAP60953903247-PhonePe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167015</v>
      </c>
      <c r="L50" s="39" t="n">
        <v>167015</v>
      </c>
      <c r="M50" s="39" t="n">
        <v>249911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46117</v>
      </c>
    </row>
    <row r="51">
      <c r="A51" s="14" t="n">
        <v>50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46117</v>
      </c>
      <c r="F51" s="40" t="n">
        <v>46117</v>
      </c>
      <c r="G51" s="16" t="inlineStr">
        <is>
          <t>DIGITA-MUMBAI/ NEFT-AXNPN09528140899-PHONEPE LIMITED-PAYMENT AGGR</t>
        </is>
      </c>
      <c r="H51" s="14" t="str"/>
      <c r="I51" s="14" t="inlineStr">
        <is>
          <t>Receipt</t>
        </is>
      </c>
      <c r="J51" s="39" t="n">
        <v>0</v>
      </c>
      <c r="K51" s="39" t="n">
        <v>67868.36</v>
      </c>
      <c r="L51" s="39" t="n">
        <v>67868.36</v>
      </c>
      <c r="M51" s="39" t="n">
        <v>317779.36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PHONEPE LIMITED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46117</v>
      </c>
    </row>
    <row r="52">
      <c r="A52" s="14" t="n">
        <v>51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46117</v>
      </c>
      <c r="F52" s="40" t="n">
        <v>46117</v>
      </c>
      <c r="G52" s="16" t="inlineStr">
        <is>
          <t>DIGITA-MUMBAI/ NEFT-AXISCN1301923332-ONE MOBIKWIK SYSTEMS LIMITED</t>
        </is>
      </c>
      <c r="H52" s="14" t="str"/>
      <c r="I52" s="14" t="inlineStr">
        <is>
          <t>Receipt</t>
        </is>
      </c>
      <c r="J52" s="39" t="n">
        <v>0</v>
      </c>
      <c r="K52" s="39" t="n">
        <v>28124</v>
      </c>
      <c r="L52" s="39" t="n">
        <v>28124</v>
      </c>
      <c r="M52" s="39" t="n">
        <v>345903.36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ONE MOBIKWIK SYSTEMS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46117</v>
      </c>
    </row>
    <row r="53">
      <c r="A53" s="14" t="n">
        <v>52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EBANK:WIB/1502 EBANK:WIB/1502577386/Edfs</t>
        </is>
      </c>
      <c r="H53" s="14" t="str"/>
      <c r="I53" s="14" t="inlineStr">
        <is>
          <t>Payment</t>
        </is>
      </c>
      <c r="J53" s="39" t="n">
        <v>300403.36</v>
      </c>
      <c r="K53" s="39" t="n">
        <v>0</v>
      </c>
      <c r="L53" s="39" t="n">
        <v>300403.36</v>
      </c>
      <c r="M53" s="39" t="n">
        <v>45500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</row>
    <row r="54">
      <c r="A54" s="14" t="n">
        <v>53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IMPS/P2A/609509137308/SHREE GANESH EN/diselVVS910</t>
        </is>
      </c>
      <c r="H54" s="14" t="str"/>
      <c r="I54" s="14" t="inlineStr">
        <is>
          <t>Receipt</t>
        </is>
      </c>
      <c r="J54" s="39" t="n">
        <v>0</v>
      </c>
      <c r="K54" s="39" t="n">
        <v>63308</v>
      </c>
      <c r="L54" s="39" t="n">
        <v>63308</v>
      </c>
      <c r="M54" s="39" t="n">
        <v>108808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SHREE GANESH EN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</row>
    <row r="55">
      <c r="A55" s="14" t="n">
        <v>54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NEFT-AXNPN09635263353-PHONEPE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58335.21</v>
      </c>
      <c r="L55" s="39" t="n">
        <v>58335.21</v>
      </c>
      <c r="M55" s="39" t="n">
        <v>167143.21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</row>
    <row r="56">
      <c r="A56" s="14" t="n">
        <v>55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NEFT-YESAP60964000643-PhonePe Limited</t>
        </is>
      </c>
      <c r="H56" s="14" t="str"/>
      <c r="I56" s="14" t="inlineStr">
        <is>
          <t>Receipt</t>
        </is>
      </c>
      <c r="J56" s="39" t="n">
        <v>0</v>
      </c>
      <c r="K56" s="39" t="n">
        <v>169456</v>
      </c>
      <c r="L56" s="39" t="n">
        <v>169456</v>
      </c>
      <c r="M56" s="39" t="n">
        <v>336599.21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PHONEPE LIMITED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</row>
    <row r="57">
      <c r="A57" s="14" t="n">
        <v>56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DIGITA-MUMBAI/ NEFT-AXISCN1302642509-ONE MOBIKWIK SYSTEMS LIMITED</t>
        </is>
      </c>
      <c r="H57" s="14" t="str"/>
      <c r="I57" s="14" t="inlineStr">
        <is>
          <t>Receipt</t>
        </is>
      </c>
      <c r="J57" s="39" t="n">
        <v>0</v>
      </c>
      <c r="K57" s="39" t="n">
        <v>31681</v>
      </c>
      <c r="L57" s="39" t="n">
        <v>31681</v>
      </c>
      <c r="M57" s="39" t="n">
        <v>368280.21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ONE MOBIKWIK SYSTEMS LIMITED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</row>
    <row r="58">
      <c r="A58" s="14" t="n">
        <v>57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EBANK:WIB/1502 EBANK:WIB/1502642025/Edfs</t>
        </is>
      </c>
      <c r="H58" s="14" t="str"/>
      <c r="I58" s="14" t="inlineStr">
        <is>
          <t>Payment</t>
        </is>
      </c>
      <c r="J58" s="39" t="n">
        <v>365780.21</v>
      </c>
      <c r="K58" s="39" t="n">
        <v>0</v>
      </c>
      <c r="L58" s="39" t="n">
        <v>365780.21</v>
      </c>
      <c r="M58" s="39" t="n">
        <v>2500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</row>
    <row r="59">
      <c r="A59" s="14" t="n">
        <v>58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NEFT-AXISCN1302721272-PINE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29516</v>
      </c>
      <c r="L59" s="39" t="n">
        <v>29516</v>
      </c>
      <c r="M59" s="39" t="n">
        <v>32016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</row>
    <row r="60">
      <c r="A60" s="14" t="n">
        <v>59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0" s="14" t="str"/>
      <c r="I60" s="14" t="inlineStr">
        <is>
          <t>Receipt</t>
        </is>
      </c>
      <c r="J60" s="39" t="n">
        <v>0</v>
      </c>
      <c r="K60" s="39" t="n">
        <v>100000</v>
      </c>
      <c r="L60" s="39" t="n">
        <v>100000</v>
      </c>
      <c r="M60" s="39" t="n">
        <v>132016</v>
      </c>
      <c r="N60" s="14" t="inlineStr">
        <is>
          <t>High Transaction; Recurring Transaction</t>
        </is>
      </c>
      <c r="O60" s="14" t="inlineStr">
        <is>
          <t>Yes</t>
        </is>
      </c>
      <c r="P60" s="14" t="inlineStr">
        <is>
          <t>PAGE TOTAL   CR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</row>
    <row r="61">
      <c r="A61" s="14" t="n">
        <v>60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DIGITA-MUMBAI/ NEFT-AXISCN1302925515-PINE LABS PRIVATE LIMITED-NO</t>
        </is>
      </c>
      <c r="H61" s="14" t="str"/>
      <c r="I61" s="14" t="inlineStr">
        <is>
          <t>Receipt</t>
        </is>
      </c>
      <c r="J61" s="39" t="n">
        <v>0</v>
      </c>
      <c r="K61" s="39" t="n">
        <v>14073</v>
      </c>
      <c r="L61" s="39" t="n">
        <v>14073</v>
      </c>
      <c r="M61" s="39" t="n">
        <v>146089</v>
      </c>
      <c r="N61" s="14" t="inlineStr">
        <is>
          <t>Recurring Transaction</t>
        </is>
      </c>
      <c r="O61" s="14" t="inlineStr">
        <is>
          <t>Yes</t>
        </is>
      </c>
      <c r="P61" s="14" t="inlineStr">
        <is>
          <t>PINE LABS PRIVATE LIMITED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</row>
    <row r="62">
      <c r="A62" s="14" t="n">
        <v>61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UPI/8321480914 48091426 UPI/832148091426/12:12:00/UPI/7507026281@axl/Paym</t>
        </is>
      </c>
      <c r="H62" s="14" t="str"/>
      <c r="I62" s="14" t="inlineStr">
        <is>
          <t>Receipt</t>
        </is>
      </c>
      <c r="J62" s="39" t="n">
        <v>0</v>
      </c>
      <c r="K62" s="39" t="n">
        <v>1000</v>
      </c>
      <c r="L62" s="39" t="n">
        <v>1000</v>
      </c>
      <c r="M62" s="39" t="n">
        <v>147089</v>
      </c>
      <c r="N62" s="14" t="inlineStr">
        <is>
          <t>UPI</t>
        </is>
      </c>
      <c r="O62" s="14" t="inlineStr">
        <is>
          <t>No</t>
        </is>
      </c>
      <c r="P62" s="14" t="inlineStr">
        <is>
          <t>UPI/# # UPI/#/#:#:#/UPI/#@AXL/PAYM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</row>
    <row r="63">
      <c r="A63" s="14" t="n">
        <v>62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>DIGITA-MUMBAI/ NEFT-HDFCH00913518284-CORPAK</t>
        </is>
      </c>
      <c r="H63" s="14" t="str"/>
      <c r="I63" s="14" t="inlineStr">
        <is>
          <t>Receipt</t>
        </is>
      </c>
      <c r="J63" s="39" t="n">
        <v>0</v>
      </c>
      <c r="K63" s="39" t="n">
        <v>38524</v>
      </c>
      <c r="L63" s="39" t="n">
        <v>38524</v>
      </c>
      <c r="M63" s="39" t="n">
        <v>185613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DIGITA-MUMBAI/ NEFT-HDFCH#-CORPAK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</row>
    <row r="64">
      <c r="A64" s="14" t="n">
        <v>63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NEFT-NKGSH26096901712-GEBI PRODUCTS PRIVATE LIMITE</t>
        </is>
      </c>
      <c r="H64" s="14" t="str"/>
      <c r="I64" s="14" t="inlineStr">
        <is>
          <t>Receipt</t>
        </is>
      </c>
      <c r="J64" s="39" t="n">
        <v>0</v>
      </c>
      <c r="K64" s="39" t="n">
        <v>15001</v>
      </c>
      <c r="L64" s="39" t="n">
        <v>15001</v>
      </c>
      <c r="M64" s="39" t="n">
        <v>200614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GEBI PRODUCTS PRIVATE LIMITE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</row>
    <row r="65">
      <c r="A65" s="14" t="n">
        <v>64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EBANK:WIB/1502 EBANK:WIB/1502790855/Edfs</t>
        </is>
      </c>
      <c r="H65" s="14" t="str"/>
      <c r="I65" s="14" t="inlineStr">
        <is>
          <t>Payment</t>
        </is>
      </c>
      <c r="J65" s="39" t="n">
        <v>198114</v>
      </c>
      <c r="K65" s="39" t="n">
        <v>0</v>
      </c>
      <c r="L65" s="39" t="n">
        <v>198114</v>
      </c>
      <c r="M65" s="39" t="n">
        <v>2500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EBANKWIB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</row>
    <row r="66">
      <c r="A66" s="14" t="n">
        <v>65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NEFT-HDFCH00915259780-MOHANJI BHARAT WELFARE FOUND</t>
        </is>
      </c>
      <c r="H66" s="14" t="str"/>
      <c r="I66" s="14" t="inlineStr">
        <is>
          <t>Receipt</t>
        </is>
      </c>
      <c r="J66" s="39" t="n">
        <v>0</v>
      </c>
      <c r="K66" s="39" t="n">
        <v>18448</v>
      </c>
      <c r="L66" s="39" t="n">
        <v>18448</v>
      </c>
      <c r="M66" s="39" t="n">
        <v>20948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MOHANJI BHARAT WELFARE FOUND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</row>
    <row r="67">
      <c r="A67" s="14" t="n">
        <v>66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DIGITA-MUMBAI/ NEFT-YESAP60974165954-PhonePe Limited</t>
        </is>
      </c>
      <c r="H67" s="14" t="str"/>
      <c r="I67" s="14" t="inlineStr">
        <is>
          <t>Receipt</t>
        </is>
      </c>
      <c r="J67" s="39" t="n">
        <v>0</v>
      </c>
      <c r="K67" s="39" t="n">
        <v>260044.42</v>
      </c>
      <c r="L67" s="39" t="n">
        <v>260044.42</v>
      </c>
      <c r="M67" s="39" t="n">
        <v>280992.42</v>
      </c>
      <c r="N67" s="14" t="inlineStr">
        <is>
          <t>High Transaction; Recurring Transaction</t>
        </is>
      </c>
      <c r="O67" s="14" t="inlineStr">
        <is>
          <t>Yes</t>
        </is>
      </c>
      <c r="P67" s="14" t="inlineStr">
        <is>
          <t>PHONEPE LIMITED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</row>
    <row r="68">
      <c r="A68" s="14" t="n">
        <v>67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NEFT-AXNPN09743969962-PHONEPE LIMITED-PAYMENT AGGR</t>
        </is>
      </c>
      <c r="H68" s="14" t="str"/>
      <c r="I68" s="14" t="inlineStr">
        <is>
          <t>Receipt</t>
        </is>
      </c>
      <c r="J68" s="39" t="n">
        <v>0</v>
      </c>
      <c r="K68" s="39" t="n">
        <v>55000.65</v>
      </c>
      <c r="L68" s="39" t="n">
        <v>55000.65</v>
      </c>
      <c r="M68" s="39" t="n">
        <v>335993.07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PHONEPE LIMITED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</row>
    <row r="69">
      <c r="A69" s="14" t="n">
        <v>68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EBANK:WIB/1502 EBANK:WIB/1502821939/Edfs</t>
        </is>
      </c>
      <c r="H69" s="14" t="str"/>
      <c r="I69" s="14" t="inlineStr">
        <is>
          <t>Payment</t>
        </is>
      </c>
      <c r="J69" s="39" t="n">
        <v>330493.07</v>
      </c>
      <c r="K69" s="39" t="n">
        <v>0</v>
      </c>
      <c r="L69" s="39" t="n">
        <v>330493.07</v>
      </c>
      <c r="M69" s="39" t="n">
        <v>5500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</row>
    <row r="70">
      <c r="A70" s="14" t="n">
        <v>69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UPI/8639137766 13776666 UPI/863913776666/06:48:44/UPI/surajdhanotra1@ibl/</t>
        </is>
      </c>
      <c r="H70" s="14" t="str"/>
      <c r="I70" s="14" t="inlineStr">
        <is>
          <t>Receipt</t>
        </is>
      </c>
      <c r="J70" s="39" t="n">
        <v>0</v>
      </c>
      <c r="K70" s="39" t="n">
        <v>9000</v>
      </c>
      <c r="L70" s="39" t="n">
        <v>9000</v>
      </c>
      <c r="M70" s="39" t="n">
        <v>14500</v>
      </c>
      <c r="N70" s="14" t="inlineStr">
        <is>
          <t>UPI; Recurring Transaction</t>
        </is>
      </c>
      <c r="O70" s="14" t="inlineStr">
        <is>
          <t>Yes</t>
        </is>
      </c>
      <c r="P70" s="14" t="inlineStr">
        <is>
          <t>SURAJDHANOTRAIBL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1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</row>
    <row r="71">
      <c r="A71" s="14" t="n">
        <v>70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NEFT-AXISCN1303901852-ONE MOBIKWIK SYSTEMS LIMITED</t>
        </is>
      </c>
      <c r="H71" s="14" t="str"/>
      <c r="I71" s="14" t="inlineStr">
        <is>
          <t>Receipt</t>
        </is>
      </c>
      <c r="J71" s="39" t="n">
        <v>0</v>
      </c>
      <c r="K71" s="39" t="n">
        <v>23072</v>
      </c>
      <c r="L71" s="39" t="n">
        <v>23072</v>
      </c>
      <c r="M71" s="39" t="n">
        <v>37572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ONE MOBIKWIK SYSTEMS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</row>
    <row r="72">
      <c r="A72" s="14" t="n">
        <v>71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NEFT-AXISCN1303985526-PINE LABS PRIVATE LIMITED-NO</t>
        </is>
      </c>
      <c r="H72" s="14" t="str"/>
      <c r="I72" s="14" t="inlineStr">
        <is>
          <t>Receipt</t>
        </is>
      </c>
      <c r="J72" s="39" t="n">
        <v>0</v>
      </c>
      <c r="K72" s="39" t="n">
        <v>25110</v>
      </c>
      <c r="L72" s="39" t="n">
        <v>25110</v>
      </c>
      <c r="M72" s="39" t="n">
        <v>62682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PINE LABS PRIVATE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</row>
    <row r="73">
      <c r="A73" s="14" t="n">
        <v>72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Charges for Charges for PORD Customer Payment :003566909942</t>
        </is>
      </c>
      <c r="H73" s="14" t="str"/>
      <c r="I73" s="14" t="inlineStr">
        <is>
          <t>Payment</t>
        </is>
      </c>
      <c r="J73" s="39" t="n">
        <v>2.65</v>
      </c>
      <c r="K73" s="39" t="n">
        <v>0</v>
      </c>
      <c r="L73" s="39" t="n">
        <v>2.65</v>
      </c>
      <c r="M73" s="39" t="n">
        <v>62679.35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CHARGES FOR CHARGES FOR PORD CUSTOMER PA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</row>
    <row r="74">
      <c r="A74" s="14" t="n">
        <v>73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NEFT-BARBT2609 NEFT-BARBT26097282981-PETROL DEALERS ASSOCIATION</t>
        </is>
      </c>
      <c r="H74" s="14" t="str"/>
      <c r="I74" s="14" t="inlineStr">
        <is>
          <t>Payment</t>
        </is>
      </c>
      <c r="J74" s="39" t="n">
        <v>4000</v>
      </c>
      <c r="K74" s="39" t="n">
        <v>0</v>
      </c>
      <c r="L74" s="39" t="n">
        <v>4000</v>
      </c>
      <c r="M74" s="39" t="n">
        <v>58679.35</v>
      </c>
      <c r="N74" s="14" t="inlineStr">
        <is>
          <t>Other</t>
        </is>
      </c>
      <c r="O74" s="14" t="inlineStr">
        <is>
          <t>No</t>
        </is>
      </c>
      <c r="P74" s="14" t="inlineStr">
        <is>
          <t>BARBT NEFT</t>
        </is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</row>
    <row r="75">
      <c r="A75" s="14" t="n">
        <v>74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NEFT-HDFCH00916196159-MARK LUBES PRIVATE LIMITED</t>
        </is>
      </c>
      <c r="H75" s="14" t="str"/>
      <c r="I75" s="14" t="inlineStr">
        <is>
          <t>Receipt</t>
        </is>
      </c>
      <c r="J75" s="39" t="n">
        <v>0</v>
      </c>
      <c r="K75" s="39" t="n">
        <v>3617</v>
      </c>
      <c r="L75" s="39" t="n">
        <v>3617</v>
      </c>
      <c r="M75" s="39" t="n">
        <v>62296.35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MARK LUBES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</row>
    <row r="76">
      <c r="A76" s="14" t="n">
        <v>75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6" s="14" t="str"/>
      <c r="I76" s="14" t="inlineStr">
        <is>
          <t>Receipt</t>
        </is>
      </c>
      <c r="J76" s="39" t="n">
        <v>0</v>
      </c>
      <c r="K76" s="39" t="n">
        <v>114500</v>
      </c>
      <c r="L76" s="39" t="n">
        <v>114500</v>
      </c>
      <c r="M76" s="39" t="n">
        <v>176796.35</v>
      </c>
      <c r="N76" s="14" t="inlineStr">
        <is>
          <t>Cash; High Transaction; Recurring Transaction</t>
        </is>
      </c>
      <c r="O76" s="14" t="inlineStr">
        <is>
          <t>Yes</t>
        </is>
      </c>
      <c r="P76" s="14" t="inlineStr">
        <is>
          <t>PAGE TOTAL   CR</t>
        </is>
      </c>
      <c r="Q76" s="14" t="n">
        <v>1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</row>
    <row r="77">
      <c r="A77" s="14" t="n">
        <v>76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WADPAL-WADA,MH 143 BOB DD EXECUTIVE ENG PWD JAWHAR-WADPAL</t>
        </is>
      </c>
      <c r="H77" s="14" t="str"/>
      <c r="I77" s="14" t="inlineStr">
        <is>
          <t>Payment</t>
        </is>
      </c>
      <c r="J77" s="39" t="n">
        <v>99037</v>
      </c>
      <c r="K77" s="39" t="n">
        <v>0</v>
      </c>
      <c r="L77" s="39" t="n">
        <v>99037</v>
      </c>
      <c r="M77" s="39" t="n">
        <v>77759.35000000001</v>
      </c>
      <c r="N77" s="14" t="inlineStr">
        <is>
          <t>Other</t>
        </is>
      </c>
      <c r="O77" s="14" t="inlineStr">
        <is>
          <t>No</t>
        </is>
      </c>
      <c r="P77" s="14" t="inlineStr">
        <is>
          <t>WADAMH  BOB DD EXECUTIVE ENG PWD JAWHAR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</row>
    <row r="78">
      <c r="A78" s="14" t="n">
        <v>77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UPI/6463233094 23309409 UPI/646323309409/14:08:53/UPI/gotarne.pratik@axl/</t>
        </is>
      </c>
      <c r="H78" s="14" t="str"/>
      <c r="I78" s="14" t="inlineStr">
        <is>
          <t>Payment</t>
        </is>
      </c>
      <c r="J78" s="39" t="n">
        <v>500</v>
      </c>
      <c r="K78" s="39" t="n">
        <v>0</v>
      </c>
      <c r="L78" s="39" t="n">
        <v>500</v>
      </c>
      <c r="M78" s="39" t="n">
        <v>77259.35000000001</v>
      </c>
      <c r="N78" s="14" t="inlineStr">
        <is>
          <t>UPI</t>
        </is>
      </c>
      <c r="O78" s="14" t="inlineStr">
        <is>
          <t>No</t>
        </is>
      </c>
      <c r="P78" s="14" t="inlineStr">
        <is>
          <t>GOTARNEPRATIKAXL</t>
        </is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1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</row>
    <row r="79">
      <c r="A79" s="14" t="n">
        <v>78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DIGITA-MUMBAI/ NEFT-KKBKH26097664663-ATLAS COMMODITIES PRIVATE LI</t>
        </is>
      </c>
      <c r="H79" s="14" t="str"/>
      <c r="I79" s="14" t="inlineStr">
        <is>
          <t>Receipt</t>
        </is>
      </c>
      <c r="J79" s="39" t="n">
        <v>0</v>
      </c>
      <c r="K79" s="39" t="n">
        <v>3405</v>
      </c>
      <c r="L79" s="39" t="n">
        <v>3405</v>
      </c>
      <c r="M79" s="39" t="n">
        <v>80664.35000000001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ATLAS COMMODITIES PRIVATE LI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</row>
    <row r="80">
      <c r="A80" s="14" t="n">
        <v>79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DIGITA-MUMBAI/ https://cbdrpt101.bankofbaroda.co.in:22000/finbranch/arjspmorph/INFENG/tran_rpt.jsp?... 04-05-2026 NEFT-NKGSH26097920270-GEBI PRODUCTS PRIVATE LIMITE</t>
        </is>
      </c>
      <c r="H80" s="14" t="str"/>
      <c r="I80" s="14" t="inlineStr">
        <is>
          <t>Receipt</t>
        </is>
      </c>
      <c r="J80" s="39" t="n">
        <v>0</v>
      </c>
      <c r="K80" s="39" t="n">
        <v>2618</v>
      </c>
      <c r="L80" s="39" t="n">
        <v>2618</v>
      </c>
      <c r="M80" s="39" t="n">
        <v>83282.35000000001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CBDRPTBANKOFBARODACOIN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</row>
    <row r="81">
      <c r="A81" s="14" t="n">
        <v>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DIGITA-MUMBAI/ NEFT-HDFCH00917822677-SL CORBOX PRIVATE LIMITED</t>
        </is>
      </c>
      <c r="H81" s="14" t="str"/>
      <c r="I81" s="14" t="inlineStr">
        <is>
          <t>Receipt</t>
        </is>
      </c>
      <c r="J81" s="39" t="n">
        <v>0</v>
      </c>
      <c r="K81" s="39" t="n">
        <v>56800</v>
      </c>
      <c r="L81" s="39" t="n">
        <v>56800</v>
      </c>
      <c r="M81" s="39" t="n">
        <v>140082.35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SL CORBOX PRIVATE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</row>
    <row r="82">
      <c r="A82" s="14" t="n">
        <v>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EBANK:WIB/1502 EBANK:WIB/1502986421/Edfs</t>
        </is>
      </c>
      <c r="H82" s="14" t="str"/>
      <c r="I82" s="14" t="inlineStr">
        <is>
          <t>Payment</t>
        </is>
      </c>
      <c r="J82" s="39" t="n">
        <v>137582.35</v>
      </c>
      <c r="K82" s="39" t="n">
        <v>0</v>
      </c>
      <c r="L82" s="39" t="n">
        <v>137582.35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</row>
    <row r="83">
      <c r="A83" s="14" t="n">
        <v>82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NEFT-IN42609750724469-VINAYAK OIL INDUSTRIES</t>
        </is>
      </c>
      <c r="H83" s="14" t="str"/>
      <c r="I83" s="14" t="inlineStr">
        <is>
          <t>Receipt</t>
        </is>
      </c>
      <c r="J83" s="39" t="n">
        <v>0</v>
      </c>
      <c r="K83" s="39" t="n">
        <v>37413</v>
      </c>
      <c r="L83" s="39" t="n">
        <v>37413</v>
      </c>
      <c r="M83" s="39" t="n">
        <v>39913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VINAYAK OIL INDUSTRIES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</row>
    <row r="84">
      <c r="A84" s="14" t="n">
        <v>83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46120</v>
      </c>
      <c r="F84" s="40" t="n">
        <v>46120</v>
      </c>
      <c r="G84" s="16" t="inlineStr">
        <is>
          <t>DIGITA-MUMBAI/ NEFT-YESAP60983679319-PhonePe Limited</t>
        </is>
      </c>
      <c r="H84" s="14" t="str"/>
      <c r="I84" s="14" t="inlineStr">
        <is>
          <t>Receipt</t>
        </is>
      </c>
      <c r="J84" s="39" t="n">
        <v>0</v>
      </c>
      <c r="K84" s="39" t="n">
        <v>243684</v>
      </c>
      <c r="L84" s="39" t="n">
        <v>243684</v>
      </c>
      <c r="M84" s="39" t="n">
        <v>283597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46120</v>
      </c>
    </row>
    <row r="85">
      <c r="A85" s="14" t="n">
        <v>84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46120</v>
      </c>
      <c r="F85" s="40" t="n">
        <v>46120</v>
      </c>
      <c r="G85" s="16" t="inlineStr">
        <is>
          <t>UPI/6464912624 91262434 UPI/646491262434/06:48:01/UPI/9822321566@centralb</t>
        </is>
      </c>
      <c r="H85" s="14" t="str"/>
      <c r="I85" s="14" t="inlineStr">
        <is>
          <t>Payment</t>
        </is>
      </c>
      <c r="J85" s="39" t="n">
        <v>37085</v>
      </c>
      <c r="K85" s="39" t="n">
        <v>0</v>
      </c>
      <c r="L85" s="39" t="n">
        <v>37085</v>
      </c>
      <c r="M85" s="39" t="n">
        <v>246512</v>
      </c>
      <c r="N85" s="14" t="inlineStr">
        <is>
          <t>UPI</t>
        </is>
      </c>
      <c r="O85" s="14" t="inlineStr">
        <is>
          <t>No</t>
        </is>
      </c>
      <c r="P85" s="14" t="inlineStr">
        <is>
          <t>CENTRALB</t>
        </is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46120</v>
      </c>
    </row>
    <row r="86">
      <c r="A86" s="14" t="n">
        <v>85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46120</v>
      </c>
      <c r="F86" s="40" t="n">
        <v>46120</v>
      </c>
      <c r="G86" s="16" t="inlineStr">
        <is>
          <t>DIGITA-MUMBAI/ NEFT-AXNPN09852795681-PHONEPE LIMITED-PAYMENT AGGR</t>
        </is>
      </c>
      <c r="H86" s="14" t="str"/>
      <c r="I86" s="14" t="inlineStr">
        <is>
          <t>Receipt</t>
        </is>
      </c>
      <c r="J86" s="39" t="n">
        <v>0</v>
      </c>
      <c r="K86" s="39" t="n">
        <v>47737</v>
      </c>
      <c r="L86" s="39" t="n">
        <v>47737</v>
      </c>
      <c r="M86" s="39" t="n">
        <v>294249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PHONEPE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46120</v>
      </c>
    </row>
    <row r="87">
      <c r="A87" s="14" t="n">
        <v>86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Chg Cash Chg Cash handling for:30-03-2026</t>
        </is>
      </c>
      <c r="H87" s="14" t="str"/>
      <c r="I87" s="14" t="inlineStr">
        <is>
          <t>Payment</t>
        </is>
      </c>
      <c r="J87" s="39" t="n">
        <v>24</v>
      </c>
      <c r="K87" s="39" t="n">
        <v>0</v>
      </c>
      <c r="L87" s="39" t="n">
        <v>24</v>
      </c>
      <c r="M87" s="39" t="n">
        <v>294225</v>
      </c>
      <c r="N87" s="14" t="inlineStr">
        <is>
          <t>Cash</t>
        </is>
      </c>
      <c r="O87" s="14" t="inlineStr">
        <is>
          <t>No</t>
        </is>
      </c>
      <c r="P87" s="14" t="inlineStr">
        <is>
          <t>CHG CASH CHG CASH HANDLING FOR</t>
        </is>
      </c>
      <c r="Q87" s="14" t="n">
        <v>1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</row>
    <row r="88">
      <c r="A88" s="14" t="n">
        <v>87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DIGITA-MUMBAI/ NEFT-AXISCN1305078531-ONE MOBIKWIK SYSTEMS LIMITED</t>
        </is>
      </c>
      <c r="H88" s="14" t="str"/>
      <c r="I88" s="14" t="inlineStr">
        <is>
          <t>Receipt</t>
        </is>
      </c>
      <c r="J88" s="39" t="n">
        <v>0</v>
      </c>
      <c r="K88" s="39" t="n">
        <v>13338</v>
      </c>
      <c r="L88" s="39" t="n">
        <v>13338</v>
      </c>
      <c r="M88" s="39" t="n">
        <v>307563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ONE MOBIKWIK SYSTEMS LIMITED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</row>
    <row r="89">
      <c r="A89" s="14" t="n">
        <v>88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NEFT-AXISCN1305183876-PINE LABS PRIVATE LIMITED-NO</t>
        </is>
      </c>
      <c r="H89" s="14" t="str"/>
      <c r="I89" s="14" t="inlineStr">
        <is>
          <t>Receipt</t>
        </is>
      </c>
      <c r="J89" s="39" t="n">
        <v>0</v>
      </c>
      <c r="K89" s="39" t="n">
        <v>76050</v>
      </c>
      <c r="L89" s="39" t="n">
        <v>76050</v>
      </c>
      <c r="M89" s="39" t="n">
        <v>383613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PINE LABS PRIVATE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</row>
    <row r="90">
      <c r="A90" s="14" t="n">
        <v>89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EBANK:WIB/1503 EBANK:WIB/1503050809/Edfs</t>
        </is>
      </c>
      <c r="H90" s="14" t="str"/>
      <c r="I90" s="14" t="inlineStr">
        <is>
          <t>Payment</t>
        </is>
      </c>
      <c r="J90" s="39" t="n">
        <v>381113</v>
      </c>
      <c r="K90" s="39" t="n">
        <v>0</v>
      </c>
      <c r="L90" s="39" t="n">
        <v>381113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</row>
    <row r="91">
      <c r="A91" s="14" t="n">
        <v>90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IMPS/P2A/609812907682/OMSANITRANSPORT/Diesel Bill</t>
        </is>
      </c>
      <c r="H91" s="14" t="str"/>
      <c r="I91" s="14" t="inlineStr">
        <is>
          <t>Receipt</t>
        </is>
      </c>
      <c r="J91" s="39" t="n">
        <v>0</v>
      </c>
      <c r="K91" s="39" t="n">
        <v>40356</v>
      </c>
      <c r="L91" s="39" t="n">
        <v>40356</v>
      </c>
      <c r="M91" s="39" t="n">
        <v>42856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OMSANITRANSPORT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</row>
    <row r="92">
      <c r="A92" s="14" t="n">
        <v>91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2" s="14" t="str"/>
      <c r="I92" s="14" t="inlineStr">
        <is>
          <t>Receipt</t>
        </is>
      </c>
      <c r="J92" s="39" t="n">
        <v>0</v>
      </c>
      <c r="K92" s="39" t="n">
        <v>1906</v>
      </c>
      <c r="L92" s="39" t="n">
        <v>1906</v>
      </c>
      <c r="M92" s="39" t="n">
        <v>44762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PAGE TOTAL   CR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</row>
    <row r="93">
      <c r="A93" s="14" t="n">
        <v>92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DIGITA-MUMBAI/ NEFT-IDIBH09837346562-JAI AMBE TRANSPORT</t>
        </is>
      </c>
      <c r="H93" s="14" t="str"/>
      <c r="I93" s="14" t="inlineStr">
        <is>
          <t>Receipt</t>
        </is>
      </c>
      <c r="J93" s="39" t="n">
        <v>0</v>
      </c>
      <c r="K93" s="39" t="n">
        <v>3050</v>
      </c>
      <c r="L93" s="39" t="n">
        <v>3050</v>
      </c>
      <c r="M93" s="39" t="n">
        <v>47812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JAI AMBE TRANSPORT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</row>
    <row r="94">
      <c r="A94" s="14" t="n">
        <v>93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IMPS/P2A/609818576145/SHREE GANESH EN/diselVVS910</t>
        </is>
      </c>
      <c r="H94" s="14" t="str"/>
      <c r="I94" s="14" t="inlineStr">
        <is>
          <t>Receipt</t>
        </is>
      </c>
      <c r="J94" s="39" t="n">
        <v>0</v>
      </c>
      <c r="K94" s="39" t="n">
        <v>63308</v>
      </c>
      <c r="L94" s="39" t="n">
        <v>63308</v>
      </c>
      <c r="M94" s="39" t="n">
        <v>111120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SHREE GANESH EN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</row>
    <row r="95">
      <c r="A95" s="14" t="n">
        <v>94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EBANK:WIB/1503 EBANK:WIB/1503170712/Edfs</t>
        </is>
      </c>
      <c r="H95" s="14" t="str"/>
      <c r="I95" s="14" t="inlineStr">
        <is>
          <t>Payment</t>
        </is>
      </c>
      <c r="J95" s="39" t="n">
        <v>108620</v>
      </c>
      <c r="K95" s="39" t="n">
        <v>0</v>
      </c>
      <c r="L95" s="39" t="n">
        <v>108620</v>
      </c>
      <c r="M95" s="39" t="n">
        <v>2500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</row>
    <row r="96">
      <c r="A96" s="14" t="n">
        <v>95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46121</v>
      </c>
      <c r="F96" s="40" t="n">
        <v>46121</v>
      </c>
      <c r="G96" s="16" t="inlineStr">
        <is>
          <t>DIGITA-MUMBAI/ NEFT-YESAP60993677587-PhonePe Limited</t>
        </is>
      </c>
      <c r="H96" s="14" t="str"/>
      <c r="I96" s="14" t="inlineStr">
        <is>
          <t>Receipt</t>
        </is>
      </c>
      <c r="J96" s="39" t="n">
        <v>0</v>
      </c>
      <c r="K96" s="39" t="n">
        <v>170522</v>
      </c>
      <c r="L96" s="39" t="n">
        <v>170522</v>
      </c>
      <c r="M96" s="39" t="n">
        <v>173022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PHONEPE LIMITED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46121</v>
      </c>
    </row>
    <row r="97">
      <c r="A97" s="14" t="n">
        <v>96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46121</v>
      </c>
      <c r="F97" s="40" t="n">
        <v>46121</v>
      </c>
      <c r="G97" s="16" t="inlineStr">
        <is>
          <t>DIGITA-MUMBAI/ NEFT-AXNPN09961131765-PHONEPE LIMITED-PAYMENT AGGR</t>
        </is>
      </c>
      <c r="H97" s="14" t="str"/>
      <c r="I97" s="14" t="inlineStr">
        <is>
          <t>Receipt</t>
        </is>
      </c>
      <c r="J97" s="39" t="n">
        <v>0</v>
      </c>
      <c r="K97" s="39" t="n">
        <v>49090</v>
      </c>
      <c r="L97" s="39" t="n">
        <v>49090</v>
      </c>
      <c r="M97" s="39" t="n">
        <v>222112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PHONEPE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46121</v>
      </c>
    </row>
    <row r="98">
      <c r="A98" s="14" t="n">
        <v>97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46121</v>
      </c>
      <c r="F98" s="40" t="n">
        <v>46121</v>
      </c>
      <c r="G98" s="16" t="inlineStr">
        <is>
          <t>DIGITA-MUMBAI/ NEFT-AXISCN1306324510-ONE MOBIKWIK SYSTEMS LIMITED</t>
        </is>
      </c>
      <c r="H98" s="14" t="str"/>
      <c r="I98" s="14" t="inlineStr">
        <is>
          <t>Receipt</t>
        </is>
      </c>
      <c r="J98" s="39" t="n">
        <v>0</v>
      </c>
      <c r="K98" s="39" t="n">
        <v>15270</v>
      </c>
      <c r="L98" s="39" t="n">
        <v>15270</v>
      </c>
      <c r="M98" s="39" t="n">
        <v>237382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ONE MOBIKWIK SYSTEMS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46121</v>
      </c>
    </row>
    <row r="99">
      <c r="A99" s="14" t="n">
        <v>98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NEFT-AXISCN1306426056-PINE LABS PRIVATE LIMITED-NO</t>
        </is>
      </c>
      <c r="H99" s="14" t="str"/>
      <c r="I99" s="14" t="inlineStr">
        <is>
          <t>Receipt</t>
        </is>
      </c>
      <c r="J99" s="39" t="n">
        <v>0</v>
      </c>
      <c r="K99" s="39" t="n">
        <v>87897</v>
      </c>
      <c r="L99" s="39" t="n">
        <v>87897</v>
      </c>
      <c r="M99" s="39" t="n">
        <v>325279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PINE LABS PRIVATE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</row>
    <row r="100">
      <c r="A100" s="14" t="n">
        <v>99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NEFT-KKBKH26099766302-VENKTESHWAR INDUSTRIAL CORPO</t>
        </is>
      </c>
      <c r="H100" s="14" t="str"/>
      <c r="I100" s="14" t="inlineStr">
        <is>
          <t>Receipt</t>
        </is>
      </c>
      <c r="J100" s="39" t="n">
        <v>0</v>
      </c>
      <c r="K100" s="39" t="n">
        <v>10000</v>
      </c>
      <c r="L100" s="39" t="n">
        <v>10000</v>
      </c>
      <c r="M100" s="39" t="n">
        <v>335279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VENKTESHWAR INDUSTRIAL CORPO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</row>
    <row r="101">
      <c r="A101" s="14" t="n">
        <v>100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NEFT-NKGSH26099959094-GEBI PRODUCTS PRIVATE LIMITE</t>
        </is>
      </c>
      <c r="H101" s="14" t="str"/>
      <c r="I101" s="14" t="inlineStr">
        <is>
          <t>Receipt</t>
        </is>
      </c>
      <c r="J101" s="39" t="n">
        <v>0</v>
      </c>
      <c r="K101" s="39" t="n">
        <v>2598</v>
      </c>
      <c r="L101" s="39" t="n">
        <v>2598</v>
      </c>
      <c r="M101" s="39" t="n">
        <v>337877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GEBI PRODUCTS PRIVATE LIMITE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</row>
    <row r="102">
      <c r="A102" s="14" t="n">
        <v>101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IMPS/P2A/609918190676/VAKAS TEMPO SER/IMPSCNB9199</t>
        </is>
      </c>
      <c r="H102" s="14" t="str"/>
      <c r="I102" s="14" t="inlineStr">
        <is>
          <t>Receipt</t>
        </is>
      </c>
      <c r="J102" s="39" t="n">
        <v>0</v>
      </c>
      <c r="K102" s="39" t="n">
        <v>44741</v>
      </c>
      <c r="L102" s="39" t="n">
        <v>44741</v>
      </c>
      <c r="M102" s="39" t="n">
        <v>382618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VAKAS TEMPO SER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</row>
    <row r="103">
      <c r="A103" s="14" t="n">
        <v>102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EBANK:WIB/1503 EBANK:WIB/1503311707/Edfs</t>
        </is>
      </c>
      <c r="H103" s="14" t="str"/>
      <c r="I103" s="14" t="inlineStr">
        <is>
          <t>Payment</t>
        </is>
      </c>
      <c r="J103" s="39" t="n">
        <v>380118</v>
      </c>
      <c r="K103" s="39" t="n">
        <v>0</v>
      </c>
      <c r="L103" s="39" t="n">
        <v>380118</v>
      </c>
      <c r="M103" s="39" t="n">
        <v>2500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EBANKWIB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</row>
    <row r="104">
      <c r="A104" s="14" t="n">
        <v>103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https://cbdrpt101.bankofbaroda.co.in:22000/finbranch/arjspmorph/INFENG/tran_rpt.jsp?... 04-05-2026 NEFT-HDFCH00925247332-KAVITA ENTERPRISES</t>
        </is>
      </c>
      <c r="H104" s="14" t="str"/>
      <c r="I104" s="14" t="inlineStr">
        <is>
          <t>Receipt</t>
        </is>
      </c>
      <c r="J104" s="39" t="n">
        <v>0</v>
      </c>
      <c r="K104" s="39" t="n">
        <v>63308</v>
      </c>
      <c r="L104" s="39" t="n">
        <v>63308</v>
      </c>
      <c r="M104" s="39" t="n">
        <v>65808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CBDRPTBANKOFBARODACOIN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</row>
    <row r="105">
      <c r="A105" s="14" t="n">
        <v>104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46122</v>
      </c>
      <c r="F105" s="40" t="n">
        <v>46122</v>
      </c>
      <c r="G105" s="16" t="inlineStr">
        <is>
          <t>DIGITA-MUMBAI/ NEFT-YESAP61002547485-PhonePe Limited</t>
        </is>
      </c>
      <c r="H105" s="14" t="str"/>
      <c r="I105" s="14" t="inlineStr">
        <is>
          <t>Receipt</t>
        </is>
      </c>
      <c r="J105" s="39" t="n">
        <v>0</v>
      </c>
      <c r="K105" s="39" t="n">
        <v>310276</v>
      </c>
      <c r="L105" s="39" t="n">
        <v>310276</v>
      </c>
      <c r="M105" s="39" t="n">
        <v>376084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PHONEPE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46122</v>
      </c>
    </row>
    <row r="106">
      <c r="A106" s="14" t="n">
        <v>105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46122</v>
      </c>
      <c r="F106" s="40" t="n">
        <v>46122</v>
      </c>
      <c r="G106" s="16" t="inlineStr">
        <is>
          <t>DIGITA-MUMBAI/ NEFT-AXNPN10069579474-PHONEPE LIMITED-PAYMENT AGGR</t>
        </is>
      </c>
      <c r="H106" s="14" t="str"/>
      <c r="I106" s="14" t="inlineStr">
        <is>
          <t>Receipt</t>
        </is>
      </c>
      <c r="J106" s="39" t="n">
        <v>0</v>
      </c>
      <c r="K106" s="39" t="n">
        <v>59415</v>
      </c>
      <c r="L106" s="39" t="n">
        <v>59415</v>
      </c>
      <c r="M106" s="39" t="n">
        <v>435499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PHONEPE LIMITED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46122</v>
      </c>
    </row>
    <row r="107">
      <c r="A107" s="14" t="n">
        <v>106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46122</v>
      </c>
      <c r="F107" s="40" t="n">
        <v>46122</v>
      </c>
      <c r="G107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07" s="14" t="str"/>
      <c r="I107" s="14" t="inlineStr">
        <is>
          <t>Payment</t>
        </is>
      </c>
      <c r="J107" s="39" t="n">
        <v>432999</v>
      </c>
      <c r="K107" s="39" t="n">
        <v>0</v>
      </c>
      <c r="L107" s="39" t="n">
        <v>432999</v>
      </c>
      <c r="M107" s="39" t="n">
        <v>2500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EBANKWIB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46122</v>
      </c>
    </row>
    <row r="108">
      <c r="A108" s="14" t="n">
        <v>107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NEFT-AXISCN1307461851-ONE MOBIKWIK SYSTEMS LIMITED</t>
        </is>
      </c>
      <c r="H108" s="14" t="str"/>
      <c r="I108" s="14" t="inlineStr">
        <is>
          <t>Receipt</t>
        </is>
      </c>
      <c r="J108" s="39" t="n">
        <v>0</v>
      </c>
      <c r="K108" s="39" t="n">
        <v>23400</v>
      </c>
      <c r="L108" s="39" t="n">
        <v>23400</v>
      </c>
      <c r="M108" s="39" t="n">
        <v>25900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ONE MOBIKWIK SYSTEMS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</row>
    <row r="109">
      <c r="A109" s="14" t="n">
        <v>108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UPI/7501693995 69399505 UPI/750169399505/08:58:54/UPI/surajdhanotra1@ibl/</t>
        </is>
      </c>
      <c r="H109" s="14" t="str"/>
      <c r="I109" s="14" t="inlineStr">
        <is>
          <t>Receipt</t>
        </is>
      </c>
      <c r="J109" s="39" t="n">
        <v>0</v>
      </c>
      <c r="K109" s="39" t="n">
        <v>3165</v>
      </c>
      <c r="L109" s="39" t="n">
        <v>3165</v>
      </c>
      <c r="M109" s="39" t="n">
        <v>29065</v>
      </c>
      <c r="N109" s="14" t="inlineStr">
        <is>
          <t>UPI; Recurring Transaction</t>
        </is>
      </c>
      <c r="O109" s="14" t="inlineStr">
        <is>
          <t>Yes</t>
        </is>
      </c>
      <c r="P109" s="14" t="inlineStr">
        <is>
          <t>SURAJDHANOTRAIBL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1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</row>
    <row r="110">
      <c r="A110" s="14" t="n">
        <v>109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DIGITA-MUMBAI/ NEFT-AXISCN1307585087-PINE LABS PRIVATE LIMITED-NO</t>
        </is>
      </c>
      <c r="H110" s="14" t="str"/>
      <c r="I110" s="14" t="inlineStr">
        <is>
          <t>Receipt</t>
        </is>
      </c>
      <c r="J110" s="39" t="n">
        <v>0</v>
      </c>
      <c r="K110" s="39" t="n">
        <v>23121</v>
      </c>
      <c r="L110" s="39" t="n">
        <v>23121</v>
      </c>
      <c r="M110" s="39" t="n">
        <v>52186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PINE LABS PRIVATE LIMITED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</row>
    <row r="111">
      <c r="A111" s="14" t="n">
        <v>110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EBANK:WIB/1503 EBANK:WIB/1503385381/Edfs</t>
        </is>
      </c>
      <c r="H111" s="14" t="str"/>
      <c r="I111" s="14" t="inlineStr">
        <is>
          <t>Payment</t>
        </is>
      </c>
      <c r="J111" s="39" t="n">
        <v>49686</v>
      </c>
      <c r="K111" s="39" t="n">
        <v>0</v>
      </c>
      <c r="L111" s="39" t="n">
        <v>49686</v>
      </c>
      <c r="M111" s="39" t="n">
        <v>2500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</row>
    <row r="112">
      <c r="A112" s="14" t="n">
        <v>111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DIGITA-MUMBAI/ NEFT-NKGSH26100973635-GEBI PRODUCTS PRIVATE LIMITE</t>
        </is>
      </c>
      <c r="H112" s="14" t="str"/>
      <c r="I112" s="14" t="inlineStr">
        <is>
          <t>Receipt</t>
        </is>
      </c>
      <c r="J112" s="39" t="n">
        <v>0</v>
      </c>
      <c r="K112" s="39" t="n">
        <v>5273</v>
      </c>
      <c r="L112" s="39" t="n">
        <v>5273</v>
      </c>
      <c r="M112" s="39" t="n">
        <v>7773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GEBI PRODUCTS PRIVATE LIMITE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</row>
    <row r="113">
      <c r="A113" s="14" t="n">
        <v>112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NEFT-KKBKH26100693248-ATLAS COMMODITIES PRIVATE LI</t>
        </is>
      </c>
      <c r="H113" s="14" t="str"/>
      <c r="I113" s="14" t="inlineStr">
        <is>
          <t>Receipt</t>
        </is>
      </c>
      <c r="J113" s="39" t="n">
        <v>0</v>
      </c>
      <c r="K113" s="39" t="n">
        <v>7922</v>
      </c>
      <c r="L113" s="39" t="n">
        <v>7922</v>
      </c>
      <c r="M113" s="39" t="n">
        <v>15695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ATLAS COMMODITIES PRIVATE LI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</row>
    <row r="114">
      <c r="A114" s="14" t="n">
        <v>113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UPI/6100342974 34297402 UPI/610034297402/20:16:31/UPI/917348832012@waaxis</t>
        </is>
      </c>
      <c r="H114" s="14" t="str"/>
      <c r="I114" s="14" t="inlineStr">
        <is>
          <t>Receipt</t>
        </is>
      </c>
      <c r="J114" s="39" t="n">
        <v>0</v>
      </c>
      <c r="K114" s="39" t="n">
        <v>220</v>
      </c>
      <c r="L114" s="39" t="n">
        <v>220</v>
      </c>
      <c r="M114" s="39" t="n">
        <v>15915</v>
      </c>
      <c r="N114" s="14" t="inlineStr">
        <is>
          <t>UPI</t>
        </is>
      </c>
      <c r="O114" s="14" t="inlineStr">
        <is>
          <t>No</t>
        </is>
      </c>
      <c r="P114" s="14" t="inlineStr">
        <is>
          <t>UPI/# # UPI/#/#:#:#/UPI/#@WAAXIS</t>
        </is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</row>
    <row r="115">
      <c r="A115" s="14" t="n">
        <v>114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DIGITA-MUMBAI/ NEFT-YESAP61011187841-PhonePe Limited</t>
        </is>
      </c>
      <c r="H115" s="14" t="str"/>
      <c r="I115" s="14" t="inlineStr">
        <is>
          <t>Receipt</t>
        </is>
      </c>
      <c r="J115" s="39" t="n">
        <v>0</v>
      </c>
      <c r="K115" s="39" t="n">
        <v>217794</v>
      </c>
      <c r="L115" s="39" t="n">
        <v>217794</v>
      </c>
      <c r="M115" s="39" t="n">
        <v>233709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PHONEPE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</row>
    <row r="116">
      <c r="A116" s="14" t="n">
        <v>115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DIGITA-MUMBAI/ IMPS/P2A/610106994638/VILLAGE STONE L/Diesel for</t>
        </is>
      </c>
      <c r="H116" s="14" t="str"/>
      <c r="I116" s="14" t="inlineStr">
        <is>
          <t>Receipt</t>
        </is>
      </c>
      <c r="J116" s="39" t="n">
        <v>0</v>
      </c>
      <c r="K116" s="39" t="n">
        <v>58786</v>
      </c>
      <c r="L116" s="39" t="n">
        <v>58786</v>
      </c>
      <c r="M116" s="39" t="n">
        <v>292495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VILLAGE STONE L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</row>
    <row r="117">
      <c r="A117" s="14" t="n">
        <v>116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DIGITA-MUMBAI/ NEFT-AXNPN10178417072-PHONEPE LIMITED-PAYMENT AGGR</t>
        </is>
      </c>
      <c r="H117" s="14" t="str"/>
      <c r="I117" s="14" t="inlineStr">
        <is>
          <t>Receipt</t>
        </is>
      </c>
      <c r="J117" s="39" t="n">
        <v>0</v>
      </c>
      <c r="K117" s="39" t="n">
        <v>66738</v>
      </c>
      <c r="L117" s="39" t="n">
        <v>66738</v>
      </c>
      <c r="M117" s="39" t="n">
        <v>359233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PHONEPE LIMITED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</row>
    <row r="118">
      <c r="A118" s="14" t="n">
        <v>117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NEFT-AXISCN1308590377-ONE MOBIKWIK SYSTEMS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28720</v>
      </c>
      <c r="L118" s="39" t="n">
        <v>28720</v>
      </c>
      <c r="M118" s="39" t="n">
        <v>387953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ONE MOBIKWIK SYSTEMS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</row>
    <row r="119">
      <c r="A119" s="14" t="n">
        <v>118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NEFT-AXISCN1308614930-PINE LABS PRIVATE LIMITED-NO</t>
        </is>
      </c>
      <c r="H119" s="14" t="str"/>
      <c r="I119" s="14" t="inlineStr">
        <is>
          <t>Receipt</t>
        </is>
      </c>
      <c r="J119" s="39" t="n">
        <v>0</v>
      </c>
      <c r="K119" s="39" t="n">
        <v>92275</v>
      </c>
      <c r="L119" s="39" t="n">
        <v>92275</v>
      </c>
      <c r="M119" s="39" t="n">
        <v>480228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PINE LABS PRIVATE LIMITED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</row>
    <row r="120">
      <c r="A120" s="14" t="n">
        <v>119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IMPS/P2A/610111544975/OMSANITRANSPORT/Diesel bill</t>
        </is>
      </c>
      <c r="H120" s="14" t="str"/>
      <c r="I120" s="14" t="inlineStr">
        <is>
          <t>Receipt</t>
        </is>
      </c>
      <c r="J120" s="39" t="n">
        <v>0</v>
      </c>
      <c r="K120" s="39" t="n">
        <v>25996</v>
      </c>
      <c r="L120" s="39" t="n">
        <v>25996</v>
      </c>
      <c r="M120" s="39" t="n">
        <v>506224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OMSANITRANSPORT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</row>
    <row r="121">
      <c r="A121" s="14" t="n">
        <v>120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EBANK:15035434 EBANK:1503543462/MSEDCL-LT Post Paid Energy Bill/</t>
        </is>
      </c>
      <c r="H121" s="14" t="str"/>
      <c r="I121" s="14" t="inlineStr">
        <is>
          <t>Payment</t>
        </is>
      </c>
      <c r="J121" s="39" t="n">
        <v>28890</v>
      </c>
      <c r="K121" s="39" t="n">
        <v>0</v>
      </c>
      <c r="L121" s="39" t="n">
        <v>28890</v>
      </c>
      <c r="M121" s="39" t="n">
        <v>477334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EBANK EBANK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</row>
    <row r="122">
      <c r="A122" s="14" t="n">
        <v>121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EBANK:15035448 EBANK:1503544838/MSEDCL-LT Post Paid Energy Bill/</t>
        </is>
      </c>
      <c r="H122" s="14" t="str"/>
      <c r="I122" s="14" t="inlineStr">
        <is>
          <t>Payment</t>
        </is>
      </c>
      <c r="J122" s="39" t="n">
        <v>390</v>
      </c>
      <c r="K122" s="39" t="n">
        <v>0</v>
      </c>
      <c r="L122" s="39" t="n">
        <v>390</v>
      </c>
      <c r="M122" s="39" t="n">
        <v>476944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EBANK EBANK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</row>
    <row r="123">
      <c r="A123" s="14" t="n">
        <v>122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3" s="14" t="str"/>
      <c r="I123" s="14" t="inlineStr">
        <is>
          <t>Payment</t>
        </is>
      </c>
      <c r="J123" s="39" t="n">
        <v>3050</v>
      </c>
      <c r="K123" s="39" t="n">
        <v>0</v>
      </c>
      <c r="L123" s="39" t="n">
        <v>3050</v>
      </c>
      <c r="M123" s="39" t="n">
        <v>473894</v>
      </c>
      <c r="N123" s="14" t="inlineStr">
        <is>
          <t>Other</t>
        </is>
      </c>
      <c r="O123" s="14" t="inlineStr">
        <is>
          <t>No</t>
        </is>
      </c>
      <c r="P123" s="14" t="inlineStr">
        <is>
          <t>PAGE TOTAL   CR</t>
        </is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</row>
    <row r="124">
      <c r="A124" s="14" t="n">
        <v>123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MBK/6101209159 20915913 MBK/610120915913/11:38:06/</t>
        </is>
      </c>
      <c r="H124" s="14" t="str"/>
      <c r="I124" s="14" t="inlineStr">
        <is>
          <t>Payment</t>
        </is>
      </c>
      <c r="J124" s="39" t="n">
        <v>2510</v>
      </c>
      <c r="K124" s="39" t="n">
        <v>0</v>
      </c>
      <c r="L124" s="39" t="n">
        <v>2510</v>
      </c>
      <c r="M124" s="39" t="n">
        <v>471384</v>
      </c>
      <c r="N124" s="14" t="inlineStr">
        <is>
          <t>Other</t>
        </is>
      </c>
      <c r="O124" s="14" t="inlineStr">
        <is>
          <t>No</t>
        </is>
      </c>
      <c r="P124" s="14" t="inlineStr">
        <is>
          <t>MBK/# # MBK/#/#:#:#/</t>
        </is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</row>
    <row r="125">
      <c r="A125" s="14" t="n">
        <v>124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Charges for Charges for PORD Customer Payment :003578211236</t>
        </is>
      </c>
      <c r="H125" s="14" t="str"/>
      <c r="I125" s="14" t="inlineStr">
        <is>
          <t>Payment</t>
        </is>
      </c>
      <c r="J125" s="39" t="n">
        <v>2.65</v>
      </c>
      <c r="K125" s="39" t="n">
        <v>0</v>
      </c>
      <c r="L125" s="39" t="n">
        <v>2.65</v>
      </c>
      <c r="M125" s="39" t="n">
        <v>471381.35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CHARGES FOR CHARGES FOR PORD CUSTOMER PA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</row>
    <row r="126">
      <c r="A126" s="14" t="n">
        <v>125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NEFT-BARBS2610 NEFT-BARBS26101208027-K M SATISH-INDUSIND BANK LTD</t>
        </is>
      </c>
      <c r="H126" s="14" t="str"/>
      <c r="I126" s="14" t="inlineStr">
        <is>
          <t>Payment</t>
        </is>
      </c>
      <c r="J126" s="39" t="n">
        <v>8334</v>
      </c>
      <c r="K126" s="39" t="n">
        <v>0</v>
      </c>
      <c r="L126" s="39" t="n">
        <v>8334</v>
      </c>
      <c r="M126" s="39" t="n">
        <v>463047.35</v>
      </c>
      <c r="N126" s="14" t="inlineStr">
        <is>
          <t>Recurring Transaction</t>
        </is>
      </c>
      <c r="O126" s="14" t="inlineStr">
        <is>
          <t>Yes</t>
        </is>
      </c>
      <c r="P126" s="14" t="inlineStr">
        <is>
          <t>BARBS NEFT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</row>
    <row r="127">
      <c r="A127" s="14" t="n">
        <v>126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Charges for Charges for PORD Customer Payment :003578211551</t>
        </is>
      </c>
      <c r="H127" s="14" t="str"/>
      <c r="I127" s="14" t="inlineStr">
        <is>
          <t>Payment</t>
        </is>
      </c>
      <c r="J127" s="39" t="n">
        <v>5.6</v>
      </c>
      <c r="K127" s="39" t="n">
        <v>0</v>
      </c>
      <c r="L127" s="39" t="n">
        <v>5.6</v>
      </c>
      <c r="M127" s="39" t="n">
        <v>463041.75</v>
      </c>
      <c r="N127" s="14" t="inlineStr">
        <is>
          <t>Recurring Transaction</t>
        </is>
      </c>
      <c r="O127" s="14" t="inlineStr">
        <is>
          <t>Yes</t>
        </is>
      </c>
      <c r="P127" s="14" t="inlineStr">
        <is>
          <t>CHARGES FOR CHARGES FOR PORD CUSTOMER PA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</row>
    <row r="128">
      <c r="A128" s="14" t="n">
        <v>127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NEFT-BARBS2610 NEFT-BARBS26101208233-AKASH C SHELAR-BASSEIN CATHO</t>
        </is>
      </c>
      <c r="H128" s="14" t="str"/>
      <c r="I128" s="14" t="inlineStr">
        <is>
          <t>Payment</t>
        </is>
      </c>
      <c r="J128" s="39" t="n">
        <v>16015</v>
      </c>
      <c r="K128" s="39" t="n">
        <v>0</v>
      </c>
      <c r="L128" s="39" t="n">
        <v>16015</v>
      </c>
      <c r="M128" s="39" t="n">
        <v>447026.75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BARBS NEFT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</row>
    <row r="129">
      <c r="A129" s="14" t="n">
        <v>128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Charges for Charges for PORD Customer Payment :003578211732</t>
        </is>
      </c>
      <c r="H129" s="14" t="str"/>
      <c r="I129" s="14" t="inlineStr">
        <is>
          <t>Payment</t>
        </is>
      </c>
      <c r="J129" s="39" t="n">
        <v>5.6</v>
      </c>
      <c r="K129" s="39" t="n">
        <v>0</v>
      </c>
      <c r="L129" s="39" t="n">
        <v>5.6</v>
      </c>
      <c r="M129" s="39" t="n">
        <v>447021.15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CHARGES FOR CHARGES FOR PORD CUSTOMER PA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</row>
    <row r="130">
      <c r="A130" s="14" t="n">
        <v>129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NEFT-BARBS2610 NEFT-BARBS26101208696-MOHAMMOD TAUSIF-BASSEIN CATH</t>
        </is>
      </c>
      <c r="H130" s="14" t="str"/>
      <c r="I130" s="14" t="inlineStr">
        <is>
          <t>Payment</t>
        </is>
      </c>
      <c r="J130" s="39" t="n">
        <v>12121</v>
      </c>
      <c r="K130" s="39" t="n">
        <v>0</v>
      </c>
      <c r="L130" s="39" t="n">
        <v>12121</v>
      </c>
      <c r="M130" s="39" t="n">
        <v>434900.15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BARBS NEFT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</row>
    <row r="131">
      <c r="A131" s="14" t="n">
        <v>130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Charges for Charges for PORD Customer Payment :003578213822</t>
        </is>
      </c>
      <c r="H131" s="14" t="str"/>
      <c r="I131" s="14" t="inlineStr">
        <is>
          <t>Payment</t>
        </is>
      </c>
      <c r="J131" s="39" t="n">
        <v>5.6</v>
      </c>
      <c r="K131" s="39" t="n">
        <v>0</v>
      </c>
      <c r="L131" s="39" t="n">
        <v>5.6</v>
      </c>
      <c r="M131" s="39" t="n">
        <v>434894.55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CHARGES FOR CHARGES FOR PORD CUSTOMER PA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</row>
    <row r="132">
      <c r="A132" s="14" t="n">
        <v>131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NEFT-BARBS2610 NEFT-BARBS26101210180-BRIJESH VIPATI KUMAR-BANK OF</t>
        </is>
      </c>
      <c r="H132" s="14" t="str"/>
      <c r="I132" s="14" t="inlineStr">
        <is>
          <t>Payment</t>
        </is>
      </c>
      <c r="J132" s="39" t="n">
        <v>12121</v>
      </c>
      <c r="K132" s="39" t="n">
        <v>0</v>
      </c>
      <c r="L132" s="39" t="n">
        <v>12121</v>
      </c>
      <c r="M132" s="39" t="n">
        <v>422773.55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BARBS NEFT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</row>
    <row r="133">
      <c r="A133" s="14" t="n">
        <v>132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Charges for Charges for PORD Customer Payment :003578219698</t>
        </is>
      </c>
      <c r="H133" s="14" t="str"/>
      <c r="I133" s="14" t="inlineStr">
        <is>
          <t>Payment</t>
        </is>
      </c>
      <c r="J133" s="39" t="n">
        <v>5.6</v>
      </c>
      <c r="K133" s="39" t="n">
        <v>0</v>
      </c>
      <c r="L133" s="39" t="n">
        <v>5.6</v>
      </c>
      <c r="M133" s="39" t="n">
        <v>422767.95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CHARGES FOR CHARGES FOR PORD CUSTOMER PA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</row>
    <row r="134">
      <c r="A134" s="14" t="n">
        <v>133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NEFT-BARBS2610 NEFT-BARBS26101211344-PRAVINKUMAR RAMDHULLAR-BASSE</t>
        </is>
      </c>
      <c r="H134" s="14" t="str"/>
      <c r="I134" s="14" t="inlineStr">
        <is>
          <t>Payment</t>
        </is>
      </c>
      <c r="J134" s="39" t="n">
        <v>12121</v>
      </c>
      <c r="K134" s="39" t="n">
        <v>0</v>
      </c>
      <c r="L134" s="39" t="n">
        <v>12121</v>
      </c>
      <c r="M134" s="39" t="n">
        <v>410646.95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BARBS NEFT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</row>
    <row r="135">
      <c r="A135" s="14" t="n">
        <v>134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Charges for Charges for PORD Customer Payment :003578224246</t>
        </is>
      </c>
      <c r="H135" s="14" t="str"/>
      <c r="I135" s="14" t="inlineStr">
        <is>
          <t>Payment</t>
        </is>
      </c>
      <c r="J135" s="39" t="n">
        <v>5.6</v>
      </c>
      <c r="K135" s="39" t="n">
        <v>0</v>
      </c>
      <c r="L135" s="39" t="n">
        <v>5.6</v>
      </c>
      <c r="M135" s="39" t="n">
        <v>410641.35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CHARGES FOR CHARGES FOR PORD CUSTOMER PA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</row>
    <row r="136">
      <c r="A136" s="14" t="n">
        <v>135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NEFT-BARBS2610 NEFT-BARBS26101225998-GOVIND KUMAR JAISWAL-UNION B</t>
        </is>
      </c>
      <c r="H136" s="14" t="str"/>
      <c r="I136" s="14" t="inlineStr">
        <is>
          <t>Payment</t>
        </is>
      </c>
      <c r="J136" s="39" t="n">
        <v>12121</v>
      </c>
      <c r="K136" s="39" t="n">
        <v>0</v>
      </c>
      <c r="L136" s="39" t="n">
        <v>12121</v>
      </c>
      <c r="M136" s="39" t="n">
        <v>398520.35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BARBS NEFT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</row>
    <row r="137">
      <c r="A137" s="14" t="n">
        <v>136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Charges for Charges for PORD Customer Payment :003578239489</t>
        </is>
      </c>
      <c r="H137" s="14" t="str"/>
      <c r="I137" s="14" t="inlineStr">
        <is>
          <t>Payment</t>
        </is>
      </c>
      <c r="J137" s="39" t="n">
        <v>5.6</v>
      </c>
      <c r="K137" s="39" t="n">
        <v>0</v>
      </c>
      <c r="L137" s="39" t="n">
        <v>5.6</v>
      </c>
      <c r="M137" s="39" t="n">
        <v>398514.75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CHARGES FOR CHARGES FOR PORD CUSTOMER PA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</row>
    <row r="138">
      <c r="A138" s="14" t="n">
        <v>137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NEFT-BARBS2610 NEFT-BARBS26101235271-RAJMANI PP-UNION BANK OF IND</t>
        </is>
      </c>
      <c r="H138" s="14" t="str"/>
      <c r="I138" s="14" t="inlineStr">
        <is>
          <t>Payment</t>
        </is>
      </c>
      <c r="J138" s="39" t="n">
        <v>12121</v>
      </c>
      <c r="K138" s="39" t="n">
        <v>0</v>
      </c>
      <c r="L138" s="39" t="n">
        <v>12121</v>
      </c>
      <c r="M138" s="39" t="n">
        <v>386393.75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BARBS NEFT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</row>
    <row r="139">
      <c r="A139" s="14" t="n">
        <v>138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39" s="14" t="str"/>
      <c r="I139" s="14" t="inlineStr">
        <is>
          <t>Payment</t>
        </is>
      </c>
      <c r="J139" s="39" t="n">
        <v>5.6</v>
      </c>
      <c r="K139" s="39" t="n">
        <v>0</v>
      </c>
      <c r="L139" s="39" t="n">
        <v>5.6</v>
      </c>
      <c r="M139" s="39" t="n">
        <v>386388.15</v>
      </c>
      <c r="N139" s="14" t="inlineStr">
        <is>
          <t>Other</t>
        </is>
      </c>
      <c r="O139" s="14" t="inlineStr">
        <is>
          <t>No</t>
        </is>
      </c>
      <c r="P139" s="14" t="inlineStr">
        <is>
          <t>CHARGES FOR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</row>
    <row r="140">
      <c r="A140" s="14" t="n">
        <v>139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NEFT-BARBS2610 NEFT-BARBS26101235444-SHIV PRASAD RAM DHANI-BASSEI</t>
        </is>
      </c>
      <c r="H140" s="14" t="str"/>
      <c r="I140" s="14" t="inlineStr">
        <is>
          <t>Payment</t>
        </is>
      </c>
      <c r="J140" s="39" t="n">
        <v>12121</v>
      </c>
      <c r="K140" s="39" t="n">
        <v>0</v>
      </c>
      <c r="L140" s="39" t="n">
        <v>12121</v>
      </c>
      <c r="M140" s="39" t="n">
        <v>374267.15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BARBS NEFT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</row>
    <row r="141">
      <c r="A141" s="14" t="n">
        <v>140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EBANK:WIB/1503 EBANK:WIB/1503559058/Edfs</t>
        </is>
      </c>
      <c r="H141" s="14" t="str"/>
      <c r="I141" s="14" t="inlineStr">
        <is>
          <t>Payment</t>
        </is>
      </c>
      <c r="J141" s="39" t="n">
        <v>353767.15</v>
      </c>
      <c r="K141" s="39" t="n">
        <v>0</v>
      </c>
      <c r="L141" s="39" t="n">
        <v>353767.15</v>
      </c>
      <c r="M141" s="39" t="n">
        <v>20500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EBANKWIB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</row>
    <row r="142">
      <c r="A142" s="14" t="n">
        <v>141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>DIGITA-MUMBAI/ NEFT-IN42610154526147-MITA FASTENERS PRIVATE LIMIT</t>
        </is>
      </c>
      <c r="H142" s="14" t="str"/>
      <c r="I142" s="14" t="inlineStr">
        <is>
          <t>Receipt</t>
        </is>
      </c>
      <c r="J142" s="39" t="n">
        <v>0</v>
      </c>
      <c r="K142" s="39" t="n">
        <v>9044</v>
      </c>
      <c r="L142" s="39" t="n">
        <v>9044</v>
      </c>
      <c r="M142" s="39" t="n">
        <v>29544</v>
      </c>
      <c r="N142" s="14" t="inlineStr">
        <is>
          <t>Recurring Transaction</t>
        </is>
      </c>
      <c r="O142" s="14" t="inlineStr">
        <is>
          <t>Yes</t>
        </is>
      </c>
      <c r="P142" s="14" t="inlineStr">
        <is>
          <t>MITA FASTENERS PRIVATE LIMIT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</row>
    <row r="143">
      <c r="A143" s="14" t="n">
        <v>142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UPI/3316762170 76217092 UPI/331676217092/17:08:51/UPI/surajdhanotra1@ibl/ https://cbdrpt101.bankofbaroda.co.in:22000/finbranch/arjspmorph/INFENG/tran_rpt.jsp?... 04-05-2026</t>
        </is>
      </c>
      <c r="H143" s="14" t="str"/>
      <c r="I143" s="14" t="inlineStr">
        <is>
          <t>Receipt</t>
        </is>
      </c>
      <c r="J143" s="39" t="n">
        <v>0</v>
      </c>
      <c r="K143" s="39" t="n">
        <v>1808</v>
      </c>
      <c r="L143" s="39" t="n">
        <v>1808</v>
      </c>
      <c r="M143" s="39" t="n">
        <v>31352</v>
      </c>
      <c r="N143" s="14" t="inlineStr">
        <is>
          <t>UPI; Recurring Transaction</t>
        </is>
      </c>
      <c r="O143" s="14" t="inlineStr">
        <is>
          <t>Yes</t>
        </is>
      </c>
      <c r="P143" s="14" t="inlineStr">
        <is>
          <t>SURAJDHANOTRAIBL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</row>
    <row r="144">
      <c r="A144" s="14" t="n">
        <v>143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46124</v>
      </c>
      <c r="F144" s="40" t="n">
        <v>46124</v>
      </c>
      <c r="G144" s="16" t="inlineStr">
        <is>
          <t>DIGITA-MUMBAI/ NEFT-YESAP61023739033-PhonePe Limited</t>
        </is>
      </c>
      <c r="H144" s="14" t="str"/>
      <c r="I144" s="14" t="inlineStr">
        <is>
          <t>Receipt</t>
        </is>
      </c>
      <c r="J144" s="39" t="n">
        <v>0</v>
      </c>
      <c r="K144" s="39" t="n">
        <v>316091.5</v>
      </c>
      <c r="L144" s="39" t="n">
        <v>316091.5</v>
      </c>
      <c r="M144" s="39" t="n">
        <v>347443.5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PHONEPE LIMITED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46124</v>
      </c>
    </row>
    <row r="145">
      <c r="A145" s="14" t="n">
        <v>144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46124</v>
      </c>
      <c r="F145" s="40" t="n">
        <v>46124</v>
      </c>
      <c r="G145" s="16" t="inlineStr">
        <is>
          <t>DIGITA-MUMBAI/ NEFT-AXNPN10286711573-PHONEPE LIMITED-PAYMENT AGGR</t>
        </is>
      </c>
      <c r="H145" s="14" t="str"/>
      <c r="I145" s="14" t="inlineStr">
        <is>
          <t>Receipt</t>
        </is>
      </c>
      <c r="J145" s="39" t="n">
        <v>0</v>
      </c>
      <c r="K145" s="39" t="n">
        <v>74921.89</v>
      </c>
      <c r="L145" s="39" t="n">
        <v>74921.89</v>
      </c>
      <c r="M145" s="39" t="n">
        <v>422365.39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PHONEPE LIMITED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46124</v>
      </c>
    </row>
    <row r="146">
      <c r="A146" s="14" t="n">
        <v>145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46124</v>
      </c>
      <c r="F146" s="40" t="n">
        <v>46124</v>
      </c>
      <c r="G146" s="16" t="inlineStr">
        <is>
          <t>DIGITA-MUMBAI/ NEFT-AXISCN1309251605-ONE MOBIKWIK SYSTEMS LIMITED</t>
        </is>
      </c>
      <c r="H146" s="14" t="str"/>
      <c r="I146" s="14" t="inlineStr">
        <is>
          <t>Receipt</t>
        </is>
      </c>
      <c r="J146" s="39" t="n">
        <v>0</v>
      </c>
      <c r="K146" s="39" t="n">
        <v>16623</v>
      </c>
      <c r="L146" s="39" t="n">
        <v>16623</v>
      </c>
      <c r="M146" s="39" t="n">
        <v>438988.39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ONE MOBIKWIK SYSTEMS LIMITED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46124</v>
      </c>
    </row>
    <row r="147">
      <c r="A147" s="14" t="n">
        <v>146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IMPS/P2A/610211578843/SHREE GANESH EN/billVVS9100</t>
        </is>
      </c>
      <c r="H147" s="14" t="str"/>
      <c r="I147" s="14" t="inlineStr">
        <is>
          <t>Receipt</t>
        </is>
      </c>
      <c r="J147" s="39" t="n">
        <v>0</v>
      </c>
      <c r="K147" s="39" t="n">
        <v>63308</v>
      </c>
      <c r="L147" s="39" t="n">
        <v>63308</v>
      </c>
      <c r="M147" s="39" t="n">
        <v>502296.39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SHREE GANESH EN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</row>
    <row r="148">
      <c r="A148" s="14" t="n">
        <v>147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UPI/8741236018 23601815 UPI/874123601815/12:37:26/UPI/surajdhanotra1@ibl/</t>
        </is>
      </c>
      <c r="H148" s="14" t="str"/>
      <c r="I148" s="14" t="inlineStr">
        <is>
          <t>Receipt</t>
        </is>
      </c>
      <c r="J148" s="39" t="n">
        <v>0</v>
      </c>
      <c r="K148" s="39" t="n">
        <v>1808</v>
      </c>
      <c r="L148" s="39" t="n">
        <v>1808</v>
      </c>
      <c r="M148" s="39" t="n">
        <v>504104.39</v>
      </c>
      <c r="N148" s="14" t="inlineStr">
        <is>
          <t>UPI; Recurring Transaction</t>
        </is>
      </c>
      <c r="O148" s="14" t="inlineStr">
        <is>
          <t>Yes</t>
        </is>
      </c>
      <c r="P148" s="14" t="inlineStr">
        <is>
          <t>SURAJDHANOTRAIBL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1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</row>
    <row r="149">
      <c r="A149" s="14" t="n">
        <v>148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UPI/6468867277 86727709 UPI/646886727709/16:03:55/UPI/omkarpatil4254op@ok</t>
        </is>
      </c>
      <c r="H149" s="14" t="str"/>
      <c r="I149" s="14" t="inlineStr">
        <is>
          <t>Receipt</t>
        </is>
      </c>
      <c r="J149" s="39" t="n">
        <v>0</v>
      </c>
      <c r="K149" s="39" t="n">
        <v>10000</v>
      </c>
      <c r="L149" s="39" t="n">
        <v>10000</v>
      </c>
      <c r="M149" s="39" t="n">
        <v>514104.39</v>
      </c>
      <c r="N149" s="14" t="inlineStr">
        <is>
          <t>UPI</t>
        </is>
      </c>
      <c r="O149" s="14" t="inlineStr">
        <is>
          <t>No</t>
        </is>
      </c>
      <c r="P149" s="14" t="inlineStr">
        <is>
          <t>OMKARPATILOPOK</t>
        </is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1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</row>
    <row r="150">
      <c r="A150" s="14" t="n">
        <v>149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NEFT-CNRBH00124891693-QUALITY PLAST INDUSTRIES LIM</t>
        </is>
      </c>
      <c r="H150" s="14" t="str"/>
      <c r="I150" s="14" t="inlineStr">
        <is>
          <t>Receipt</t>
        </is>
      </c>
      <c r="J150" s="39" t="n">
        <v>0</v>
      </c>
      <c r="K150" s="39" t="n">
        <v>9677</v>
      </c>
      <c r="L150" s="39" t="n">
        <v>9677</v>
      </c>
      <c r="M150" s="39" t="n">
        <v>523781.39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QUALITY PLAST INDUSTRIES LIM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</row>
    <row r="151">
      <c r="A151" s="14" t="n">
        <v>150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EBANK:WIB/1503 EBANK:WIB/1503691094/Edfs</t>
        </is>
      </c>
      <c r="H151" s="14" t="str"/>
      <c r="I151" s="14" t="inlineStr">
        <is>
          <t>Payment</t>
        </is>
      </c>
      <c r="J151" s="39" t="n">
        <v>521281.39</v>
      </c>
      <c r="K151" s="39" t="n">
        <v>0</v>
      </c>
      <c r="L151" s="39" t="n">
        <v>521281.39</v>
      </c>
      <c r="M151" s="39" t="n">
        <v>2500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</row>
    <row r="152">
      <c r="A152" s="14" t="n">
        <v>151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NEFT-YESAP61032531277-PhonePe Limited</t>
        </is>
      </c>
      <c r="H152" s="14" t="str"/>
      <c r="I152" s="14" t="inlineStr">
        <is>
          <t>Receipt</t>
        </is>
      </c>
      <c r="J152" s="39" t="n">
        <v>0</v>
      </c>
      <c r="K152" s="39" t="n">
        <v>250095</v>
      </c>
      <c r="L152" s="39" t="n">
        <v>250095</v>
      </c>
      <c r="M152" s="39" t="n">
        <v>252595</v>
      </c>
      <c r="N152" s="14" t="inlineStr">
        <is>
          <t>High Transaction; Recurring Transaction</t>
        </is>
      </c>
      <c r="O152" s="14" t="inlineStr">
        <is>
          <t>Yes</t>
        </is>
      </c>
      <c r="P152" s="14" t="inlineStr">
        <is>
          <t>PHONEPE LIMITED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</row>
    <row r="153">
      <c r="A153" s="14" t="n">
        <v>152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46125</v>
      </c>
      <c r="F153" s="40" t="n">
        <v>46125</v>
      </c>
      <c r="G153" s="16" t="inlineStr">
        <is>
          <t>DIGITA-MUMBAI/ NEFT-AXNPN10394764176-PHONEPE LIMITED-PAYMENT AGGR</t>
        </is>
      </c>
      <c r="H153" s="14" t="str"/>
      <c r="I153" s="14" t="inlineStr">
        <is>
          <t>Receipt</t>
        </is>
      </c>
      <c r="J153" s="39" t="n">
        <v>0</v>
      </c>
      <c r="K153" s="39" t="n">
        <v>73380.92999999999</v>
      </c>
      <c r="L153" s="39" t="n">
        <v>73380.92999999999</v>
      </c>
      <c r="M153" s="39" t="n">
        <v>325975.93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PHONEPE LIMITED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46125</v>
      </c>
    </row>
    <row r="154">
      <c r="A154" s="14" t="n">
        <v>153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46125</v>
      </c>
      <c r="F154" s="40" t="n">
        <v>46125</v>
      </c>
      <c r="G154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4" s="14" t="str"/>
      <c r="I154" s="14" t="inlineStr">
        <is>
          <t>Receipt</t>
        </is>
      </c>
      <c r="J154" s="39" t="n">
        <v>0</v>
      </c>
      <c r="K154" s="39" t="n">
        <v>13800</v>
      </c>
      <c r="L154" s="39" t="n">
        <v>13800</v>
      </c>
      <c r="M154" s="39" t="n">
        <v>339775.93</v>
      </c>
      <c r="N154" s="14" t="inlineStr">
        <is>
          <t>Recurring Transaction</t>
        </is>
      </c>
      <c r="O154" s="14" t="inlineStr">
        <is>
          <t>Yes</t>
        </is>
      </c>
      <c r="P154" s="14" t="inlineStr">
        <is>
          <t>ONE MOBIKWIK SYSTEMS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46125</v>
      </c>
    </row>
    <row r="155">
      <c r="A155" s="14" t="n">
        <v>154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EBANK:15036990 EBANK:1503699072/Hindustan Petroleum/604137022998</t>
        </is>
      </c>
      <c r="H155" s="14" t="str"/>
      <c r="I155" s="14" t="inlineStr">
        <is>
          <t>Payment</t>
        </is>
      </c>
      <c r="J155" s="39" t="n">
        <v>1000</v>
      </c>
      <c r="K155" s="39" t="n">
        <v>0</v>
      </c>
      <c r="L155" s="39" t="n">
        <v>1000</v>
      </c>
      <c r="M155" s="39" t="n">
        <v>338775.93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EBANK EBANK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</row>
    <row r="156">
      <c r="A156" s="14" t="n">
        <v>155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NEFT-AXISCN1309952222-PINE LABS PRIVATE LIMITED-NO</t>
        </is>
      </c>
      <c r="H156" s="14" t="str"/>
      <c r="I156" s="14" t="inlineStr">
        <is>
          <t>Receipt</t>
        </is>
      </c>
      <c r="J156" s="39" t="n">
        <v>0</v>
      </c>
      <c r="K156" s="39" t="n">
        <v>47686</v>
      </c>
      <c r="L156" s="39" t="n">
        <v>47686</v>
      </c>
      <c r="M156" s="39" t="n">
        <v>386461.93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PINE LABS PRIVATE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</row>
    <row r="157">
      <c r="A157" s="14" t="n">
        <v>156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UPI/6103246468 24646865 UPI/610324646865/09:30:08/UPI/autofleetpetrolpump</t>
        </is>
      </c>
      <c r="H157" s="14" t="str"/>
      <c r="I157" s="14" t="inlineStr">
        <is>
          <t>Payment</t>
        </is>
      </c>
      <c r="J157" s="39" t="n">
        <v>2000</v>
      </c>
      <c r="K157" s="39" t="n">
        <v>0</v>
      </c>
      <c r="L157" s="39" t="n">
        <v>2000</v>
      </c>
      <c r="M157" s="39" t="n">
        <v>384461.93</v>
      </c>
      <c r="N157" s="14" t="inlineStr">
        <is>
          <t>UPI; Recurring Transaction</t>
        </is>
      </c>
      <c r="O157" s="14" t="inlineStr">
        <is>
          <t>Yes</t>
        </is>
      </c>
      <c r="P157" s="14" t="inlineStr">
        <is>
          <t>AUTOFLEETPETROLPUMP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1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</row>
    <row r="158">
      <c r="A158" s="14" t="n">
        <v>157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UPI/6103049513 4951307 UPI/610304951307/09:30:56/UPI/autofleetpetrolpump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383461.93</v>
      </c>
      <c r="N158" s="14" t="inlineStr">
        <is>
          <t>UPI; Recurring Transaction</t>
        </is>
      </c>
      <c r="O158" s="14" t="inlineStr">
        <is>
          <t>Yes</t>
        </is>
      </c>
      <c r="P158" s="14" t="inlineStr">
        <is>
          <t>AUTOFLEETPETROLPUMP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</row>
    <row r="159">
      <c r="A159" s="14" t="n">
        <v>158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NEFT-AXODH10395993542-GRISHMA METAL TECHNOLOGY</t>
        </is>
      </c>
      <c r="H159" s="14" t="str"/>
      <c r="I159" s="14" t="inlineStr">
        <is>
          <t>Receipt</t>
        </is>
      </c>
      <c r="J159" s="39" t="n">
        <v>0</v>
      </c>
      <c r="K159" s="39" t="n">
        <v>124000</v>
      </c>
      <c r="L159" s="39" t="n">
        <v>124000</v>
      </c>
      <c r="M159" s="39" t="n">
        <v>507461.93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GRISHMA METAL TECHNOLOGY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</row>
    <row r="160">
      <c r="A160" s="14" t="n">
        <v>159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UPI/1265365595 36559565 UPI/126536559565/11:02:55/UPI/surajdhanotra1@ibl/</t>
        </is>
      </c>
      <c r="H160" s="14" t="str"/>
      <c r="I160" s="14" t="inlineStr">
        <is>
          <t>Receipt</t>
        </is>
      </c>
      <c r="J160" s="39" t="n">
        <v>0</v>
      </c>
      <c r="K160" s="39" t="n">
        <v>2261</v>
      </c>
      <c r="L160" s="39" t="n">
        <v>2261</v>
      </c>
      <c r="M160" s="39" t="n">
        <v>509722.93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SURAJDHANOTRAIBL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</row>
    <row r="161">
      <c r="A161" s="14" t="n">
        <v>160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UPI/6103603296 60329695 UPI/610360329695/11:04:28/UPI/paytmqr6ep7sx@ptys/</t>
        </is>
      </c>
      <c r="H161" s="14" t="str"/>
      <c r="I161" s="14" t="inlineStr">
        <is>
          <t>Payment</t>
        </is>
      </c>
      <c r="J161" s="39" t="n">
        <v>3300</v>
      </c>
      <c r="K161" s="39" t="n">
        <v>0</v>
      </c>
      <c r="L161" s="39" t="n">
        <v>3300</v>
      </c>
      <c r="M161" s="39" t="n">
        <v>506422.93</v>
      </c>
      <c r="N161" s="14" t="inlineStr">
        <is>
          <t>UPI</t>
        </is>
      </c>
      <c r="O161" s="14" t="inlineStr">
        <is>
          <t>No</t>
        </is>
      </c>
      <c r="P161" s="14" t="inlineStr">
        <is>
          <t>PAYTMQREPSXPTYS</t>
        </is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</row>
    <row r="162">
      <c r="A162" s="14" t="n">
        <v>161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NEFT-AXISCN1310059428-PINE LABS PRIVATE LIMITED-NO</t>
        </is>
      </c>
      <c r="H162" s="14" t="str"/>
      <c r="I162" s="14" t="inlineStr">
        <is>
          <t>Receipt</t>
        </is>
      </c>
      <c r="J162" s="39" t="n">
        <v>0</v>
      </c>
      <c r="K162" s="39" t="n">
        <v>102789</v>
      </c>
      <c r="L162" s="39" t="n">
        <v>102789</v>
      </c>
      <c r="M162" s="39" t="n">
        <v>609211.9300000001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PINE LABS PRIVATE LIMITED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</row>
    <row r="163">
      <c r="A163" s="14" t="n">
        <v>162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Charges for Charges for PORD Customer Payment :003581616879</t>
        </is>
      </c>
      <c r="H163" s="14" t="str"/>
      <c r="I163" s="14" t="inlineStr">
        <is>
          <t>Payment</t>
        </is>
      </c>
      <c r="J163" s="39" t="n">
        <v>2.65</v>
      </c>
      <c r="K163" s="39" t="n">
        <v>0</v>
      </c>
      <c r="L163" s="39" t="n">
        <v>2.65</v>
      </c>
      <c r="M163" s="39" t="n">
        <v>609209.28</v>
      </c>
      <c r="N163" s="14" t="inlineStr">
        <is>
          <t>Recurring Transaction</t>
        </is>
      </c>
      <c r="O163" s="14" t="inlineStr">
        <is>
          <t>Yes</t>
        </is>
      </c>
      <c r="P163" s="14" t="inlineStr">
        <is>
          <t>CHARGES FOR CHARGES FOR PORD CUSTOMER PA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</row>
    <row r="164">
      <c r="A164" s="14" t="n">
        <v>163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NEFT-BARBV2610 NEFT-BARBV26103046565-ATHARV FIRE AND SAFETY SERVI</t>
        </is>
      </c>
      <c r="H164" s="14" t="str"/>
      <c r="I164" s="14" t="inlineStr">
        <is>
          <t>Payment</t>
        </is>
      </c>
      <c r="J164" s="39" t="n">
        <v>2065</v>
      </c>
      <c r="K164" s="39" t="n">
        <v>0</v>
      </c>
      <c r="L164" s="39" t="n">
        <v>2065</v>
      </c>
      <c r="M164" s="39" t="n">
        <v>607144.28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BARBV NEFT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</row>
    <row r="165">
      <c r="A165" s="14" t="n">
        <v>164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NEFT-HDFCH00930723327-KUNDAN QUARRY</t>
        </is>
      </c>
      <c r="H165" s="14" t="str"/>
      <c r="I165" s="14" t="inlineStr">
        <is>
          <t>Receipt</t>
        </is>
      </c>
      <c r="J165" s="39" t="n">
        <v>0</v>
      </c>
      <c r="K165" s="39" t="n">
        <v>5800</v>
      </c>
      <c r="L165" s="39" t="n">
        <v>5800</v>
      </c>
      <c r="M165" s="39" t="n">
        <v>612944.28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KUNDAN QUARRY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</row>
    <row r="166">
      <c r="A166" s="14" t="n">
        <v>165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EBANK:WIB/1503 EBANK:WIB/1503777187/Edfs</t>
        </is>
      </c>
      <c r="H166" s="14" t="str"/>
      <c r="I166" s="14" t="inlineStr">
        <is>
          <t>Payment</t>
        </is>
      </c>
      <c r="J166" s="39" t="n">
        <v>610444.28</v>
      </c>
      <c r="K166" s="39" t="n">
        <v>0</v>
      </c>
      <c r="L166" s="39" t="n">
        <v>610444.28</v>
      </c>
      <c r="M166" s="39" t="n">
        <v>2500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</row>
    <row r="167">
      <c r="A167" s="14" t="n">
        <v>166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DIGITA-MUMBAI/ https://cbdrpt101.bankofbaroda.co.in:22000/finbranch/arjspmorph/INFENG/tran_rpt.jsp?... 04-05-2026 NEFT-HDFCH00930605811-Adekar enterprises pvt ltd</t>
        </is>
      </c>
      <c r="H167" s="14" t="str"/>
      <c r="I167" s="14" t="inlineStr">
        <is>
          <t>Receipt</t>
        </is>
      </c>
      <c r="J167" s="39" t="n">
        <v>0</v>
      </c>
      <c r="K167" s="39" t="n">
        <v>128900</v>
      </c>
      <c r="L167" s="39" t="n">
        <v>128900</v>
      </c>
      <c r="M167" s="39" t="n">
        <v>131400</v>
      </c>
      <c r="N167" s="14" t="inlineStr">
        <is>
          <t>High Transaction; Recurring Transaction</t>
        </is>
      </c>
      <c r="O167" s="14" t="inlineStr">
        <is>
          <t>Yes</t>
        </is>
      </c>
      <c r="P167" s="14" t="inlineStr">
        <is>
          <t>CBDRPTBANKOFBARODACOIN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</row>
    <row r="168">
      <c r="A168" s="14" t="n">
        <v>167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NEFT-NKGSH26103010561-GEBI PRODUCTS PRIVATE LIMITE</t>
        </is>
      </c>
      <c r="H168" s="14" t="str"/>
      <c r="I168" s="14" t="inlineStr">
        <is>
          <t>Receipt</t>
        </is>
      </c>
      <c r="J168" s="39" t="n">
        <v>0</v>
      </c>
      <c r="K168" s="39" t="n">
        <v>4415</v>
      </c>
      <c r="L168" s="39" t="n">
        <v>4415</v>
      </c>
      <c r="M168" s="39" t="n">
        <v>135815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GEBI PRODUCTS PRIVATE LIMITE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</row>
    <row r="169">
      <c r="A169" s="14" t="n">
        <v>168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DIGITA-MUMBAI/ NEFT-IN42610355845941-N R COLOURS LIMITED</t>
        </is>
      </c>
      <c r="H169" s="14" t="str"/>
      <c r="I169" s="14" t="inlineStr">
        <is>
          <t>Receipt</t>
        </is>
      </c>
      <c r="J169" s="39" t="n">
        <v>0</v>
      </c>
      <c r="K169" s="39" t="n">
        <v>12678.78</v>
      </c>
      <c r="L169" s="39" t="n">
        <v>12678.78</v>
      </c>
      <c r="M169" s="39" t="n">
        <v>148493.78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N R COLOURS LIMITED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</row>
    <row r="170">
      <c r="A170" s="14" t="n">
        <v>169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0" s="14" t="str"/>
      <c r="I170" s="14" t="inlineStr">
        <is>
          <t>Payment</t>
        </is>
      </c>
      <c r="J170" s="39" t="n">
        <v>107993.78</v>
      </c>
      <c r="K170" s="39" t="n">
        <v>0</v>
      </c>
      <c r="L170" s="39" t="n">
        <v>107993.78</v>
      </c>
      <c r="M170" s="39" t="n">
        <v>40500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EBANKWIB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</row>
    <row r="171">
      <c r="A171" s="14" t="n">
        <v>170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UPI/6103931725 93172546 UPI/610393172546/18:35:56/UPI/q17779140@ybl/color</t>
        </is>
      </c>
      <c r="H171" s="14" t="str"/>
      <c r="I171" s="14" t="inlineStr">
        <is>
          <t>Payment</t>
        </is>
      </c>
      <c r="J171" s="39" t="n">
        <v>16000</v>
      </c>
      <c r="K171" s="39" t="n">
        <v>0</v>
      </c>
      <c r="L171" s="39" t="n">
        <v>16000</v>
      </c>
      <c r="M171" s="39" t="n">
        <v>24500</v>
      </c>
      <c r="N171" s="14" t="inlineStr">
        <is>
          <t>UPI</t>
        </is>
      </c>
      <c r="O171" s="14" t="inlineStr">
        <is>
          <t>No</t>
        </is>
      </c>
      <c r="P171" s="14" t="inlineStr">
        <is>
          <t>UPI/# # UPI/#/#:#:#/UPI/Q#@YBL/COLOR</t>
        </is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</row>
    <row r="172">
      <c r="A172" s="14" t="n">
        <v>171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NEFT-IN22610317343563-PELL TECH HEALTH CARE PRIVAT</t>
        </is>
      </c>
      <c r="H172" s="14" t="str"/>
      <c r="I172" s="14" t="inlineStr">
        <is>
          <t>Receipt</t>
        </is>
      </c>
      <c r="J172" s="39" t="n">
        <v>0</v>
      </c>
      <c r="K172" s="39" t="n">
        <v>12343</v>
      </c>
      <c r="L172" s="39" t="n">
        <v>12343</v>
      </c>
      <c r="M172" s="39" t="n">
        <v>36843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PELL TECH HEALTH CARE PRIVAT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</row>
    <row r="173">
      <c r="A173" s="14" t="n">
        <v>172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46126</v>
      </c>
      <c r="F173" s="40" t="n">
        <v>46126</v>
      </c>
      <c r="G173" s="16" t="inlineStr">
        <is>
          <t>DIGITA-MUMBAI/ NEFT-HDFCH00932431931-KAVITA ENTERPRISES</t>
        </is>
      </c>
      <c r="H173" s="14" t="str"/>
      <c r="I173" s="14" t="inlineStr">
        <is>
          <t>Receipt</t>
        </is>
      </c>
      <c r="J173" s="39" t="n">
        <v>0</v>
      </c>
      <c r="K173" s="39" t="n">
        <v>110336</v>
      </c>
      <c r="L173" s="39" t="n">
        <v>110336</v>
      </c>
      <c r="M173" s="39" t="n">
        <v>147179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KAVITA ENTERPRISES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46126</v>
      </c>
    </row>
    <row r="174">
      <c r="A174" s="14" t="n">
        <v>173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46126</v>
      </c>
      <c r="F174" s="40" t="n">
        <v>46126</v>
      </c>
      <c r="G174" s="16" t="inlineStr">
        <is>
          <t>DIGITA-MUMBAI/ NEFT-YESAP61042581238-PhonePe Limited</t>
        </is>
      </c>
      <c r="H174" s="14" t="str"/>
      <c r="I174" s="14" t="inlineStr">
        <is>
          <t>Receipt</t>
        </is>
      </c>
      <c r="J174" s="39" t="n">
        <v>0</v>
      </c>
      <c r="K174" s="39" t="n">
        <v>227801</v>
      </c>
      <c r="L174" s="39" t="n">
        <v>227801</v>
      </c>
      <c r="M174" s="39" t="n">
        <v>374980</v>
      </c>
      <c r="N174" s="14" t="inlineStr">
        <is>
          <t>High Transaction; Recurring Transaction</t>
        </is>
      </c>
      <c r="O174" s="14" t="inlineStr">
        <is>
          <t>Yes</t>
        </is>
      </c>
      <c r="P174" s="14" t="inlineStr">
        <is>
          <t>PHONEPE LIMITED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1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46126</v>
      </c>
    </row>
    <row r="175">
      <c r="A175" s="14" t="n">
        <v>174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46126</v>
      </c>
      <c r="F175" s="40" t="n">
        <v>46126</v>
      </c>
      <c r="G175" s="16" t="inlineStr">
        <is>
          <t>DIGITA-MUMBAI/ NEFT-AXNPN10404023106-PHONEPE LIMITED-PAYMENT AGGR</t>
        </is>
      </c>
      <c r="H175" s="14" t="str"/>
      <c r="I175" s="14" t="inlineStr">
        <is>
          <t>Receipt</t>
        </is>
      </c>
      <c r="J175" s="39" t="n">
        <v>0</v>
      </c>
      <c r="K175" s="39" t="n">
        <v>79141.64999999999</v>
      </c>
      <c r="L175" s="39" t="n">
        <v>79141.64999999999</v>
      </c>
      <c r="M175" s="39" t="n">
        <v>454121.65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PHONEPE LIMITED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46126</v>
      </c>
    </row>
    <row r="176">
      <c r="A176" s="14" t="n">
        <v>175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NEFT-AXISCN1310804202-ONE MOBIKWIK SYSTEMS LIMITED</t>
        </is>
      </c>
      <c r="H176" s="14" t="str"/>
      <c r="I176" s="14" t="inlineStr">
        <is>
          <t>Receipt</t>
        </is>
      </c>
      <c r="J176" s="39" t="n">
        <v>0</v>
      </c>
      <c r="K176" s="39" t="n">
        <v>17500</v>
      </c>
      <c r="L176" s="39" t="n">
        <v>17500</v>
      </c>
      <c r="M176" s="39" t="n">
        <v>471621.65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ONE MOBIKWIK SYSTEMS LIMITED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</row>
    <row r="177">
      <c r="A177" s="14" t="n">
        <v>176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EBANK:WIB/1503 EBANK:WIB/1503879023/Edfs</t>
        </is>
      </c>
      <c r="H177" s="14" t="str"/>
      <c r="I177" s="14" t="inlineStr">
        <is>
          <t>Payment</t>
        </is>
      </c>
      <c r="J177" s="39" t="n">
        <v>421121.65</v>
      </c>
      <c r="K177" s="39" t="n">
        <v>0</v>
      </c>
      <c r="L177" s="39" t="n">
        <v>421121.65</v>
      </c>
      <c r="M177" s="39" t="n">
        <v>50500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EBANKWIB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</row>
    <row r="178">
      <c r="A178" s="14" t="n">
        <v>177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EBANK:15038806 EBANK:1503880651/MSEDCL-LT Post Paid Energy Bill/</t>
        </is>
      </c>
      <c r="H178" s="14" t="str"/>
      <c r="I178" s="14" t="inlineStr">
        <is>
          <t>Payment</t>
        </is>
      </c>
      <c r="J178" s="39" t="n">
        <v>1950</v>
      </c>
      <c r="K178" s="39" t="n">
        <v>0</v>
      </c>
      <c r="L178" s="39" t="n">
        <v>1950</v>
      </c>
      <c r="M178" s="39" t="n">
        <v>48550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 EBANK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</row>
    <row r="179">
      <c r="A179" s="14" t="n">
        <v>178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NEFT-AXISCN1310872121-PINE LABS PRIVATE LIMITED-NO</t>
        </is>
      </c>
      <c r="H179" s="14" t="str"/>
      <c r="I179" s="14" t="inlineStr">
        <is>
          <t>Receipt</t>
        </is>
      </c>
      <c r="J179" s="39" t="n">
        <v>0</v>
      </c>
      <c r="K179" s="39" t="n">
        <v>181645</v>
      </c>
      <c r="L179" s="39" t="n">
        <v>181645</v>
      </c>
      <c r="M179" s="39" t="n">
        <v>230195</v>
      </c>
      <c r="N179" s="14" t="inlineStr">
        <is>
          <t>High Transaction; Recurring Transaction</t>
        </is>
      </c>
      <c r="O179" s="14" t="inlineStr">
        <is>
          <t>Yes</t>
        </is>
      </c>
      <c r="P179" s="14" t="inlineStr">
        <is>
          <t>PINE LABS PRIVATE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1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</row>
    <row r="180">
      <c r="A180" s="14" t="n">
        <v>179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DIGITA-MUMBAI/ NEFT-IDIBH10438167138-JAI AMBE TRANSPORT</t>
        </is>
      </c>
      <c r="H180" s="14" t="str"/>
      <c r="I180" s="14" t="inlineStr">
        <is>
          <t>Receipt</t>
        </is>
      </c>
      <c r="J180" s="39" t="n">
        <v>0</v>
      </c>
      <c r="K180" s="39" t="n">
        <v>3660</v>
      </c>
      <c r="L180" s="39" t="n">
        <v>3660</v>
      </c>
      <c r="M180" s="39" t="n">
        <v>233855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JAI AMBE TRANSPORT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</row>
    <row r="181">
      <c r="A181" s="14" t="n">
        <v>180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DIGITA-MUMBAI/ NEFT-KKBKH26104944678-ATLAS COMMODITIES PRIVATE LI</t>
        </is>
      </c>
      <c r="H181" s="14" t="str"/>
      <c r="I181" s="14" t="inlineStr">
        <is>
          <t>Receipt</t>
        </is>
      </c>
      <c r="J181" s="39" t="n">
        <v>0</v>
      </c>
      <c r="K181" s="39" t="n">
        <v>8470</v>
      </c>
      <c r="L181" s="39" t="n">
        <v>8470</v>
      </c>
      <c r="M181" s="39" t="n">
        <v>242325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ATLAS COMMODITIES PRIVATE LI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</row>
    <row r="182">
      <c r="A182" s="14" t="n">
        <v>181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EBANK:WIB/1504 EBANK:WIB/1504010401/Edfs</t>
        </is>
      </c>
      <c r="H182" s="14" t="str"/>
      <c r="I182" s="14" t="inlineStr">
        <is>
          <t>Payment</t>
        </is>
      </c>
      <c r="J182" s="39" t="n">
        <v>240000</v>
      </c>
      <c r="K182" s="39" t="n">
        <v>0</v>
      </c>
      <c r="L182" s="39" t="n">
        <v>240000</v>
      </c>
      <c r="M182" s="39" t="n">
        <v>2325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EBANKWIB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</row>
    <row r="183">
      <c r="A183" s="14" t="n">
        <v>182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46127</v>
      </c>
      <c r="F183" s="40" t="n">
        <v>46127</v>
      </c>
      <c r="G183" s="16" t="inlineStr">
        <is>
          <t>DIGITA-MUMBAI/ NEFT-YESAP61053875611-PhonePe Limited</t>
        </is>
      </c>
      <c r="H183" s="14" t="str"/>
      <c r="I183" s="14" t="inlineStr">
        <is>
          <t>Receipt</t>
        </is>
      </c>
      <c r="J183" s="39" t="n">
        <v>0</v>
      </c>
      <c r="K183" s="39" t="n">
        <v>289276.57</v>
      </c>
      <c r="L183" s="39" t="n">
        <v>289276.57</v>
      </c>
      <c r="M183" s="39" t="n">
        <v>291601.57</v>
      </c>
      <c r="N183" s="14" t="inlineStr">
        <is>
          <t>High Transaction; Recurring Transaction</t>
        </is>
      </c>
      <c r="O183" s="14" t="inlineStr">
        <is>
          <t>Yes</t>
        </is>
      </c>
      <c r="P183" s="14" t="inlineStr">
        <is>
          <t>PHONEPE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1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46127</v>
      </c>
    </row>
    <row r="184">
      <c r="A184" s="14" t="n">
        <v>183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46127</v>
      </c>
      <c r="F184" s="40" t="n">
        <v>46127</v>
      </c>
      <c r="G184" s="16" t="inlineStr">
        <is>
          <t>DIGITA-MUMBAI/ NEFT-AXNPN10512169091-PHONEPE LIMITED-PAYMENT AGGR</t>
        </is>
      </c>
      <c r="H184" s="14" t="str"/>
      <c r="I184" s="14" t="inlineStr">
        <is>
          <t>Receipt</t>
        </is>
      </c>
      <c r="J184" s="39" t="n">
        <v>0</v>
      </c>
      <c r="K184" s="39" t="n">
        <v>106410</v>
      </c>
      <c r="L184" s="39" t="n">
        <v>106410</v>
      </c>
      <c r="M184" s="39" t="n">
        <v>398011.57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PHONEPE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46127</v>
      </c>
    </row>
    <row r="185">
      <c r="A185" s="14" t="n">
        <v>184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46127</v>
      </c>
      <c r="F185" s="40" t="n">
        <v>46127</v>
      </c>
      <c r="G185" s="16" t="inlineStr">
        <is>
          <t>DIGITA-MUMBAI/ NEFT-AXISCN1311551702-ONE MOBIKWIK SYSTEMS LIMITED</t>
        </is>
      </c>
      <c r="H185" s="14" t="str"/>
      <c r="I185" s="14" t="inlineStr">
        <is>
          <t>Receipt</t>
        </is>
      </c>
      <c r="J185" s="39" t="n">
        <v>0</v>
      </c>
      <c r="K185" s="39" t="n">
        <v>13630</v>
      </c>
      <c r="L185" s="39" t="n">
        <v>13630</v>
      </c>
      <c r="M185" s="39" t="n">
        <v>411641.57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ONE MOBIKWIK SYSTEMS LIMITED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46127</v>
      </c>
    </row>
    <row r="186">
      <c r="A186" s="14" t="n">
        <v>185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6" s="14" t="str"/>
      <c r="I186" s="14" t="inlineStr">
        <is>
          <t>Payment</t>
        </is>
      </c>
      <c r="J186" s="39" t="n">
        <v>401141.57</v>
      </c>
      <c r="K186" s="39" t="n">
        <v>0</v>
      </c>
      <c r="L186" s="39" t="n">
        <v>401141.57</v>
      </c>
      <c r="M186" s="39" t="n">
        <v>10500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EBANKWIB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</row>
    <row r="187">
      <c r="A187" s="14" t="n">
        <v>186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NEFT-AXISCN1311689812-PINE LABS PRIVATE LIMITED-NO</t>
        </is>
      </c>
      <c r="H187" s="14" t="str"/>
      <c r="I187" s="14" t="inlineStr">
        <is>
          <t>Receipt</t>
        </is>
      </c>
      <c r="J187" s="39" t="n">
        <v>0</v>
      </c>
      <c r="K187" s="39" t="n">
        <v>56935</v>
      </c>
      <c r="L187" s="39" t="n">
        <v>56935</v>
      </c>
      <c r="M187" s="39" t="n">
        <v>67435</v>
      </c>
      <c r="N187" s="14" t="inlineStr">
        <is>
          <t>Recurring Transaction</t>
        </is>
      </c>
      <c r="O187" s="14" t="inlineStr">
        <is>
          <t>Yes</t>
        </is>
      </c>
      <c r="P187" s="14" t="inlineStr">
        <is>
          <t>PINE LABS PRIVATE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</row>
    <row r="188">
      <c r="A188" s="14" t="n">
        <v>187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Dep-NEFT-IN42610556923441-JERAI FITNESS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18357.8</v>
      </c>
      <c r="L188" s="39" t="n">
        <v>18357.8</v>
      </c>
      <c r="M188" s="39" t="n">
        <v>85792.8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JERAI FITNESS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</row>
    <row r="189">
      <c r="A189" s="14" t="n">
        <v>188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>DIGITA-MUMBAI/ NEFT-KKBKH26105643449-VENKTESHWAR INDUSTRIAL CORPO</t>
        </is>
      </c>
      <c r="H189" s="14" t="str"/>
      <c r="I189" s="14" t="inlineStr">
        <is>
          <t>Receipt</t>
        </is>
      </c>
      <c r="J189" s="39" t="n">
        <v>0</v>
      </c>
      <c r="K189" s="39" t="n">
        <v>28088</v>
      </c>
      <c r="L189" s="39" t="n">
        <v>28088</v>
      </c>
      <c r="M189" s="39" t="n">
        <v>113880.8</v>
      </c>
      <c r="N189" s="14" t="inlineStr">
        <is>
          <t>Recurring Transaction</t>
        </is>
      </c>
      <c r="O189" s="14" t="inlineStr">
        <is>
          <t>Yes</t>
        </is>
      </c>
      <c r="P189" s="14" t="inlineStr">
        <is>
          <t>VENKTESHWAR INDUSTRIAL CORPO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</row>
    <row r="190">
      <c r="A190" s="14" t="n">
        <v>189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NEFT-IN42610557031748-MITA FASTENERS PRIVATE LIMIT</t>
        </is>
      </c>
      <c r="H190" s="14" t="str"/>
      <c r="I190" s="14" t="inlineStr">
        <is>
          <t>Receipt</t>
        </is>
      </c>
      <c r="J190" s="39" t="n">
        <v>0</v>
      </c>
      <c r="K190" s="39" t="n">
        <v>9044</v>
      </c>
      <c r="L190" s="39" t="n">
        <v>9044</v>
      </c>
      <c r="M190" s="39" t="n">
        <v>122924.8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MITA FASTENERS PRIVATE LIMIT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</row>
    <row r="191">
      <c r="A191" s="14" t="n">
        <v>190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NEFT-HDFCH00934703842-QUEST ENTERPRISES PVT LTD</t>
        </is>
      </c>
      <c r="H191" s="14" t="str"/>
      <c r="I191" s="14" t="inlineStr">
        <is>
          <t>Receipt</t>
        </is>
      </c>
      <c r="J191" s="39" t="n">
        <v>0</v>
      </c>
      <c r="K191" s="39" t="n">
        <v>5000</v>
      </c>
      <c r="L191" s="39" t="n">
        <v>5000</v>
      </c>
      <c r="M191" s="39" t="n">
        <v>127924.8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QUEST ENTERPRISES PVT LTD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</row>
    <row r="192">
      <c r="A192" s="14" t="n">
        <v>191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EBANK:WIB/1504 EBANK:WIB/1504096201/Edfs</t>
        </is>
      </c>
      <c r="H192" s="14" t="str"/>
      <c r="I192" s="14" t="inlineStr">
        <is>
          <t>Payment</t>
        </is>
      </c>
      <c r="J192" s="39" t="n">
        <v>125424</v>
      </c>
      <c r="K192" s="39" t="n">
        <v>0</v>
      </c>
      <c r="L192" s="39" t="n">
        <v>125424</v>
      </c>
      <c r="M192" s="39" t="n">
        <v>2500.8</v>
      </c>
      <c r="N192" s="14" t="inlineStr">
        <is>
          <t>High Transaction; Recurring Transaction</t>
        </is>
      </c>
      <c r="O192" s="14" t="inlineStr">
        <is>
          <t>Yes</t>
        </is>
      </c>
      <c r="P192" s="14" t="inlineStr">
        <is>
          <t>EBANKWIB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1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</row>
    <row r="193">
      <c r="A193" s="14" t="n">
        <v>192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NEFT-NKGSH26105037900-GEBI PRODUCTS PRIVATE LIMITE</t>
        </is>
      </c>
      <c r="H193" s="14" t="str"/>
      <c r="I193" s="14" t="inlineStr">
        <is>
          <t>Receipt</t>
        </is>
      </c>
      <c r="J193" s="39" t="n">
        <v>0</v>
      </c>
      <c r="K193" s="39" t="n">
        <v>10119</v>
      </c>
      <c r="L193" s="39" t="n">
        <v>10119</v>
      </c>
      <c r="M193" s="39" t="n">
        <v>12619.8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GEBI PRODUCTS PRIVATE LIMITE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</row>
    <row r="194">
      <c r="A194" s="14" t="n">
        <v>193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UPI/5133890676 89067648 UPI/513389067648/17:04:34/UPI/surajdhanotra1@ibl/</t>
        </is>
      </c>
      <c r="H194" s="14" t="str"/>
      <c r="I194" s="14" t="inlineStr">
        <is>
          <t>Receipt</t>
        </is>
      </c>
      <c r="J194" s="39" t="n">
        <v>0</v>
      </c>
      <c r="K194" s="39" t="n">
        <v>3617</v>
      </c>
      <c r="L194" s="39" t="n">
        <v>3617</v>
      </c>
      <c r="M194" s="39" t="n">
        <v>16236.8</v>
      </c>
      <c r="N194" s="14" t="inlineStr">
        <is>
          <t>UPI; Recurring Transaction</t>
        </is>
      </c>
      <c r="O194" s="14" t="inlineStr">
        <is>
          <t>Yes</t>
        </is>
      </c>
      <c r="P194" s="14" t="inlineStr">
        <is>
          <t>SURAJDHANOTRAIBL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1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</row>
    <row r="195">
      <c r="A195" s="14" t="n">
        <v>194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EBANK:WIB/1504156827/Edfs</t>
        </is>
      </c>
      <c r="H195" s="14" t="str"/>
      <c r="I195" s="14" t="inlineStr">
        <is>
          <t>Payment</t>
        </is>
      </c>
      <c r="J195" s="39" t="n">
        <v>13736</v>
      </c>
      <c r="K195" s="39" t="n">
        <v>0</v>
      </c>
      <c r="L195" s="39" t="n">
        <v>13736</v>
      </c>
      <c r="M195" s="39" t="n">
        <v>2500.8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</row>
    <row r="196">
      <c r="A196" s="14" t="n">
        <v>195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IMPS/P2A/610519636341/VAKAS TEMPO SER/IMPSCNB9199</t>
        </is>
      </c>
      <c r="H196" s="14" t="str"/>
      <c r="I196" s="14" t="inlineStr">
        <is>
          <t>Receipt</t>
        </is>
      </c>
      <c r="J196" s="39" t="n">
        <v>0</v>
      </c>
      <c r="K196" s="39" t="n">
        <v>28766</v>
      </c>
      <c r="L196" s="39" t="n">
        <v>28766</v>
      </c>
      <c r="M196" s="39" t="n">
        <v>31266.8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VAKAS TEMPO SER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</row>
    <row r="197">
      <c r="A197" s="14" t="n">
        <v>196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DIGITA-MUMBAI/ IMPS/P2A/610519636774/VAKAS TEMPO SER/IMPSCNB9199</t>
        </is>
      </c>
      <c r="H197" s="14" t="str"/>
      <c r="I197" s="14" t="inlineStr">
        <is>
          <t>Receipt</t>
        </is>
      </c>
      <c r="J197" s="39" t="n">
        <v>0</v>
      </c>
      <c r="K197" s="39" t="n">
        <v>25486</v>
      </c>
      <c r="L197" s="39" t="n">
        <v>25486</v>
      </c>
      <c r="M197" s="39" t="n">
        <v>56752.8</v>
      </c>
      <c r="N197" s="14" t="inlineStr">
        <is>
          <t>Recurring Transaction</t>
        </is>
      </c>
      <c r="O197" s="14" t="inlineStr">
        <is>
          <t>Yes</t>
        </is>
      </c>
      <c r="P197" s="14" t="inlineStr">
        <is>
          <t>VAKAS TEMPO SER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</row>
    <row r="198">
      <c r="A198" s="14" t="n">
        <v>197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EBANK:WIB/1504160264/Edfs</t>
        </is>
      </c>
      <c r="H198" s="14" t="str"/>
      <c r="I198" s="14" t="inlineStr">
        <is>
          <t>Payment</t>
        </is>
      </c>
      <c r="J198" s="39" t="n">
        <v>54252.8</v>
      </c>
      <c r="K198" s="39" t="n">
        <v>0</v>
      </c>
      <c r="L198" s="39" t="n">
        <v>54252.8</v>
      </c>
      <c r="M198" s="39" t="n">
        <v>2500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</row>
    <row r="199">
      <c r="A199" s="14" t="n">
        <v>198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NEFT-IN42610557385883-VINAYAK OIL INDUSTRIES</t>
        </is>
      </c>
      <c r="H199" s="14" t="str"/>
      <c r="I199" s="14" t="inlineStr">
        <is>
          <t>Receipt</t>
        </is>
      </c>
      <c r="J199" s="39" t="n">
        <v>0</v>
      </c>
      <c r="K199" s="39" t="n">
        <v>44496</v>
      </c>
      <c r="L199" s="39" t="n">
        <v>44496</v>
      </c>
      <c r="M199" s="39" t="n">
        <v>46996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VINAYAK OIL INDUSTRIES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</row>
    <row r="200">
      <c r="A200" s="14" t="n">
        <v>199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EBANK:WIB/1504 EBANK:WIB/1504165308/Edfs</t>
        </is>
      </c>
      <c r="H200" s="14" t="str"/>
      <c r="I200" s="14" t="inlineStr">
        <is>
          <t>Payment</t>
        </is>
      </c>
      <c r="J200" s="39" t="n">
        <v>44496</v>
      </c>
      <c r="K200" s="39" t="n">
        <v>0</v>
      </c>
      <c r="L200" s="39" t="n">
        <v>44496</v>
      </c>
      <c r="M200" s="39" t="n">
        <v>2500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EBANKWIB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</row>
    <row r="201">
      <c r="A201" s="14" t="n">
        <v>200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46128</v>
      </c>
      <c r="F201" s="40" t="n">
        <v>46128</v>
      </c>
      <c r="G20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1" s="14" t="str"/>
      <c r="I201" s="14" t="inlineStr">
        <is>
          <t>Receipt</t>
        </is>
      </c>
      <c r="J201" s="39" t="n">
        <v>0</v>
      </c>
      <c r="K201" s="39" t="n">
        <v>239756</v>
      </c>
      <c r="L201" s="39" t="n">
        <v>239756</v>
      </c>
      <c r="M201" s="39" t="n">
        <v>242256</v>
      </c>
      <c r="N201" s="14" t="inlineStr">
        <is>
          <t>High Transaction; Recurring Transaction</t>
        </is>
      </c>
      <c r="O201" s="14" t="inlineStr">
        <is>
          <t>Yes</t>
        </is>
      </c>
      <c r="P201" s="14" t="inlineStr">
        <is>
          <t>PHONEPE LIMITED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1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46128</v>
      </c>
    </row>
    <row r="202">
      <c r="A202" s="14" t="n">
        <v>201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46128</v>
      </c>
      <c r="F202" s="40" t="n">
        <v>46128</v>
      </c>
      <c r="G202" s="16" t="inlineStr">
        <is>
          <t>DIGITA-MUMBAI/ NEFT-AXNPN10621015464-PHONEPE LIMITED-PAYMENT AGGR</t>
        </is>
      </c>
      <c r="H202" s="14" t="str"/>
      <c r="I202" s="14" t="inlineStr">
        <is>
          <t>Receipt</t>
        </is>
      </c>
      <c r="J202" s="39" t="n">
        <v>0</v>
      </c>
      <c r="K202" s="39" t="n">
        <v>74560.78</v>
      </c>
      <c r="L202" s="39" t="n">
        <v>74560.78</v>
      </c>
      <c r="M202" s="39" t="n">
        <v>316816.78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PHONEPE LIMITED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46128</v>
      </c>
    </row>
    <row r="203">
      <c r="A203" s="14" t="n">
        <v>202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46128</v>
      </c>
      <c r="F203" s="40" t="n">
        <v>46128</v>
      </c>
      <c r="G203" s="16" t="inlineStr">
        <is>
          <t>DIGITA-MUMBAI/ NEFT-AXISCN1312951656-ONE MOBIKWIK SYSTEMS LIMITED</t>
        </is>
      </c>
      <c r="H203" s="14" t="str"/>
      <c r="I203" s="14" t="inlineStr">
        <is>
          <t>Receipt</t>
        </is>
      </c>
      <c r="J203" s="39" t="n">
        <v>0</v>
      </c>
      <c r="K203" s="39" t="n">
        <v>1700</v>
      </c>
      <c r="L203" s="39" t="n">
        <v>1700</v>
      </c>
      <c r="M203" s="39" t="n">
        <v>318516.78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ONE MOBIKWIK SYSTEMS LIMITED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46128</v>
      </c>
    </row>
    <row r="204">
      <c r="A204" s="14" t="n">
        <v>203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NEFT-AXISCN1312996692-PINE LABS PRIVATE LIMITED-NO</t>
        </is>
      </c>
      <c r="H204" s="14" t="str"/>
      <c r="I204" s="14" t="inlineStr">
        <is>
          <t>Receipt</t>
        </is>
      </c>
      <c r="J204" s="39" t="n">
        <v>0</v>
      </c>
      <c r="K204" s="39" t="n">
        <v>250421</v>
      </c>
      <c r="L204" s="39" t="n">
        <v>250421</v>
      </c>
      <c r="M204" s="39" t="n">
        <v>568937.78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PINE LABS PRIVATE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</row>
    <row r="205">
      <c r="A205" s="14" t="n">
        <v>204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IMPS/P2A/610649287711/KAVITA ENTERPRI/Diesel paym</t>
        </is>
      </c>
      <c r="H205" s="14" t="str"/>
      <c r="I205" s="14" t="inlineStr">
        <is>
          <t>Receipt</t>
        </is>
      </c>
      <c r="J205" s="39" t="n">
        <v>0</v>
      </c>
      <c r="K205" s="39" t="n">
        <v>66021</v>
      </c>
      <c r="L205" s="39" t="n">
        <v>66021</v>
      </c>
      <c r="M205" s="39" t="n">
        <v>634958.78</v>
      </c>
      <c r="N205" s="14" t="inlineStr">
        <is>
          <t>Other</t>
        </is>
      </c>
      <c r="O205" s="14" t="inlineStr">
        <is>
          <t>No</t>
        </is>
      </c>
      <c r="P205" s="14" t="inlineStr">
        <is>
          <t>KAVITA ENTERPRI</t>
        </is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</row>
    <row r="206">
      <c r="A206" s="14" t="n">
        <v>205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RTGS-UBINR2202 RTGS-UBINR22026041601283543-SAPNA BUILDING MATERIA</t>
        </is>
      </c>
      <c r="H206" s="14" t="str"/>
      <c r="I206" s="14" t="inlineStr">
        <is>
          <t>Receipt</t>
        </is>
      </c>
      <c r="J206" s="39" t="n">
        <v>0</v>
      </c>
      <c r="K206" s="39" t="n">
        <v>200000</v>
      </c>
      <c r="L206" s="39" t="n">
        <v>200000</v>
      </c>
      <c r="M206" s="39" t="n">
        <v>834958.78</v>
      </c>
      <c r="N206" s="14" t="inlineStr">
        <is>
          <t>High Transaction</t>
        </is>
      </c>
      <c r="O206" s="14" t="inlineStr">
        <is>
          <t>No</t>
        </is>
      </c>
      <c r="P206" s="14" t="inlineStr">
        <is>
          <t>UBINR RTGS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</row>
    <row r="207">
      <c r="A207" s="14" t="n">
        <v>206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https://cbdrpt101.bankofbaroda.co.in:22000/finbranch/arjspmorph/INFENG/tran_rpt.jsp?... 04-05-2026 NEFT-NKGSH26106053406-GEBI PRODUCTS PRIVATE LIMITE</t>
        </is>
      </c>
      <c r="H207" s="14" t="str"/>
      <c r="I207" s="14" t="inlineStr">
        <is>
          <t>Receipt</t>
        </is>
      </c>
      <c r="J207" s="39" t="n">
        <v>0</v>
      </c>
      <c r="K207" s="39" t="n">
        <v>2407</v>
      </c>
      <c r="L207" s="39" t="n">
        <v>2407</v>
      </c>
      <c r="M207" s="39" t="n">
        <v>837365.78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CBDRPTBANKOFBARODACOIN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</row>
    <row r="208">
      <c r="A208" s="14" t="n">
        <v>207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IMPS/P2A/610615582026/SHREE GANESH EN/dieselVVS91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900673.78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</row>
    <row r="209">
      <c r="A209" s="14" t="n">
        <v>208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EBANK:WIB/1504 EBANK:WIB/1504268202/Edfs</t>
        </is>
      </c>
      <c r="H209" s="14" t="str"/>
      <c r="I209" s="14" t="inlineStr">
        <is>
          <t>Payment</t>
        </is>
      </c>
      <c r="J209" s="39" t="n">
        <v>898173.78</v>
      </c>
      <c r="K209" s="39" t="n">
        <v>0</v>
      </c>
      <c r="L209" s="39" t="n">
        <v>898173.78</v>
      </c>
      <c r="M209" s="39" t="n">
        <v>2500</v>
      </c>
      <c r="N209" s="14" t="inlineStr">
        <is>
          <t>High Transaction; Recurring Transaction</t>
        </is>
      </c>
      <c r="O209" s="14" t="inlineStr">
        <is>
          <t>Yes</t>
        </is>
      </c>
      <c r="P209" s="14" t="inlineStr">
        <is>
          <t>EBANKWIB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</row>
    <row r="210">
      <c r="A210" s="14" t="n">
        <v>209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NEFT-HDFCH00937546897-KUNDAN QUARRY</t>
        </is>
      </c>
      <c r="H210" s="14" t="str"/>
      <c r="I210" s="14" t="inlineStr">
        <is>
          <t>Receipt</t>
        </is>
      </c>
      <c r="J210" s="39" t="n">
        <v>0</v>
      </c>
      <c r="K210" s="39" t="n">
        <v>6250</v>
      </c>
      <c r="L210" s="39" t="n">
        <v>6250</v>
      </c>
      <c r="M210" s="39" t="n">
        <v>8750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KUNDAN QUARRY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</row>
    <row r="211">
      <c r="A211" s="14" t="n">
        <v>210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46129</v>
      </c>
      <c r="F211" s="40" t="n">
        <v>46129</v>
      </c>
      <c r="G211" s="16" t="inlineStr">
        <is>
          <t>DIGITA-MUMBAI/ NEFT-YESAP61072570192-PhonePe Limited</t>
        </is>
      </c>
      <c r="H211" s="14" t="str"/>
      <c r="I211" s="14" t="inlineStr">
        <is>
          <t>Receipt</t>
        </is>
      </c>
      <c r="J211" s="39" t="n">
        <v>0</v>
      </c>
      <c r="K211" s="39" t="n">
        <v>249326.76</v>
      </c>
      <c r="L211" s="39" t="n">
        <v>249326.76</v>
      </c>
      <c r="M211" s="39" t="n">
        <v>258076.76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PHONEPE LIMITED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46129</v>
      </c>
    </row>
    <row r="212">
      <c r="A212" s="14" t="n">
        <v>211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46129</v>
      </c>
      <c r="F212" s="40" t="n">
        <v>46129</v>
      </c>
      <c r="G212" s="16" t="inlineStr">
        <is>
          <t>DIGITA-MUMBAI/ NEFT-AXNPN10729450166-PHONEPE LIMITED-PAYMENT AGGR</t>
        </is>
      </c>
      <c r="H212" s="14" t="str"/>
      <c r="I212" s="14" t="inlineStr">
        <is>
          <t>Receipt</t>
        </is>
      </c>
      <c r="J212" s="39" t="n">
        <v>0</v>
      </c>
      <c r="K212" s="39" t="n">
        <v>72938</v>
      </c>
      <c r="L212" s="39" t="n">
        <v>72938</v>
      </c>
      <c r="M212" s="39" t="n">
        <v>331014.76</v>
      </c>
      <c r="N212" s="14" t="inlineStr">
        <is>
          <t>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46129</v>
      </c>
    </row>
    <row r="213">
      <c r="A213" s="14" t="n">
        <v>212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46129</v>
      </c>
      <c r="F213" s="40" t="n">
        <v>46129</v>
      </c>
      <c r="G213" s="16" t="inlineStr">
        <is>
          <t>EBANK:WIB/1504 EBANK:WIB/1504347697/Edfs</t>
        </is>
      </c>
      <c r="H213" s="14" t="str"/>
      <c r="I213" s="14" t="inlineStr">
        <is>
          <t>Payment</t>
        </is>
      </c>
      <c r="J213" s="39" t="n">
        <v>328514.76</v>
      </c>
      <c r="K213" s="39" t="n">
        <v>0</v>
      </c>
      <c r="L213" s="39" t="n">
        <v>328514.76</v>
      </c>
      <c r="M213" s="39" t="n">
        <v>2500</v>
      </c>
      <c r="N213" s="14" t="inlineStr">
        <is>
          <t>High Transaction; Recurring Transaction</t>
        </is>
      </c>
      <c r="O213" s="14" t="inlineStr">
        <is>
          <t>Yes</t>
        </is>
      </c>
      <c r="P213" s="14" t="inlineStr">
        <is>
          <t>EBANKWIB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1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46129</v>
      </c>
    </row>
    <row r="214">
      <c r="A214" s="14" t="n">
        <v>213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NEFT-AXISCN1314090244-ONE MOBIKWIK SYSTEMS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25410</v>
      </c>
      <c r="L214" s="39" t="n">
        <v>25410</v>
      </c>
      <c r="M214" s="39" t="n">
        <v>27910</v>
      </c>
      <c r="N214" s="14" t="inlineStr">
        <is>
          <t>Recurring Transaction</t>
        </is>
      </c>
      <c r="O214" s="14" t="inlineStr">
        <is>
          <t>Yes</t>
        </is>
      </c>
      <c r="P214" s="14" t="inlineStr">
        <is>
          <t>ONE MOBIKWIK SYSTEMS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</row>
    <row r="215">
      <c r="A215" s="14" t="n">
        <v>214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NEFT-AXISCN1314172091-PINE LABS PRIVATE LIMITED-NO</t>
        </is>
      </c>
      <c r="H215" s="14" t="str"/>
      <c r="I215" s="14" t="inlineStr">
        <is>
          <t>Receipt</t>
        </is>
      </c>
      <c r="J215" s="39" t="n">
        <v>0</v>
      </c>
      <c r="K215" s="39" t="n">
        <v>33352</v>
      </c>
      <c r="L215" s="39" t="n">
        <v>33352</v>
      </c>
      <c r="M215" s="39" t="n">
        <v>61262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PINE LABS PRIVATE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</row>
    <row r="216">
      <c r="A216" s="14" t="n">
        <v>215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DIGITA-MUMBAI/ IMPS/P2A/610752978132/SAYEDTAHIRUDDIN/IMPS P2A JI</t>
        </is>
      </c>
      <c r="H216" s="14" t="str"/>
      <c r="I216" s="14" t="inlineStr">
        <is>
          <t>Receipt</t>
        </is>
      </c>
      <c r="J216" s="39" t="n">
        <v>0</v>
      </c>
      <c r="K216" s="39" t="n">
        <v>45220</v>
      </c>
      <c r="L216" s="39" t="n">
        <v>45220</v>
      </c>
      <c r="M216" s="39" t="n">
        <v>106482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SAYEDTAHIRUDDIN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</row>
    <row r="217">
      <c r="A217" s="14" t="n">
        <v>216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17" s="14" t="str"/>
      <c r="I217" s="14" t="inlineStr">
        <is>
          <t>Receipt</t>
        </is>
      </c>
      <c r="J217" s="39" t="n">
        <v>0</v>
      </c>
      <c r="K217" s="39" t="n">
        <v>48786</v>
      </c>
      <c r="L217" s="39" t="n">
        <v>48786</v>
      </c>
      <c r="M217" s="39" t="n">
        <v>155268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PAGE TOTAL   CR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</row>
    <row r="218">
      <c r="A218" s="14" t="n">
        <v>217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EBANK:WIB/1504 EBANK:WIB/1504424773/Edfs</t>
        </is>
      </c>
      <c r="H218" s="14" t="str"/>
      <c r="I218" s="14" t="inlineStr">
        <is>
          <t>Payment</t>
        </is>
      </c>
      <c r="J218" s="39" t="n">
        <v>150000</v>
      </c>
      <c r="K218" s="39" t="n">
        <v>0</v>
      </c>
      <c r="L218" s="39" t="n">
        <v>150000</v>
      </c>
      <c r="M218" s="39" t="n">
        <v>5268</v>
      </c>
      <c r="N218" s="14" t="inlineStr">
        <is>
          <t>High Transaction; Recurring Transaction</t>
        </is>
      </c>
      <c r="O218" s="14" t="inlineStr">
        <is>
          <t>Yes</t>
        </is>
      </c>
      <c r="P218" s="14" t="inlineStr">
        <is>
          <t>EBANKWIB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1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</row>
    <row r="219">
      <c r="A219" s="14" t="n">
        <v>218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BOBID:1503699072</t>
        </is>
      </c>
      <c r="H219" s="14" t="str"/>
      <c r="I219" s="14" t="inlineStr">
        <is>
          <t>Receipt</t>
        </is>
      </c>
      <c r="J219" s="39" t="n">
        <v>0</v>
      </c>
      <c r="K219" s="39" t="n">
        <v>1000</v>
      </c>
      <c r="L219" s="39" t="n">
        <v>1000</v>
      </c>
      <c r="M219" s="39" t="n">
        <v>6268</v>
      </c>
      <c r="N219" s="14" t="inlineStr">
        <is>
          <t>Other</t>
        </is>
      </c>
      <c r="O219" s="14" t="inlineStr">
        <is>
          <t>No</t>
        </is>
      </c>
      <c r="P219" s="14" t="inlineStr">
        <is>
          <t>DIGITA-MUMBAI/ BOBID:#</t>
        </is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</row>
    <row r="220">
      <c r="A220" s="14" t="n">
        <v>219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NEFT-HDFCH00940845785-SUDHIR SWITCHGEARS PVT LTD</t>
        </is>
      </c>
      <c r="H220" s="14" t="str"/>
      <c r="I220" s="14" t="inlineStr">
        <is>
          <t>Receipt</t>
        </is>
      </c>
      <c r="J220" s="39" t="n">
        <v>0</v>
      </c>
      <c r="K220" s="39" t="n">
        <v>58304</v>
      </c>
      <c r="L220" s="39" t="n">
        <v>58304</v>
      </c>
      <c r="M220" s="39" t="n">
        <v>64572</v>
      </c>
      <c r="N220" s="14" t="inlineStr">
        <is>
          <t>Other</t>
        </is>
      </c>
      <c r="O220" s="14" t="inlineStr">
        <is>
          <t>No</t>
        </is>
      </c>
      <c r="P220" s="14" t="inlineStr">
        <is>
          <t>SUDHIR SWITCHGEARS PVT LTD</t>
        </is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</row>
    <row r="221">
      <c r="A221" s="14" t="n">
        <v>220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46130</v>
      </c>
      <c r="F221" s="40" t="n">
        <v>46130</v>
      </c>
      <c r="G221" s="16" t="inlineStr">
        <is>
          <t>DIGITA-MUMBAI/ NEFT-YESAP61082703898-PhonePe Limited</t>
        </is>
      </c>
      <c r="H221" s="14" t="str"/>
      <c r="I221" s="14" t="inlineStr">
        <is>
          <t>Receipt</t>
        </is>
      </c>
      <c r="J221" s="39" t="n">
        <v>0</v>
      </c>
      <c r="K221" s="39" t="n">
        <v>219193</v>
      </c>
      <c r="L221" s="39" t="n">
        <v>219193</v>
      </c>
      <c r="M221" s="39" t="n">
        <v>283765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PHONEPE LIMITED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46130</v>
      </c>
    </row>
    <row r="222">
      <c r="A222" s="14" t="n">
        <v>221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46130</v>
      </c>
      <c r="F222" s="40" t="n">
        <v>46130</v>
      </c>
      <c r="G222" s="16" t="inlineStr">
        <is>
          <t>DIGITA-MUMBAI/ NEFT-AXNPN10838004592-PHONEPE LIMITED-PAYMENT AGGR</t>
        </is>
      </c>
      <c r="H222" s="14" t="str"/>
      <c r="I222" s="14" t="inlineStr">
        <is>
          <t>Receipt</t>
        </is>
      </c>
      <c r="J222" s="39" t="n">
        <v>0</v>
      </c>
      <c r="K222" s="39" t="n">
        <v>61076.28</v>
      </c>
      <c r="L222" s="39" t="n">
        <v>61076.28</v>
      </c>
      <c r="M222" s="39" t="n">
        <v>344841.28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PHONEPE LIMITED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46130</v>
      </c>
    </row>
    <row r="223">
      <c r="A223" s="14" t="n">
        <v>222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46130</v>
      </c>
      <c r="F223" s="40" t="n">
        <v>46130</v>
      </c>
      <c r="G223" s="16" t="inlineStr">
        <is>
          <t>DIGITA-MUMBAI/ NEFT-AXISCN1315312388-ONE MOBIKWIK SYSTEMS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15702</v>
      </c>
      <c r="L223" s="39" t="n">
        <v>15702</v>
      </c>
      <c r="M223" s="39" t="n">
        <v>360543.28</v>
      </c>
      <c r="N223" s="14" t="inlineStr">
        <is>
          <t>Recurring Transaction</t>
        </is>
      </c>
      <c r="O223" s="14" t="inlineStr">
        <is>
          <t>Yes</t>
        </is>
      </c>
      <c r="P223" s="14" t="inlineStr">
        <is>
          <t>ONE MOBIKWIK SYSTEMS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46130</v>
      </c>
    </row>
    <row r="224">
      <c r="A224" s="14" t="n">
        <v>223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NEFT-AXISCN1315357169-PINE LABS PRIVATE LIMITED-NO</t>
        </is>
      </c>
      <c r="H224" s="14" t="str"/>
      <c r="I224" s="14" t="inlineStr">
        <is>
          <t>Receipt</t>
        </is>
      </c>
      <c r="J224" s="39" t="n">
        <v>0</v>
      </c>
      <c r="K224" s="39" t="n">
        <v>52492</v>
      </c>
      <c r="L224" s="39" t="n">
        <v>52492</v>
      </c>
      <c r="M224" s="39" t="n">
        <v>413035.28</v>
      </c>
      <c r="N224" s="14" t="inlineStr">
        <is>
          <t>Recurring Transaction</t>
        </is>
      </c>
      <c r="O224" s="14" t="inlineStr">
        <is>
          <t>Yes</t>
        </is>
      </c>
      <c r="P224" s="14" t="inlineStr">
        <is>
          <t>PINE LABS PRIVATE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</row>
    <row r="225">
      <c r="A225" s="14" t="n">
        <v>224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UPI/1217782049 78204946 UPI/121778204946/11:06:59/UPI/sureshenterprises15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15000</v>
      </c>
      <c r="L225" s="39" t="n">
        <v>15000</v>
      </c>
      <c r="M225" s="39" t="n">
        <v>428035.28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</row>
    <row r="226">
      <c r="A226" s="14" t="n">
        <v>225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NEFT-IN42610859044614-SMITA STEELS ROLLING MILLS P</t>
        </is>
      </c>
      <c r="H226" s="14" t="str"/>
      <c r="I226" s="14" t="inlineStr">
        <is>
          <t>Receipt</t>
        </is>
      </c>
      <c r="J226" s="39" t="n">
        <v>0</v>
      </c>
      <c r="K226" s="39" t="n">
        <v>18000</v>
      </c>
      <c r="L226" s="39" t="n">
        <v>18000</v>
      </c>
      <c r="M226" s="39" t="n">
        <v>446035.28</v>
      </c>
      <c r="N226" s="14" t="inlineStr">
        <is>
          <t>Other</t>
        </is>
      </c>
      <c r="O226" s="14" t="inlineStr">
        <is>
          <t>No</t>
        </is>
      </c>
      <c r="P226" s="14" t="inlineStr">
        <is>
          <t>SMITA STEELS ROLLING MILLS P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</row>
    <row r="227">
      <c r="A227" s="14" t="n">
        <v>226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NEFT-FBPT261087153653-PREMIER CONVEYORS PRIVATE LI</t>
        </is>
      </c>
      <c r="H227" s="14" t="str"/>
      <c r="I227" s="14" t="inlineStr">
        <is>
          <t>Receipt</t>
        </is>
      </c>
      <c r="J227" s="39" t="n">
        <v>0</v>
      </c>
      <c r="K227" s="39" t="n">
        <v>37132</v>
      </c>
      <c r="L227" s="39" t="n">
        <v>37132</v>
      </c>
      <c r="M227" s="39" t="n">
        <v>483167.28</v>
      </c>
      <c r="N227" s="14" t="inlineStr">
        <is>
          <t>EMI; Recurring Transaction</t>
        </is>
      </c>
      <c r="O227" s="14" t="inlineStr">
        <is>
          <t>Yes</t>
        </is>
      </c>
      <c r="P227" s="14" t="inlineStr">
        <is>
          <t>PREMIER CONVEYORS PRIVATE LI</t>
        </is>
      </c>
      <c r="Q227" s="14" t="n">
        <v>0</v>
      </c>
      <c r="R227" s="14" t="n">
        <v>1</v>
      </c>
      <c r="S227" s="14" t="n">
        <v>1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</row>
    <row r="228">
      <c r="A228" s="14" t="n">
        <v>227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EBANK:WIB/1504 EBANK:WIB/1504650433/Edfs</t>
        </is>
      </c>
      <c r="H228" s="14" t="str"/>
      <c r="I228" s="14" t="inlineStr">
        <is>
          <t>Payment</t>
        </is>
      </c>
      <c r="J228" s="39" t="n">
        <v>480667.28</v>
      </c>
      <c r="K228" s="39" t="n">
        <v>0</v>
      </c>
      <c r="L228" s="39" t="n">
        <v>480667.28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</row>
    <row r="229">
      <c r="A229" s="14" t="n">
        <v>228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46131</v>
      </c>
      <c r="F229" s="40" t="n">
        <v>46131</v>
      </c>
      <c r="G229" s="16" t="inlineStr">
        <is>
          <t>DIGITA-MUMBAI/ NEFT-AXNPN10949045747-PHONEPE LIMITED-PAYMENT AGGR</t>
        </is>
      </c>
      <c r="H229" s="14" t="str"/>
      <c r="I229" s="14" t="inlineStr">
        <is>
          <t>Receipt</t>
        </is>
      </c>
      <c r="J229" s="39" t="n">
        <v>0</v>
      </c>
      <c r="K229" s="39" t="n">
        <v>66511</v>
      </c>
      <c r="L229" s="39" t="n">
        <v>66511</v>
      </c>
      <c r="M229" s="39" t="n">
        <v>69011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PHONEPE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46131</v>
      </c>
    </row>
    <row r="230">
      <c r="A230" s="14" t="n">
        <v>229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46131</v>
      </c>
      <c r="F230" s="40" t="n">
        <v>46131</v>
      </c>
      <c r="G230" s="16" t="inlineStr">
        <is>
          <t>DIGITA-MUMBAI/ NEFT-YESAP61090338379-PhonePe Limited https://cbdrpt101.bankofbaroda.co.in:22000/finbranch/arjspmorph/INFENG/tran_rpt.jsp?... 04-05-2026</t>
        </is>
      </c>
      <c r="H230" s="14" t="str"/>
      <c r="I230" s="14" t="inlineStr">
        <is>
          <t>Receipt</t>
        </is>
      </c>
      <c r="J230" s="39" t="n">
        <v>0</v>
      </c>
      <c r="K230" s="39" t="n">
        <v>218422</v>
      </c>
      <c r="L230" s="39" t="n">
        <v>218422</v>
      </c>
      <c r="M230" s="39" t="n">
        <v>287433</v>
      </c>
      <c r="N230" s="14" t="inlineStr">
        <is>
          <t>High Transaction</t>
        </is>
      </c>
      <c r="O230" s="14" t="inlineStr">
        <is>
          <t>No</t>
        </is>
      </c>
      <c r="P230" s="14" t="inlineStr">
        <is>
          <t>PHONEPE LIMITED HTTPS</t>
        </is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1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46131</v>
      </c>
    </row>
    <row r="231">
      <c r="A231" s="14" t="n">
        <v>230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46131</v>
      </c>
      <c r="F231" s="40" t="n">
        <v>46131</v>
      </c>
      <c r="G231" s="16" t="inlineStr">
        <is>
          <t>DIGITA-MUMBAI/ NEFT-AXISCN1317988876-ONE MOBIKWIK SYSTEMS LIMITED</t>
        </is>
      </c>
      <c r="H231" s="14" t="str"/>
      <c r="I231" s="14" t="inlineStr">
        <is>
          <t>Receipt</t>
        </is>
      </c>
      <c r="J231" s="39" t="n">
        <v>0</v>
      </c>
      <c r="K231" s="39" t="n">
        <v>2500</v>
      </c>
      <c r="L231" s="39" t="n">
        <v>2500</v>
      </c>
      <c r="M231" s="39" t="n">
        <v>289933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ONE MOBIKWIK SYSTEMS LIMITED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46131</v>
      </c>
    </row>
    <row r="232">
      <c r="A232" s="14" t="n">
        <v>231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EBANK:WIB/1504 EBANK:WIB/1504657570/Edfs</t>
        </is>
      </c>
      <c r="H232" s="14" t="str"/>
      <c r="I232" s="14" t="inlineStr">
        <is>
          <t>Payment</t>
        </is>
      </c>
      <c r="J232" s="39" t="n">
        <v>259433</v>
      </c>
      <c r="K232" s="39" t="n">
        <v>0</v>
      </c>
      <c r="L232" s="39" t="n">
        <v>259433</v>
      </c>
      <c r="M232" s="39" t="n">
        <v>30500</v>
      </c>
      <c r="N232" s="14" t="inlineStr">
        <is>
          <t>High Transaction; Recurring Transaction</t>
        </is>
      </c>
      <c r="O232" s="14" t="inlineStr">
        <is>
          <t>Yes</t>
        </is>
      </c>
      <c r="P232" s="14" t="inlineStr">
        <is>
          <t>EBANKWIB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1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</row>
    <row r="233">
      <c r="A233" s="14" t="n">
        <v>232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3" s="14" t="str"/>
      <c r="I233" s="14" t="inlineStr">
        <is>
          <t>Receipt</t>
        </is>
      </c>
      <c r="J233" s="39" t="n">
        <v>0</v>
      </c>
      <c r="K233" s="39" t="n">
        <v>40698</v>
      </c>
      <c r="L233" s="39" t="n">
        <v>40698</v>
      </c>
      <c r="M233" s="39" t="n">
        <v>71198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PAGE TOTAL   CR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</row>
    <row r="234">
      <c r="A234" s="14" t="n">
        <v>233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SMS Charges SMS Charges for MAR 26</t>
        </is>
      </c>
      <c r="H234" s="14" t="str"/>
      <c r="I234" s="14" t="inlineStr">
        <is>
          <t>Payment</t>
        </is>
      </c>
      <c r="J234" s="39" t="n">
        <v>0.47</v>
      </c>
      <c r="K234" s="39" t="n">
        <v>0</v>
      </c>
      <c r="L234" s="39" t="n">
        <v>0.47</v>
      </c>
      <c r="M234" s="39" t="n">
        <v>71197.53</v>
      </c>
      <c r="N234" s="14" t="inlineStr">
        <is>
          <t>Other</t>
        </is>
      </c>
      <c r="O234" s="14" t="inlineStr">
        <is>
          <t>No</t>
        </is>
      </c>
      <c r="P234" s="14" t="inlineStr">
        <is>
          <t>SMS CHARGES SMS CHARGES FOR MAR</t>
        </is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</row>
    <row r="235">
      <c r="A235" s="14" t="n">
        <v>234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DIGITA-MUMBAI/ IMPS/P2A/610911584011/SHREE GANESH EN/diesel VVS9</t>
        </is>
      </c>
      <c r="H235" s="14" t="str"/>
      <c r="I235" s="14" t="inlineStr">
        <is>
          <t>Receipt</t>
        </is>
      </c>
      <c r="J235" s="39" t="n">
        <v>0</v>
      </c>
      <c r="K235" s="39" t="n">
        <v>63308</v>
      </c>
      <c r="L235" s="39" t="n">
        <v>63308</v>
      </c>
      <c r="M235" s="39" t="n">
        <v>134505.53</v>
      </c>
      <c r="N235" s="14" t="inlineStr">
        <is>
          <t>Recurring Transaction</t>
        </is>
      </c>
      <c r="O235" s="14" t="inlineStr">
        <is>
          <t>Yes</t>
        </is>
      </c>
      <c r="P235" s="14" t="inlineStr">
        <is>
          <t>SHREE GANESH EN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</row>
    <row r="236">
      <c r="A236" s="14" t="n">
        <v>235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UPI/4002793229 79322988 UPI/400279322988/11:44:31/UPI/surajdhanotra1@ibl/</t>
        </is>
      </c>
      <c r="H236" s="14" t="str"/>
      <c r="I236" s="14" t="inlineStr">
        <is>
          <t>Receipt</t>
        </is>
      </c>
      <c r="J236" s="39" t="n">
        <v>0</v>
      </c>
      <c r="K236" s="39" t="n">
        <v>11305</v>
      </c>
      <c r="L236" s="39" t="n">
        <v>11305</v>
      </c>
      <c r="M236" s="39" t="n">
        <v>145810.53</v>
      </c>
      <c r="N236" s="14" t="inlineStr">
        <is>
          <t>UPI; Recurring Transaction</t>
        </is>
      </c>
      <c r="O236" s="14" t="inlineStr">
        <is>
          <t>Yes</t>
        </is>
      </c>
      <c r="P236" s="14" t="inlineStr">
        <is>
          <t>SURAJDHANOTRAIBL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1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</row>
    <row r="237">
      <c r="A237" s="14" t="n">
        <v>236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UPI/6109476580 47658049 UPI/610947658049/18:07:36/UPI/akashshelar41-2@oki</t>
        </is>
      </c>
      <c r="H237" s="14" t="str"/>
      <c r="I237" s="14" t="inlineStr">
        <is>
          <t>Receipt</t>
        </is>
      </c>
      <c r="J237" s="39" t="n">
        <v>0</v>
      </c>
      <c r="K237" s="39" t="n">
        <v>58000</v>
      </c>
      <c r="L237" s="39" t="n">
        <v>58000</v>
      </c>
      <c r="M237" s="39" t="n">
        <v>203810.53</v>
      </c>
      <c r="N237" s="14" t="inlineStr">
        <is>
          <t>UPI; Recurring Transaction</t>
        </is>
      </c>
      <c r="O237" s="14" t="inlineStr">
        <is>
          <t>Yes</t>
        </is>
      </c>
      <c r="P237" s="14" t="inlineStr">
        <is>
          <t>AKASHSHELAR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1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</row>
    <row r="238">
      <c r="A238" s="14" t="n">
        <v>237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UPI/7858383104 38310405 UPI/785838310405/18:17:34/UPI/slaksmanaswamy@ybl/</t>
        </is>
      </c>
      <c r="H238" s="14" t="str"/>
      <c r="I238" s="14" t="inlineStr">
        <is>
          <t>Receipt</t>
        </is>
      </c>
      <c r="J238" s="39" t="n">
        <v>0</v>
      </c>
      <c r="K238" s="39" t="n">
        <v>10000</v>
      </c>
      <c r="L238" s="39" t="n">
        <v>10000</v>
      </c>
      <c r="M238" s="39" t="n">
        <v>213810.53</v>
      </c>
      <c r="N238" s="14" t="inlineStr">
        <is>
          <t>UPI</t>
        </is>
      </c>
      <c r="O238" s="14" t="inlineStr">
        <is>
          <t>No</t>
        </is>
      </c>
      <c r="P238" s="14" t="inlineStr">
        <is>
          <t>SLAKSMANASWAMYYBL</t>
        </is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1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</row>
    <row r="239">
      <c r="A239" s="14" t="n">
        <v>238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EBANK:WIB/1504 EBANK:WIB/1504707135/Edfs</t>
        </is>
      </c>
      <c r="H239" s="14" t="str"/>
      <c r="I239" s="14" t="inlineStr">
        <is>
          <t>Payment</t>
        </is>
      </c>
      <c r="J239" s="39" t="n">
        <v>211310.53</v>
      </c>
      <c r="K239" s="39" t="n">
        <v>0</v>
      </c>
      <c r="L239" s="39" t="n">
        <v>211310.53</v>
      </c>
      <c r="M239" s="39" t="n">
        <v>2500</v>
      </c>
      <c r="N239" s="14" t="inlineStr">
        <is>
          <t>High Transaction; Recurring Transaction</t>
        </is>
      </c>
      <c r="O239" s="14" t="inlineStr">
        <is>
          <t>Yes</t>
        </is>
      </c>
      <c r="P239" s="14" t="inlineStr">
        <is>
          <t>EBANKWIB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1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</row>
    <row r="240">
      <c r="A240" s="14" t="n">
        <v>239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46132</v>
      </c>
      <c r="F240" s="40" t="n">
        <v>46132</v>
      </c>
      <c r="G240" s="16" t="inlineStr">
        <is>
          <t>DIGITA-MUMBAI/ NEFT-YESAP61103651332-PhonePe Limited</t>
        </is>
      </c>
      <c r="H240" s="14" t="str"/>
      <c r="I240" s="14" t="inlineStr">
        <is>
          <t>Receipt</t>
        </is>
      </c>
      <c r="J240" s="39" t="n">
        <v>0</v>
      </c>
      <c r="K240" s="39" t="n">
        <v>174695.6</v>
      </c>
      <c r="L240" s="39" t="n">
        <v>174695.6</v>
      </c>
      <c r="M240" s="39" t="n">
        <v>177195.6</v>
      </c>
      <c r="N240" s="14" t="inlineStr">
        <is>
          <t>High Transaction; Recurring Transaction</t>
        </is>
      </c>
      <c r="O240" s="14" t="inlineStr">
        <is>
          <t>Yes</t>
        </is>
      </c>
      <c r="P240" s="14" t="inlineStr">
        <is>
          <t>PHONEPE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1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46132</v>
      </c>
    </row>
    <row r="241">
      <c r="A241" s="14" t="n">
        <v>240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46132</v>
      </c>
      <c r="F241" s="40" t="n">
        <v>46132</v>
      </c>
      <c r="G241" s="16" t="inlineStr">
        <is>
          <t>DIGITA-MUMBAI/ NEFT-AXNPN11057011051-PHONEPE LIMITED-PAYMENT AGGR</t>
        </is>
      </c>
      <c r="H241" s="14" t="str"/>
      <c r="I241" s="14" t="inlineStr">
        <is>
          <t>Receipt</t>
        </is>
      </c>
      <c r="J241" s="39" t="n">
        <v>0</v>
      </c>
      <c r="K241" s="39" t="n">
        <v>86876.92</v>
      </c>
      <c r="L241" s="39" t="n">
        <v>86876.92</v>
      </c>
      <c r="M241" s="39" t="n">
        <v>264072.52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PHONEPE LIMITED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46132</v>
      </c>
    </row>
    <row r="242">
      <c r="A242" s="14" t="n">
        <v>241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46132</v>
      </c>
      <c r="F242" s="40" t="n">
        <v>46132</v>
      </c>
      <c r="G242" s="16" t="inlineStr">
        <is>
          <t>EBANK:WIB/1504 EBANK:WIB/1504717278/Edfs</t>
        </is>
      </c>
      <c r="H242" s="14" t="str"/>
      <c r="I242" s="14" t="inlineStr">
        <is>
          <t>Payment</t>
        </is>
      </c>
      <c r="J242" s="39" t="n">
        <v>260572.52</v>
      </c>
      <c r="K242" s="39" t="n">
        <v>0</v>
      </c>
      <c r="L242" s="39" t="n">
        <v>260572.52</v>
      </c>
      <c r="M242" s="39" t="n">
        <v>3500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46132</v>
      </c>
    </row>
    <row r="243">
      <c r="A243" s="14" t="n">
        <v>242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IMPS/P2A/611008018806/VILLAGE STONE L/Diesel paym</t>
        </is>
      </c>
      <c r="H243" s="14" t="str"/>
      <c r="I243" s="14" t="inlineStr">
        <is>
          <t>Receipt</t>
        </is>
      </c>
      <c r="J243" s="39" t="n">
        <v>0</v>
      </c>
      <c r="K243" s="39" t="n">
        <v>16000</v>
      </c>
      <c r="L243" s="39" t="n">
        <v>16000</v>
      </c>
      <c r="M243" s="39" t="n">
        <v>19500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VILLAGE STONE L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</row>
    <row r="244">
      <c r="A244" s="14" t="n">
        <v>243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NEFT-AXISCN1318671183-PINE LABS PRIVATE LIMITED-NO</t>
        </is>
      </c>
      <c r="H244" s="14" t="str"/>
      <c r="I244" s="14" t="inlineStr">
        <is>
          <t>Receipt</t>
        </is>
      </c>
      <c r="J244" s="39" t="n">
        <v>0</v>
      </c>
      <c r="K244" s="39" t="n">
        <v>17950</v>
      </c>
      <c r="L244" s="39" t="n">
        <v>17950</v>
      </c>
      <c r="M244" s="39" t="n">
        <v>37450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PINE LABS PRIVATE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</row>
    <row r="245">
      <c r="A245" s="14" t="n">
        <v>244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DIGITA-MUMBAI/ NEFT-AXISCN1318760388-PINE LABS PRIVATE LIMITED-NO</t>
        </is>
      </c>
      <c r="H245" s="14" t="str"/>
      <c r="I245" s="14" t="inlineStr">
        <is>
          <t>Receipt</t>
        </is>
      </c>
      <c r="J245" s="39" t="n">
        <v>0</v>
      </c>
      <c r="K245" s="39" t="n">
        <v>56731</v>
      </c>
      <c r="L245" s="39" t="n">
        <v>56731</v>
      </c>
      <c r="M245" s="39" t="n">
        <v>94181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PINE LABS PRIVATE LIMITED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</row>
    <row r="246">
      <c r="A246" s="14" t="n">
        <v>245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NEFT-NKGSH26110097618-GEBI PRODUCTS PRIVATE LIMITE</t>
        </is>
      </c>
      <c r="H246" s="14" t="str"/>
      <c r="I246" s="14" t="inlineStr">
        <is>
          <t>Receipt</t>
        </is>
      </c>
      <c r="J246" s="39" t="n">
        <v>0</v>
      </c>
      <c r="K246" s="39" t="n">
        <v>6226.78</v>
      </c>
      <c r="L246" s="39" t="n">
        <v>6226.78</v>
      </c>
      <c r="M246" s="39" t="n">
        <v>100407.78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GEBI PRODUCTS PRIVATE LIMITE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</row>
    <row r="247">
      <c r="A247" s="14" t="n">
        <v>246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UPI/6476820079 82007940 UPI/647682007940/13:39:58/UPI/patilsojwal855@okax</t>
        </is>
      </c>
      <c r="H247" s="14" t="str"/>
      <c r="I247" s="14" t="inlineStr">
        <is>
          <t>Receipt</t>
        </is>
      </c>
      <c r="J247" s="39" t="n">
        <v>0</v>
      </c>
      <c r="K247" s="39" t="n">
        <v>1</v>
      </c>
      <c r="L247" s="39" t="n">
        <v>1</v>
      </c>
      <c r="M247" s="39" t="n">
        <v>100408.78</v>
      </c>
      <c r="N247" s="14" t="inlineStr">
        <is>
          <t>UPI; Recurring Transaction</t>
        </is>
      </c>
      <c r="O247" s="14" t="inlineStr">
        <is>
          <t>Yes</t>
        </is>
      </c>
      <c r="P247" s="14" t="inlineStr">
        <is>
          <t>PATILSOJWALOKAX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1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</row>
    <row r="248">
      <c r="A248" s="14" t="n">
        <v>247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48" s="14" t="str"/>
      <c r="I248" s="14" t="inlineStr">
        <is>
          <t>Receipt</t>
        </is>
      </c>
      <c r="J248" s="39" t="n">
        <v>0</v>
      </c>
      <c r="K248" s="39" t="n">
        <v>14699</v>
      </c>
      <c r="L248" s="39" t="n">
        <v>14699</v>
      </c>
      <c r="M248" s="39" t="n">
        <v>115107.78</v>
      </c>
      <c r="N248" s="14" t="inlineStr">
        <is>
          <t>UPI; Recurring Transaction</t>
        </is>
      </c>
      <c r="O248" s="14" t="inlineStr">
        <is>
          <t>Yes</t>
        </is>
      </c>
      <c r="P248" s="14" t="inlineStr">
        <is>
          <t>PATILSOJWALOKAX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1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</row>
    <row r="249">
      <c r="A249" s="14" t="n">
        <v>248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NEFT-IDIBH11038876490-JAI AMBE TRANSPORT</t>
        </is>
      </c>
      <c r="H249" s="14" t="str"/>
      <c r="I249" s="14" t="inlineStr">
        <is>
          <t>Receipt</t>
        </is>
      </c>
      <c r="J249" s="39" t="n">
        <v>0</v>
      </c>
      <c r="K249" s="39" t="n">
        <v>2930</v>
      </c>
      <c r="L249" s="39" t="n">
        <v>2930</v>
      </c>
      <c r="M249" s="39" t="n">
        <v>118037.78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JAI AMBE TRANSPORT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</row>
    <row r="250">
      <c r="A250" s="14" t="n">
        <v>249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DIGITA-MUMBAI/ NEFT-KKBKH26110838388-ATLAS COMMODITIES PRIVATE LI</t>
        </is>
      </c>
      <c r="H250" s="14" t="str"/>
      <c r="I250" s="14" t="inlineStr">
        <is>
          <t>Receipt</t>
        </is>
      </c>
      <c r="J250" s="39" t="n">
        <v>0</v>
      </c>
      <c r="K250" s="39" t="n">
        <v>8210</v>
      </c>
      <c r="L250" s="39" t="n">
        <v>8210</v>
      </c>
      <c r="M250" s="39" t="n">
        <v>126247.78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ATLAS COMMODITIES PRIVATE LI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</row>
    <row r="251">
      <c r="A251" s="14" t="n">
        <v>250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>DIGITA-MUMBAI/ NEFT-IN42611050112752-JERAI FITNESS LIMITED</t>
        </is>
      </c>
      <c r="H251" s="14" t="str"/>
      <c r="I251" s="14" t="inlineStr">
        <is>
          <t>Receipt</t>
        </is>
      </c>
      <c r="J251" s="39" t="n">
        <v>0</v>
      </c>
      <c r="K251" s="39" t="n">
        <v>163337</v>
      </c>
      <c r="L251" s="39" t="n">
        <v>163337</v>
      </c>
      <c r="M251" s="39" t="n">
        <v>289584.78</v>
      </c>
      <c r="N251" s="14" t="inlineStr">
        <is>
          <t>High Transaction; Recurring Transaction</t>
        </is>
      </c>
      <c r="O251" s="14" t="inlineStr">
        <is>
          <t>Yes</t>
        </is>
      </c>
      <c r="P251" s="14" t="inlineStr">
        <is>
          <t>JERAI FITNESS LIMITED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1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</row>
    <row r="252">
      <c r="A252" s="14" t="n">
        <v>251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EBANK:WIB/1504 EBANK:WIB/1504868004/Edfs</t>
        </is>
      </c>
      <c r="H252" s="14" t="str"/>
      <c r="I252" s="14" t="inlineStr">
        <is>
          <t>Payment</t>
        </is>
      </c>
      <c r="J252" s="39" t="n">
        <v>287084.78</v>
      </c>
      <c r="K252" s="39" t="n">
        <v>0</v>
      </c>
      <c r="L252" s="39" t="n">
        <v>287084.78</v>
      </c>
      <c r="M252" s="39" t="n">
        <v>2500</v>
      </c>
      <c r="N252" s="14" t="inlineStr">
        <is>
          <t>High Transaction; Recurring Transaction</t>
        </is>
      </c>
      <c r="O252" s="14" t="inlineStr">
        <is>
          <t>Yes</t>
        </is>
      </c>
      <c r="P252" s="14" t="inlineStr">
        <is>
          <t>EBANKWIB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1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</row>
    <row r="253">
      <c r="A253" s="14" t="n">
        <v>252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UPI/6476077667 7766718 UPI/647607766718/23:35:11/UPI/sureshenterprises15</t>
        </is>
      </c>
      <c r="H253" s="14" t="str"/>
      <c r="I253" s="14" t="inlineStr">
        <is>
          <t>Receipt</t>
        </is>
      </c>
      <c r="J253" s="39" t="n">
        <v>0</v>
      </c>
      <c r="K253" s="39" t="n">
        <v>10000</v>
      </c>
      <c r="L253" s="39" t="n">
        <v>10000</v>
      </c>
      <c r="M253" s="39" t="n">
        <v>12500</v>
      </c>
      <c r="N253" s="14" t="inlineStr">
        <is>
          <t>UPI; Recurring Transaction</t>
        </is>
      </c>
      <c r="O253" s="14" t="inlineStr">
        <is>
          <t>Yes</t>
        </is>
      </c>
      <c r="P253" s="14" t="inlineStr">
        <is>
          <t>SURESHENTERPRISES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1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</row>
    <row r="254">
      <c r="A254" s="14" t="n">
        <v>253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46133</v>
      </c>
      <c r="F254" s="40" t="n">
        <v>46133</v>
      </c>
      <c r="G254" s="16" t="inlineStr">
        <is>
          <t>DIGITA-MUMBAI/ NEFT-YESAP61112557088-PhonePe Limited</t>
        </is>
      </c>
      <c r="H254" s="14" t="str"/>
      <c r="I254" s="14" t="inlineStr">
        <is>
          <t>Receipt</t>
        </is>
      </c>
      <c r="J254" s="39" t="n">
        <v>0</v>
      </c>
      <c r="K254" s="39" t="n">
        <v>252575.92</v>
      </c>
      <c r="L254" s="39" t="n">
        <v>252575.92</v>
      </c>
      <c r="M254" s="39" t="n">
        <v>265075.92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PHONEPE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46133</v>
      </c>
    </row>
    <row r="255">
      <c r="A255" s="14" t="n">
        <v>254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46133</v>
      </c>
      <c r="F255" s="40" t="n">
        <v>46133</v>
      </c>
      <c r="G255" s="16" t="inlineStr">
        <is>
          <t>DIGITA-MUMBAI/ Dep-NEFT-AXNPN11165247615-PHONEPE LIMITED-PAYMENT</t>
        </is>
      </c>
      <c r="H255" s="14" t="str"/>
      <c r="I255" s="14" t="inlineStr">
        <is>
          <t>Receipt</t>
        </is>
      </c>
      <c r="J255" s="39" t="n">
        <v>0</v>
      </c>
      <c r="K255" s="39" t="n">
        <v>70870</v>
      </c>
      <c r="L255" s="39" t="n">
        <v>70870</v>
      </c>
      <c r="M255" s="39" t="n">
        <v>335945.92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PHONEPE LIMITED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46133</v>
      </c>
    </row>
    <row r="256">
      <c r="A256" s="14" t="n">
        <v>255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46133</v>
      </c>
      <c r="F256" s="40" t="n">
        <v>46133</v>
      </c>
      <c r="G256" s="16" t="inlineStr">
        <is>
          <t>EBANK:WIB/1504 EBANK:WIB/1504892301/Edfs</t>
        </is>
      </c>
      <c r="H256" s="14" t="str"/>
      <c r="I256" s="14" t="inlineStr">
        <is>
          <t>Payment</t>
        </is>
      </c>
      <c r="J256" s="39" t="n">
        <v>333445.92</v>
      </c>
      <c r="K256" s="39" t="n">
        <v>0</v>
      </c>
      <c r="L256" s="39" t="n">
        <v>333445.92</v>
      </c>
      <c r="M256" s="39" t="n">
        <v>2500</v>
      </c>
      <c r="N256" s="14" t="inlineStr">
        <is>
          <t>High Transaction; Recurring Transaction</t>
        </is>
      </c>
      <c r="O256" s="14" t="inlineStr">
        <is>
          <t>Yes</t>
        </is>
      </c>
      <c r="P256" s="14" t="inlineStr">
        <is>
          <t>EBANKWIB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1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46133</v>
      </c>
    </row>
    <row r="257">
      <c r="A257" s="14" t="n">
        <v>256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NEFT-AXISCN1319524277-ONE MOBIKWIK SYSTEMS LIMITED</t>
        </is>
      </c>
      <c r="H257" s="14" t="str"/>
      <c r="I257" s="14" t="inlineStr">
        <is>
          <t>Receipt</t>
        </is>
      </c>
      <c r="J257" s="39" t="n">
        <v>0</v>
      </c>
      <c r="K257" s="39" t="n">
        <v>4510</v>
      </c>
      <c r="L257" s="39" t="n">
        <v>4510</v>
      </c>
      <c r="M257" s="39" t="n">
        <v>7010</v>
      </c>
      <c r="N257" s="14" t="inlineStr">
        <is>
          <t>Recurring Transaction</t>
        </is>
      </c>
      <c r="O257" s="14" t="inlineStr">
        <is>
          <t>Yes</t>
        </is>
      </c>
      <c r="P257" s="14" t="inlineStr">
        <is>
          <t>ONE MOBIKWIK SYSTEMS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</row>
    <row r="258">
      <c r="A258" s="14" t="n">
        <v>257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NEFT-AXISCN1319563932-PINE LABS PRIVATE LIMITED-NO</t>
        </is>
      </c>
      <c r="H258" s="14" t="str"/>
      <c r="I258" s="14" t="inlineStr">
        <is>
          <t>Receipt</t>
        </is>
      </c>
      <c r="J258" s="39" t="n">
        <v>0</v>
      </c>
      <c r="K258" s="39" t="n">
        <v>9630</v>
      </c>
      <c r="L258" s="39" t="n">
        <v>9630</v>
      </c>
      <c r="M258" s="39" t="n">
        <v>16640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PINE LABS PRIVATE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</row>
    <row r="259">
      <c r="A259" s="14" t="n">
        <v>258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DIGITA-MUMBAI/ NEFT-HDFCH00946369304-MOHANJI BHARAT WELFARE FOUND</t>
        </is>
      </c>
      <c r="H259" s="14" t="str"/>
      <c r="I259" s="14" t="inlineStr">
        <is>
          <t>Receipt</t>
        </is>
      </c>
      <c r="J259" s="39" t="n">
        <v>0</v>
      </c>
      <c r="K259" s="39" t="n">
        <v>14200</v>
      </c>
      <c r="L259" s="39" t="n">
        <v>14200</v>
      </c>
      <c r="M259" s="39" t="n">
        <v>30840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MOHANJI BHARAT WELFARE FOUND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</row>
    <row r="260">
      <c r="A260" s="14" t="n">
        <v>259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NEFT-IN42611150344998-ABC PETROCHEM PRIVATE LIMITE</t>
        </is>
      </c>
      <c r="H260" s="14" t="str"/>
      <c r="I260" s="14" t="inlineStr">
        <is>
          <t>Receipt</t>
        </is>
      </c>
      <c r="J260" s="39" t="n">
        <v>0</v>
      </c>
      <c r="K260" s="39" t="n">
        <v>18088</v>
      </c>
      <c r="L260" s="39" t="n">
        <v>18088</v>
      </c>
      <c r="M260" s="39" t="n">
        <v>48928</v>
      </c>
      <c r="N260" s="14" t="inlineStr">
        <is>
          <t>Other</t>
        </is>
      </c>
      <c r="O260" s="14" t="inlineStr">
        <is>
          <t>No</t>
        </is>
      </c>
      <c r="P260" s="14" t="inlineStr">
        <is>
          <t>ABC PETROCHEM PRIVATE LIMITE</t>
        </is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</row>
    <row r="261">
      <c r="A261" s="14" t="n">
        <v>260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NEFT-NKGSH26111112804-GEBI PRODUCTS PRIVATE LIMITE</t>
        </is>
      </c>
      <c r="H261" s="14" t="str"/>
      <c r="I261" s="14" t="inlineStr">
        <is>
          <t>Receipt</t>
        </is>
      </c>
      <c r="J261" s="39" t="n">
        <v>0</v>
      </c>
      <c r="K261" s="39" t="n">
        <v>4874.7</v>
      </c>
      <c r="L261" s="39" t="n">
        <v>4874.7</v>
      </c>
      <c r="M261" s="39" t="n">
        <v>53802.7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GEBI PRODUCTS PRIVATE LIMITE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</row>
    <row r="262">
      <c r="A262" s="14" t="n">
        <v>261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UPI/1219449507 44950796 UPI/121944950796/16:42:07/UPI/paytmqr6fbyta@ptys/</t>
        </is>
      </c>
      <c r="H262" s="14" t="str"/>
      <c r="I262" s="14" t="inlineStr">
        <is>
          <t>Payment</t>
        </is>
      </c>
      <c r="J262" s="39" t="n">
        <v>1125</v>
      </c>
      <c r="K262" s="39" t="n">
        <v>0</v>
      </c>
      <c r="L262" s="39" t="n">
        <v>1125</v>
      </c>
      <c r="M262" s="39" t="n">
        <v>52677.7</v>
      </c>
      <c r="N262" s="14" t="inlineStr">
        <is>
          <t>UPI</t>
        </is>
      </c>
      <c r="O262" s="14" t="inlineStr">
        <is>
          <t>No</t>
        </is>
      </c>
      <c r="P262" s="14" t="inlineStr">
        <is>
          <t>PAYTMQRFBYTAPTYS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</row>
    <row r="263">
      <c r="A263" s="14" t="n">
        <v>262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NEFT-BACBH00004188066-VILLAGE STONE LLP</t>
        </is>
      </c>
      <c r="H263" s="14" t="str"/>
      <c r="I263" s="14" t="inlineStr">
        <is>
          <t>Receipt</t>
        </is>
      </c>
      <c r="J263" s="39" t="n">
        <v>0</v>
      </c>
      <c r="K263" s="39" t="n">
        <v>58786</v>
      </c>
      <c r="L263" s="39" t="n">
        <v>58786</v>
      </c>
      <c r="M263" s="39" t="n">
        <v>111463.7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VILLAGE STONE LLP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</row>
    <row r="264">
      <c r="A264" s="14" t="n">
        <v>263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4" s="14" t="str"/>
      <c r="I264" s="14" t="inlineStr">
        <is>
          <t>Payment</t>
        </is>
      </c>
      <c r="J264" s="39" t="n">
        <v>108963.7</v>
      </c>
      <c r="K264" s="39" t="n">
        <v>0</v>
      </c>
      <c r="L264" s="39" t="n">
        <v>108963.7</v>
      </c>
      <c r="M264" s="39" t="n">
        <v>2500</v>
      </c>
      <c r="N264" s="14" t="inlineStr">
        <is>
          <t>High Transaction; Recurring Transaction</t>
        </is>
      </c>
      <c r="O264" s="14" t="inlineStr">
        <is>
          <t>Yes</t>
        </is>
      </c>
      <c r="P264" s="14" t="inlineStr">
        <is>
          <t>EBANKWIB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1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</row>
    <row r="265">
      <c r="A265" s="14" t="n">
        <v>264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DIGITA-MUMBAI/ NEFT-HDFCH00948007276-QUEST ENTERPRISES PVT LTD</t>
        </is>
      </c>
      <c r="H265" s="14" t="str"/>
      <c r="I265" s="14" t="inlineStr">
        <is>
          <t>Receipt</t>
        </is>
      </c>
      <c r="J265" s="39" t="n">
        <v>0</v>
      </c>
      <c r="K265" s="39" t="n">
        <v>5000</v>
      </c>
      <c r="L265" s="39" t="n">
        <v>5000</v>
      </c>
      <c r="M265" s="39" t="n">
        <v>7500</v>
      </c>
      <c r="N265" s="14" t="inlineStr">
        <is>
          <t>Recurring Transaction</t>
        </is>
      </c>
      <c r="O265" s="14" t="inlineStr">
        <is>
          <t>Yes</t>
        </is>
      </c>
      <c r="P265" s="14" t="inlineStr">
        <is>
          <t>QUEST ENTERPRISES PVT LTD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</row>
    <row r="266">
      <c r="A266" s="14" t="n">
        <v>265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46134</v>
      </c>
      <c r="F266" s="40" t="n">
        <v>46134</v>
      </c>
      <c r="G266" s="16" t="inlineStr">
        <is>
          <t>DIGITA-MUMBAI/ NEFT-YESAP61123591632-PhonePe Limited</t>
        </is>
      </c>
      <c r="H266" s="14" t="str"/>
      <c r="I266" s="14" t="inlineStr">
        <is>
          <t>Receipt</t>
        </is>
      </c>
      <c r="J266" s="39" t="n">
        <v>0</v>
      </c>
      <c r="K266" s="39" t="n">
        <v>195840</v>
      </c>
      <c r="L266" s="39" t="n">
        <v>195840</v>
      </c>
      <c r="M266" s="39" t="n">
        <v>203340</v>
      </c>
      <c r="N266" s="14" t="inlineStr">
        <is>
          <t>High Transaction; Recurring Transaction</t>
        </is>
      </c>
      <c r="O266" s="14" t="inlineStr">
        <is>
          <t>Yes</t>
        </is>
      </c>
      <c r="P266" s="14" t="inlineStr">
        <is>
          <t>PHONEPE LIMITED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1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46134</v>
      </c>
    </row>
    <row r="267">
      <c r="A267" s="14" t="n">
        <v>266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46134</v>
      </c>
      <c r="F267" s="40" t="n">
        <v>46134</v>
      </c>
      <c r="G267" s="16" t="inlineStr">
        <is>
          <t>DIGITA-MUMBAI/ NEFT-AXNPN11273516230-PHONEPE LIMITED-PAYMENT AGGR</t>
        </is>
      </c>
      <c r="H267" s="14" t="str"/>
      <c r="I267" s="14" t="inlineStr">
        <is>
          <t>Receipt</t>
        </is>
      </c>
      <c r="J267" s="39" t="n">
        <v>0</v>
      </c>
      <c r="K267" s="39" t="n">
        <v>73388.24000000001</v>
      </c>
      <c r="L267" s="39" t="n">
        <v>73388.24000000001</v>
      </c>
      <c r="M267" s="39" t="n">
        <v>276728.24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PHONEPE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46134</v>
      </c>
    </row>
    <row r="268">
      <c r="A268" s="14" t="n">
        <v>267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46134</v>
      </c>
      <c r="F268" s="40" t="n">
        <v>46134</v>
      </c>
      <c r="G268" s="16" t="inlineStr">
        <is>
          <t>DIGITA-MUMBAI/ NEFT-AXISCN1320689816-ONE MOBIKWIK SYSTEMS LIMITED</t>
        </is>
      </c>
      <c r="H268" s="14" t="str"/>
      <c r="I268" s="14" t="inlineStr">
        <is>
          <t>Receipt</t>
        </is>
      </c>
      <c r="J268" s="39" t="n">
        <v>0</v>
      </c>
      <c r="K268" s="39" t="n">
        <v>3079</v>
      </c>
      <c r="L268" s="39" t="n">
        <v>3079</v>
      </c>
      <c r="M268" s="39" t="n">
        <v>279807.24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ONE MOBIKWIK SYSTEMS LIMITED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46134</v>
      </c>
    </row>
    <row r="269">
      <c r="A269" s="14" t="n">
        <v>268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EBANK:WIB/1505 EBANK:WIB/1505048812/Edfs</t>
        </is>
      </c>
      <c r="H269" s="14" t="str"/>
      <c r="I269" s="14" t="inlineStr">
        <is>
          <t>Payment</t>
        </is>
      </c>
      <c r="J269" s="39" t="n">
        <v>259307.24</v>
      </c>
      <c r="K269" s="39" t="n">
        <v>0</v>
      </c>
      <c r="L269" s="39" t="n">
        <v>259307.24</v>
      </c>
      <c r="M269" s="39" t="n">
        <v>20500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EBANKWIB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</row>
    <row r="270">
      <c r="A270" s="14" t="n">
        <v>269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https://cbdrpt101.bankofbaroda.co.in:22000/finbranch/arjspmorph/INFENG/tran_rpt.jsp?... 04-05-2026 IMPS/P2A/611209124412/VAKAS TEMPO SER/IMPSCNB9199</t>
        </is>
      </c>
      <c r="H270" s="14" t="str"/>
      <c r="I270" s="14" t="inlineStr">
        <is>
          <t>Receipt</t>
        </is>
      </c>
      <c r="J270" s="39" t="n">
        <v>0</v>
      </c>
      <c r="K270" s="39" t="n">
        <v>15047</v>
      </c>
      <c r="L270" s="39" t="n">
        <v>15047</v>
      </c>
      <c r="M270" s="39" t="n">
        <v>35547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CBDRPTBANKOFBARODACOIN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</row>
    <row r="271">
      <c r="A271" s="14" t="n">
        <v>270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NEFT-AXISCN1320801214-PINE LABS PRIVATE LIMITED-NO</t>
        </is>
      </c>
      <c r="H271" s="14" t="str"/>
      <c r="I271" s="14" t="inlineStr">
        <is>
          <t>Receipt</t>
        </is>
      </c>
      <c r="J271" s="39" t="n">
        <v>0</v>
      </c>
      <c r="K271" s="39" t="n">
        <v>43401</v>
      </c>
      <c r="L271" s="39" t="n">
        <v>43401</v>
      </c>
      <c r="M271" s="39" t="n">
        <v>78948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PINE LABS PRIVATE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</row>
    <row r="272">
      <c r="A272" s="14" t="n">
        <v>271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DIGITA-MUMBAI/ IMPS/P2A/611210623841/OMSANITRANSPORT/Diesel Bill</t>
        </is>
      </c>
      <c r="H272" s="14" t="str"/>
      <c r="I272" s="14" t="inlineStr">
        <is>
          <t>Receipt</t>
        </is>
      </c>
      <c r="J272" s="39" t="n">
        <v>0</v>
      </c>
      <c r="K272" s="39" t="n">
        <v>37750</v>
      </c>
      <c r="L272" s="39" t="n">
        <v>37750</v>
      </c>
      <c r="M272" s="39" t="n">
        <v>116698</v>
      </c>
      <c r="N272" s="14" t="inlineStr">
        <is>
          <t>Recurring Transaction</t>
        </is>
      </c>
      <c r="O272" s="14" t="inlineStr">
        <is>
          <t>Yes</t>
        </is>
      </c>
      <c r="P272" s="14" t="inlineStr">
        <is>
          <t>OMSANITRANSPORT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</row>
    <row r="273">
      <c r="A273" s="14" t="n">
        <v>272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NEFT-CNRBH00126857051-M S COLLEGE OF PHARMACY</t>
        </is>
      </c>
      <c r="H273" s="14" t="str"/>
      <c r="I273" s="14" t="inlineStr">
        <is>
          <t>Receipt</t>
        </is>
      </c>
      <c r="J273" s="39" t="n">
        <v>0</v>
      </c>
      <c r="K273" s="39" t="n">
        <v>100000</v>
      </c>
      <c r="L273" s="39" t="n">
        <v>100000</v>
      </c>
      <c r="M273" s="39" t="n">
        <v>216698</v>
      </c>
      <c r="N273" s="14" t="inlineStr">
        <is>
          <t>High Transaction</t>
        </is>
      </c>
      <c r="O273" s="14" t="inlineStr">
        <is>
          <t>No</t>
        </is>
      </c>
      <c r="P273" s="14" t="inlineStr">
        <is>
          <t>M S COLLEGE OF PHARMACY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</row>
    <row r="274">
      <c r="A274" s="14" t="n">
        <v>273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NEFT-NKGSH26112125723-GEBI PRODUCTS PRIVATE LIMITE</t>
        </is>
      </c>
      <c r="H274" s="14" t="str"/>
      <c r="I274" s="14" t="inlineStr">
        <is>
          <t>Receipt</t>
        </is>
      </c>
      <c r="J274" s="39" t="n">
        <v>0</v>
      </c>
      <c r="K274" s="39" t="n">
        <v>7484.8</v>
      </c>
      <c r="L274" s="39" t="n">
        <v>7484.8</v>
      </c>
      <c r="M274" s="39" t="n">
        <v>224182.8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GEBI PRODUCTS PRIVATE LIMITE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</row>
    <row r="275">
      <c r="A275" s="14" t="n">
        <v>274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NEFT-IN42611251127313-MITA FASTENERS PRIVATE LIMIT</t>
        </is>
      </c>
      <c r="H275" s="14" t="str"/>
      <c r="I275" s="14" t="inlineStr">
        <is>
          <t>Receipt</t>
        </is>
      </c>
      <c r="J275" s="39" t="n">
        <v>0</v>
      </c>
      <c r="K275" s="39" t="n">
        <v>9044</v>
      </c>
      <c r="L275" s="39" t="n">
        <v>9044</v>
      </c>
      <c r="M275" s="39" t="n">
        <v>233226.8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MITA FASTENERS PRIVATE LIMIT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</row>
    <row r="276">
      <c r="A276" s="14" t="n">
        <v>275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IMPS/P2A/611218586331/SHREE GANESH EN/diselVVS910</t>
        </is>
      </c>
      <c r="H276" s="14" t="str"/>
      <c r="I276" s="14" t="inlineStr">
        <is>
          <t>Receipt</t>
        </is>
      </c>
      <c r="J276" s="39" t="n">
        <v>0</v>
      </c>
      <c r="K276" s="39" t="n">
        <v>63308</v>
      </c>
      <c r="L276" s="39" t="n">
        <v>63308</v>
      </c>
      <c r="M276" s="39" t="n">
        <v>296534.8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SHREE GANESH EN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</row>
    <row r="277">
      <c r="A277" s="14" t="n">
        <v>276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NEFT-IN42611251256831-VINAYAK OIL INDUSTRIES</t>
        </is>
      </c>
      <c r="H277" s="14" t="str"/>
      <c r="I277" s="14" t="inlineStr">
        <is>
          <t>Receipt</t>
        </is>
      </c>
      <c r="J277" s="39" t="n">
        <v>0</v>
      </c>
      <c r="K277" s="39" t="n">
        <v>62222</v>
      </c>
      <c r="L277" s="39" t="n">
        <v>62222</v>
      </c>
      <c r="M277" s="39" t="n">
        <v>358756.8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VINAYAK OIL INDUSTRIES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</row>
    <row r="278">
      <c r="A278" s="14" t="n">
        <v>277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EBANK:WIB/1505 EBANK:WIB/1505171210/Edfs</t>
        </is>
      </c>
      <c r="H278" s="14" t="str"/>
      <c r="I278" s="14" t="inlineStr">
        <is>
          <t>Payment</t>
        </is>
      </c>
      <c r="J278" s="39" t="n">
        <v>356256.8</v>
      </c>
      <c r="K278" s="39" t="n">
        <v>0</v>
      </c>
      <c r="L278" s="39" t="n">
        <v>356256.8</v>
      </c>
      <c r="M278" s="39" t="n">
        <v>2500</v>
      </c>
      <c r="N278" s="14" t="inlineStr">
        <is>
          <t>High Transaction; Recurring Transaction</t>
        </is>
      </c>
      <c r="O278" s="14" t="inlineStr">
        <is>
          <t>Yes</t>
        </is>
      </c>
      <c r="P278" s="14" t="inlineStr">
        <is>
          <t>EBANKWIB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1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</row>
    <row r="279">
      <c r="A279" s="14" t="n">
        <v>278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UPI/6112990875 99087582 UPI/611299087582/21:53:49/UPI/patildivya1511-1@ok</t>
        </is>
      </c>
      <c r="H279" s="14" t="str"/>
      <c r="I279" s="14" t="inlineStr">
        <is>
          <t>Receipt</t>
        </is>
      </c>
      <c r="J279" s="39" t="n">
        <v>0</v>
      </c>
      <c r="K279" s="39" t="n">
        <v>50000</v>
      </c>
      <c r="L279" s="39" t="n">
        <v>50000</v>
      </c>
      <c r="M279" s="39" t="n">
        <v>52500</v>
      </c>
      <c r="N279" s="14" t="inlineStr">
        <is>
          <t>UPI</t>
        </is>
      </c>
      <c r="O279" s="14" t="inlineStr">
        <is>
          <t>No</t>
        </is>
      </c>
      <c r="P279" s="14" t="inlineStr">
        <is>
          <t>PATILDIVYA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</row>
    <row r="280">
      <c r="A280" s="14" t="n">
        <v>279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0" s="14" t="str"/>
      <c r="I280" s="14" t="inlineStr">
        <is>
          <t>Payment</t>
        </is>
      </c>
      <c r="J280" s="39" t="n">
        <v>50000</v>
      </c>
      <c r="K280" s="39" t="n">
        <v>0</v>
      </c>
      <c r="L280" s="39" t="n">
        <v>50000</v>
      </c>
      <c r="M280" s="39" t="n">
        <v>2500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EBANKWIB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</row>
    <row r="281">
      <c r="A281" s="14" t="n">
        <v>280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46135</v>
      </c>
      <c r="F281" s="40" t="n">
        <v>46135</v>
      </c>
      <c r="G281" s="16" t="inlineStr">
        <is>
          <t>DIGITA-MUMBAI/ NEFT-YESAP61133866852-PhonePe Limited</t>
        </is>
      </c>
      <c r="H281" s="14" t="str"/>
      <c r="I281" s="14" t="inlineStr">
        <is>
          <t>Receipt</t>
        </is>
      </c>
      <c r="J281" s="39" t="n">
        <v>0</v>
      </c>
      <c r="K281" s="39" t="n">
        <v>224683</v>
      </c>
      <c r="L281" s="39" t="n">
        <v>224683</v>
      </c>
      <c r="M281" s="39" t="n">
        <v>227183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PHONEPE LIMITED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46135</v>
      </c>
    </row>
    <row r="282">
      <c r="A282" s="14" t="n">
        <v>281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46135</v>
      </c>
      <c r="F282" s="40" t="n">
        <v>46135</v>
      </c>
      <c r="G282" s="16" t="inlineStr">
        <is>
          <t>EBANK:WIB/1505 EBANK:WIB/1505193929/Edfs</t>
        </is>
      </c>
      <c r="H282" s="14" t="str"/>
      <c r="I282" s="14" t="inlineStr">
        <is>
          <t>Payment</t>
        </is>
      </c>
      <c r="J282" s="39" t="n">
        <v>224683</v>
      </c>
      <c r="K282" s="39" t="n">
        <v>0</v>
      </c>
      <c r="L282" s="39" t="n">
        <v>224683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46135</v>
      </c>
    </row>
    <row r="283">
      <c r="A283" s="14" t="n">
        <v>282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46135</v>
      </c>
      <c r="F283" s="40" t="n">
        <v>46135</v>
      </c>
      <c r="G283" s="16" t="inlineStr">
        <is>
          <t>DIGITA-MUMBAI/ NEFT-AXNPN11382060759-PHONEPE LIMITED-PAYMENT AGGR</t>
        </is>
      </c>
      <c r="H283" s="14" t="str"/>
      <c r="I283" s="14" t="inlineStr">
        <is>
          <t>Receipt</t>
        </is>
      </c>
      <c r="J283" s="39" t="n">
        <v>0</v>
      </c>
      <c r="K283" s="39" t="n">
        <v>82795.52</v>
      </c>
      <c r="L283" s="39" t="n">
        <v>82795.52</v>
      </c>
      <c r="M283" s="39" t="n">
        <v>85295.52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46135</v>
      </c>
    </row>
    <row r="284">
      <c r="A284" s="14" t="n">
        <v>283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EBANK:WIB/1505 EBANK:WIB/1505194002/Edfs</t>
        </is>
      </c>
      <c r="H284" s="14" t="str"/>
      <c r="I284" s="14" t="inlineStr">
        <is>
          <t>Payment</t>
        </is>
      </c>
      <c r="J284" s="39" t="n">
        <v>82795.52</v>
      </c>
      <c r="K284" s="39" t="n">
        <v>0</v>
      </c>
      <c r="L284" s="39" t="n">
        <v>82795.52</v>
      </c>
      <c r="M284" s="39" t="n">
        <v>2500</v>
      </c>
      <c r="N284" s="14" t="inlineStr">
        <is>
          <t>Recurring Transaction</t>
        </is>
      </c>
      <c r="O284" s="14" t="inlineStr">
        <is>
          <t>Yes</t>
        </is>
      </c>
      <c r="P284" s="14" t="inlineStr">
        <is>
          <t>EBANKWIB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</row>
    <row r="285">
      <c r="A285" s="14" t="n">
        <v>284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DIGITA-MUMBAI/ NEFT-AXISCN1321967431-ONE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9330</v>
      </c>
      <c r="L285" s="39" t="n">
        <v>9330</v>
      </c>
      <c r="M285" s="39" t="n">
        <v>11830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</row>
    <row r="286">
      <c r="A286" s="14" t="n">
        <v>285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NEFT-AXISCN1322079433-PINE LABS PRIVATE LIMITED-NO</t>
        </is>
      </c>
      <c r="H286" s="14" t="str"/>
      <c r="I286" s="14" t="inlineStr">
        <is>
          <t>Receipt</t>
        </is>
      </c>
      <c r="J286" s="39" t="n">
        <v>0</v>
      </c>
      <c r="K286" s="39" t="n">
        <v>214974</v>
      </c>
      <c r="L286" s="39" t="n">
        <v>214974</v>
      </c>
      <c r="M286" s="39" t="n">
        <v>226804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PINE LABS PRIVATE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</row>
    <row r="287">
      <c r="A287" s="14" t="n">
        <v>286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DIGITA-MUMBAI/ NEFT-BACBH00004190643-APEX MINING CO</t>
        </is>
      </c>
      <c r="H287" s="14" t="str"/>
      <c r="I287" s="14" t="inlineStr">
        <is>
          <t>Receipt</t>
        </is>
      </c>
      <c r="J287" s="39" t="n">
        <v>0</v>
      </c>
      <c r="K287" s="39" t="n">
        <v>45220</v>
      </c>
      <c r="L287" s="39" t="n">
        <v>45220</v>
      </c>
      <c r="M287" s="39" t="n">
        <v>272024</v>
      </c>
      <c r="N287" s="14" t="inlineStr">
        <is>
          <t>Other</t>
        </is>
      </c>
      <c r="O287" s="14" t="inlineStr">
        <is>
          <t>No</t>
        </is>
      </c>
      <c r="P287" s="14" t="inlineStr">
        <is>
          <t>APEX MINING CO</t>
        </is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</row>
    <row r="288">
      <c r="A288" s="14" t="n">
        <v>287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EBANK:WIB/1505 EBANK:WIB/1505205959/Edfs</t>
        </is>
      </c>
      <c r="H288" s="14" t="str"/>
      <c r="I288" s="14" t="inlineStr">
        <is>
          <t>Payment</t>
        </is>
      </c>
      <c r="J288" s="39" t="n">
        <v>269000</v>
      </c>
      <c r="K288" s="39" t="n">
        <v>0</v>
      </c>
      <c r="L288" s="39" t="n">
        <v>269000</v>
      </c>
      <c r="M288" s="39" t="n">
        <v>3024</v>
      </c>
      <c r="N288" s="14" t="inlineStr">
        <is>
          <t>High Transaction; Recurring Transaction</t>
        </is>
      </c>
      <c r="O288" s="14" t="inlineStr">
        <is>
          <t>Yes</t>
        </is>
      </c>
      <c r="P288" s="14" t="inlineStr">
        <is>
          <t>EBANKWIB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1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</row>
    <row r="289">
      <c r="A289" s="14" t="n">
        <v>288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Charges for Charges for PORD Customer Payment :003606420745</t>
        </is>
      </c>
      <c r="H289" s="14" t="str"/>
      <c r="I289" s="14" t="inlineStr">
        <is>
          <t>Payment</t>
        </is>
      </c>
      <c r="J289" s="39" t="n">
        <v>2.65</v>
      </c>
      <c r="K289" s="39" t="n">
        <v>0</v>
      </c>
      <c r="L289" s="39" t="n">
        <v>2.65</v>
      </c>
      <c r="M289" s="39" t="n">
        <v>3021.35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CHARGES FOR CHARGES FOR PORD CUSTOMER PA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</row>
    <row r="290">
      <c r="A290" s="14" t="n">
        <v>289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NEFT-BARBV2611 NEFT-BARBV26113832164-RAMZAN HASNANI-CENTRAL BANK</t>
        </is>
      </c>
      <c r="H290" s="14" t="str"/>
      <c r="I290" s="14" t="inlineStr">
        <is>
          <t>Payment</t>
        </is>
      </c>
      <c r="J290" s="39" t="n">
        <v>1000</v>
      </c>
      <c r="K290" s="39" t="n">
        <v>0</v>
      </c>
      <c r="L290" s="39" t="n">
        <v>1000</v>
      </c>
      <c r="M290" s="39" t="n">
        <v>2021.35</v>
      </c>
      <c r="N290" s="14" t="inlineStr">
        <is>
          <t>Recurring Transaction</t>
        </is>
      </c>
      <c r="O290" s="14" t="inlineStr">
        <is>
          <t>Yes</t>
        </is>
      </c>
      <c r="P290" s="14" t="inlineStr">
        <is>
          <t>BARBV NEFT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</row>
    <row r="291">
      <c r="A291" s="14" t="n">
        <v>290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DIGITA-MUMBAI/ NEFT-AXODH11383366299-GRISHMA METAL TECHNOLOGY</t>
        </is>
      </c>
      <c r="H291" s="14" t="str"/>
      <c r="I291" s="14" t="inlineStr">
        <is>
          <t>Receipt</t>
        </is>
      </c>
      <c r="J291" s="39" t="n">
        <v>0</v>
      </c>
      <c r="K291" s="39" t="n">
        <v>124000</v>
      </c>
      <c r="L291" s="39" t="n">
        <v>124000</v>
      </c>
      <c r="M291" s="39" t="n">
        <v>126021.35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GRISHMA METAL TECHNOLOGY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</row>
    <row r="292">
      <c r="A292" s="14" t="n">
        <v>291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DIGITA-MUMBAI/ NEFT-IN42611351480279-PRANJ METAL INDUSTRIES</t>
        </is>
      </c>
      <c r="H292" s="14" t="str"/>
      <c r="I292" s="14" t="inlineStr">
        <is>
          <t>Receipt</t>
        </is>
      </c>
      <c r="J292" s="39" t="n">
        <v>0</v>
      </c>
      <c r="K292" s="39" t="n">
        <v>4000</v>
      </c>
      <c r="L292" s="39" t="n">
        <v>4000</v>
      </c>
      <c r="M292" s="39" t="n">
        <v>130021.35</v>
      </c>
      <c r="N292" s="14" t="inlineStr">
        <is>
          <t>Other</t>
        </is>
      </c>
      <c r="O292" s="14" t="inlineStr">
        <is>
          <t>No</t>
        </is>
      </c>
      <c r="P292" s="14" t="inlineStr">
        <is>
          <t>PRANJ METAL INDUSTRIES</t>
        </is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</row>
    <row r="293">
      <c r="A293" s="14" t="n">
        <v>292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DIGITA-MUMBAI/ NEFT-KKBKH26113992510-ATLAS COMMODITIES PRIVATE LI</t>
        </is>
      </c>
      <c r="H293" s="14" t="str"/>
      <c r="I293" s="14" t="inlineStr">
        <is>
          <t>Receipt</t>
        </is>
      </c>
      <c r="J293" s="39" t="n">
        <v>0</v>
      </c>
      <c r="K293" s="39" t="n">
        <v>4796</v>
      </c>
      <c r="L293" s="39" t="n">
        <v>4796</v>
      </c>
      <c r="M293" s="39" t="n">
        <v>134817.35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ATLAS COMMODITIES PRIVATE LI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</row>
    <row r="294">
      <c r="A294" s="14" t="n">
        <v>293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https://cbdrpt101.bankofbaroda.co.in:22000/finbranch/arjspmorph/INFENG/tran_rpt.jsp?... 04-05-2026 NEFT-NKGSH26113138754-GEBI PRODUCTS PRIVATE LIMITE</t>
        </is>
      </c>
      <c r="H294" s="14" t="str"/>
      <c r="I294" s="14" t="inlineStr">
        <is>
          <t>Receipt</t>
        </is>
      </c>
      <c r="J294" s="39" t="n">
        <v>0</v>
      </c>
      <c r="K294" s="39" t="n">
        <v>4400</v>
      </c>
      <c r="L294" s="39" t="n">
        <v>4400</v>
      </c>
      <c r="M294" s="39" t="n">
        <v>139217.35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CBDRPTBANKOFBARODACOIN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</row>
    <row r="295">
      <c r="A295" s="14" t="n">
        <v>294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5" s="14" t="str"/>
      <c r="I295" s="14" t="inlineStr">
        <is>
          <t>Receipt</t>
        </is>
      </c>
      <c r="J295" s="39" t="n">
        <v>0</v>
      </c>
      <c r="K295" s="39" t="n">
        <v>54264</v>
      </c>
      <c r="L295" s="39" t="n">
        <v>54264</v>
      </c>
      <c r="M295" s="39" t="n">
        <v>193481.35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WELLSUN TEXCHEM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</row>
    <row r="296">
      <c r="A296" s="14" t="n">
        <v>295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NEFT-JAKAH26113006414-NIKIVIK TUBE INDUSTRIES P LT</t>
        </is>
      </c>
      <c r="H296" s="14" t="str"/>
      <c r="I296" s="14" t="inlineStr">
        <is>
          <t>Receipt</t>
        </is>
      </c>
      <c r="J296" s="39" t="n">
        <v>0</v>
      </c>
      <c r="K296" s="39" t="n">
        <v>31654</v>
      </c>
      <c r="L296" s="39" t="n">
        <v>31654</v>
      </c>
      <c r="M296" s="39" t="n">
        <v>225135.35</v>
      </c>
      <c r="N296" s="14" t="inlineStr">
        <is>
          <t>Other</t>
        </is>
      </c>
      <c r="O296" s="14" t="inlineStr">
        <is>
          <t>No</t>
        </is>
      </c>
      <c r="P296" s="14" t="inlineStr">
        <is>
          <t>NIKIVIK TUBE INDUSTRIES P LT</t>
        </is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</row>
    <row r="297">
      <c r="A297" s="14" t="n">
        <v>296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EBANK:WIB/1505 EBANK:WIB/1505315722/Edfs</t>
        </is>
      </c>
      <c r="H297" s="14" t="str"/>
      <c r="I297" s="14" t="inlineStr">
        <is>
          <t>Payment</t>
        </is>
      </c>
      <c r="J297" s="39" t="n">
        <v>222635.35</v>
      </c>
      <c r="K297" s="39" t="n">
        <v>0</v>
      </c>
      <c r="L297" s="39" t="n">
        <v>222635.35</v>
      </c>
      <c r="M297" s="39" t="n">
        <v>2500</v>
      </c>
      <c r="N297" s="14" t="inlineStr">
        <is>
          <t>High Transaction; Recurring Transaction</t>
        </is>
      </c>
      <c r="O297" s="14" t="inlineStr">
        <is>
          <t>Yes</t>
        </is>
      </c>
      <c r="P297" s="14" t="inlineStr">
        <is>
          <t>EBANKWIB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1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</row>
    <row r="298">
      <c r="A298" s="14" t="n">
        <v>297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46136</v>
      </c>
      <c r="F298" s="40" t="n">
        <v>46136</v>
      </c>
      <c r="G298" s="16" t="inlineStr">
        <is>
          <t>DIGITA-MUMBAI/ NEFT-YESAP61143829163-PhonePe Limited</t>
        </is>
      </c>
      <c r="H298" s="14" t="str"/>
      <c r="I298" s="14" t="inlineStr">
        <is>
          <t>Receipt</t>
        </is>
      </c>
      <c r="J298" s="39" t="n">
        <v>0</v>
      </c>
      <c r="K298" s="39" t="n">
        <v>234281</v>
      </c>
      <c r="L298" s="39" t="n">
        <v>234281</v>
      </c>
      <c r="M298" s="39" t="n">
        <v>236781</v>
      </c>
      <c r="N298" s="14" t="inlineStr">
        <is>
          <t>High Transaction; Recurring Transaction</t>
        </is>
      </c>
      <c r="O298" s="14" t="inlineStr">
        <is>
          <t>Yes</t>
        </is>
      </c>
      <c r="P298" s="14" t="inlineStr">
        <is>
          <t>PHONEPE LIMITED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1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46136</v>
      </c>
    </row>
    <row r="299">
      <c r="A299" s="14" t="n">
        <v>298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46136</v>
      </c>
      <c r="F299" s="40" t="n">
        <v>46136</v>
      </c>
      <c r="G299" s="16" t="inlineStr">
        <is>
          <t>DIGITA-MUMBAI/ NEFT-AXNPN11490153195-PHONEPE LIMITED-PAYMENT AGGR</t>
        </is>
      </c>
      <c r="H299" s="14" t="str"/>
      <c r="I299" s="14" t="inlineStr">
        <is>
          <t>Receipt</t>
        </is>
      </c>
      <c r="J299" s="39" t="n">
        <v>0</v>
      </c>
      <c r="K299" s="39" t="n">
        <v>81529</v>
      </c>
      <c r="L299" s="39" t="n">
        <v>81529</v>
      </c>
      <c r="M299" s="39" t="n">
        <v>318310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PHONEPE LIMITED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46136</v>
      </c>
    </row>
    <row r="300">
      <c r="A300" s="14" t="n">
        <v>299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46136</v>
      </c>
      <c r="F300" s="40" t="n">
        <v>46136</v>
      </c>
      <c r="G300" s="16" t="inlineStr">
        <is>
          <t>DIGITA-MUMBAI/ NEFT-AXISCN1322890868-ONE MOBIKWIK SYSTEMS LIMITED</t>
        </is>
      </c>
      <c r="H300" s="14" t="str"/>
      <c r="I300" s="14" t="inlineStr">
        <is>
          <t>Receipt</t>
        </is>
      </c>
      <c r="J300" s="39" t="n">
        <v>0</v>
      </c>
      <c r="K300" s="39" t="n">
        <v>3100</v>
      </c>
      <c r="L300" s="39" t="n">
        <v>3100</v>
      </c>
      <c r="M300" s="39" t="n">
        <v>321410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ONE MOBIKWIK SYSTEMS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46136</v>
      </c>
    </row>
    <row r="301">
      <c r="A301" s="14" t="n">
        <v>300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NEFT-AXISCN1322996900-PINE LABS PRIVATE LIMITED-NO</t>
        </is>
      </c>
      <c r="H301" s="14" t="str"/>
      <c r="I301" s="14" t="inlineStr">
        <is>
          <t>Receipt</t>
        </is>
      </c>
      <c r="J301" s="39" t="n">
        <v>0</v>
      </c>
      <c r="K301" s="39" t="n">
        <v>90493</v>
      </c>
      <c r="L301" s="39" t="n">
        <v>90493</v>
      </c>
      <c r="M301" s="39" t="n">
        <v>411903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PINE LABS PRIVATE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</row>
    <row r="302">
      <c r="A302" s="14" t="n">
        <v>301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EBANK:WIB/1505 EBANK:WIB/1505337172/Edfs</t>
        </is>
      </c>
      <c r="H302" s="14" t="str"/>
      <c r="I302" s="14" t="inlineStr">
        <is>
          <t>Payment</t>
        </is>
      </c>
      <c r="J302" s="39" t="n">
        <v>400403</v>
      </c>
      <c r="K302" s="39" t="n">
        <v>0</v>
      </c>
      <c r="L302" s="39" t="n">
        <v>400403</v>
      </c>
      <c r="M302" s="39" t="n">
        <v>11500</v>
      </c>
      <c r="N302" s="14" t="inlineStr">
        <is>
          <t>High Transaction; Recurring Transaction</t>
        </is>
      </c>
      <c r="O302" s="14" t="inlineStr">
        <is>
          <t>Yes</t>
        </is>
      </c>
      <c r="P302" s="14" t="inlineStr">
        <is>
          <t>EBANKWIB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</row>
    <row r="303">
      <c r="A303" s="14" t="n">
        <v>302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NEFT-NKGSH26114148361-GEBI PRODUCTS PRIVATE LIMITE</t>
        </is>
      </c>
      <c r="H303" s="14" t="str"/>
      <c r="I303" s="14" t="inlineStr">
        <is>
          <t>Receipt</t>
        </is>
      </c>
      <c r="J303" s="39" t="n">
        <v>0</v>
      </c>
      <c r="K303" s="39" t="n">
        <v>2710</v>
      </c>
      <c r="L303" s="39" t="n">
        <v>2710</v>
      </c>
      <c r="M303" s="39" t="n">
        <v>14210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GEBI PRODUCTS PRIVATE LIMITE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</row>
    <row r="304">
      <c r="A304" s="14" t="n">
        <v>303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NEFT-IN42611452122935-N R COLOURS LIMITED</t>
        </is>
      </c>
      <c r="H304" s="14" t="str"/>
      <c r="I304" s="14" t="inlineStr">
        <is>
          <t>Receipt</t>
        </is>
      </c>
      <c r="J304" s="39" t="n">
        <v>0</v>
      </c>
      <c r="K304" s="39" t="n">
        <v>20000</v>
      </c>
      <c r="L304" s="39" t="n">
        <v>20000</v>
      </c>
      <c r="M304" s="39" t="n">
        <v>34210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N R COLOURS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</row>
    <row r="305">
      <c r="A305" s="14" t="n">
        <v>304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DIGITA-MUMBAI/ NEFT-IDIBH11439372913-JAI AMBE TRANSPORT</t>
        </is>
      </c>
      <c r="H305" s="14" t="str"/>
      <c r="I305" s="14" t="inlineStr">
        <is>
          <t>Receipt</t>
        </is>
      </c>
      <c r="J305" s="39" t="n">
        <v>0</v>
      </c>
      <c r="K305" s="39" t="n">
        <v>4545</v>
      </c>
      <c r="L305" s="39" t="n">
        <v>4545</v>
      </c>
      <c r="M305" s="39" t="n">
        <v>38755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JAI AMBE TRANSPORT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</row>
    <row r="306">
      <c r="A306" s="14" t="n">
        <v>305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EBANK:15054403 EBANK:1505440385/icicibank/114463157029/AVENUES I</t>
        </is>
      </c>
      <c r="H306" s="14" t="str"/>
      <c r="I306" s="14" t="inlineStr">
        <is>
          <t>Payment</t>
        </is>
      </c>
      <c r="J306" s="39" t="n">
        <v>13249</v>
      </c>
      <c r="K306" s="39" t="n">
        <v>0</v>
      </c>
      <c r="L306" s="39" t="n">
        <v>13249</v>
      </c>
      <c r="M306" s="39" t="n">
        <v>25506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EBANK EBANK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</row>
    <row r="307">
      <c r="A307" s="14" t="n">
        <v>306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NEFT-IN22611428762276-PELL TECH HEALTH CARE PRIVAT</t>
        </is>
      </c>
      <c r="H307" s="14" t="str"/>
      <c r="I307" s="14" t="inlineStr">
        <is>
          <t>Receipt</t>
        </is>
      </c>
      <c r="J307" s="39" t="n">
        <v>0</v>
      </c>
      <c r="K307" s="39" t="n">
        <v>12063</v>
      </c>
      <c r="L307" s="39" t="n">
        <v>12063</v>
      </c>
      <c r="M307" s="39" t="n">
        <v>37569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PELL TECH HEALTH CARE PRIVAT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</row>
    <row r="308">
      <c r="A308" s="14" t="n">
        <v>307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UPI/8429589140 58914051 UPI/842958914051/18:57:56/UPI/9423374100@ybl/Paym</t>
        </is>
      </c>
      <c r="H308" s="14" t="str"/>
      <c r="I308" s="14" t="inlineStr">
        <is>
          <t>Receipt</t>
        </is>
      </c>
      <c r="J308" s="39" t="n">
        <v>0</v>
      </c>
      <c r="K308" s="39" t="n">
        <v>80000</v>
      </c>
      <c r="L308" s="39" t="n">
        <v>80000</v>
      </c>
      <c r="M308" s="39" t="n">
        <v>117569</v>
      </c>
      <c r="N308" s="14" t="inlineStr">
        <is>
          <t>UPI</t>
        </is>
      </c>
      <c r="O308" s="14" t="inlineStr">
        <is>
          <t>No</t>
        </is>
      </c>
      <c r="P308" s="14" t="inlineStr">
        <is>
          <t>UPI/# # UPI/#/#:#:#/UPI/#@YBL/PAYM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1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</row>
    <row r="309">
      <c r="A309" s="14" t="n">
        <v>308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EBANK:WIB/1505 EBANK:WIB/1505452714/Edfs</t>
        </is>
      </c>
      <c r="H309" s="14" t="str"/>
      <c r="I309" s="14" t="inlineStr">
        <is>
          <t>Payment</t>
        </is>
      </c>
      <c r="J309" s="39" t="n">
        <v>115069</v>
      </c>
      <c r="K309" s="39" t="n">
        <v>0</v>
      </c>
      <c r="L309" s="39" t="n">
        <v>115069</v>
      </c>
      <c r="M309" s="39" t="n">
        <v>2500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</row>
    <row r="310">
      <c r="A310" s="14" t="n">
        <v>309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46137</v>
      </c>
      <c r="F310" s="40" t="n">
        <v>46137</v>
      </c>
      <c r="G310" s="16" t="inlineStr">
        <is>
          <t>DIGITA-MUMBAI/ NEFT-YESAP61152331743-PhonePe Limited</t>
        </is>
      </c>
      <c r="H310" s="14" t="str"/>
      <c r="I310" s="14" t="inlineStr">
        <is>
          <t>Receipt</t>
        </is>
      </c>
      <c r="J310" s="39" t="n">
        <v>0</v>
      </c>
      <c r="K310" s="39" t="n">
        <v>273418</v>
      </c>
      <c r="L310" s="39" t="n">
        <v>273418</v>
      </c>
      <c r="M310" s="39" t="n">
        <v>275918</v>
      </c>
      <c r="N310" s="14" t="inlineStr">
        <is>
          <t>High Transaction; Recurring Transaction</t>
        </is>
      </c>
      <c r="O310" s="14" t="inlineStr">
        <is>
          <t>Yes</t>
        </is>
      </c>
      <c r="P310" s="14" t="inlineStr">
        <is>
          <t>PHONEPE LIMITED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1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46137</v>
      </c>
    </row>
    <row r="311">
      <c r="A311" s="14" t="n">
        <v>310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46137</v>
      </c>
      <c r="F311" s="40" t="n">
        <v>46137</v>
      </c>
      <c r="G31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1" s="14" t="str"/>
      <c r="I311" s="14" t="inlineStr">
        <is>
          <t>Payment</t>
        </is>
      </c>
      <c r="J311" s="39" t="n">
        <v>273418</v>
      </c>
      <c r="K311" s="39" t="n">
        <v>0</v>
      </c>
      <c r="L311" s="39" t="n">
        <v>273418</v>
      </c>
      <c r="M311" s="39" t="n">
        <v>2500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EBANKWIB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46137</v>
      </c>
    </row>
    <row r="312">
      <c r="A312" s="14" t="n">
        <v>311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46137</v>
      </c>
      <c r="F312" s="40" t="n">
        <v>46137</v>
      </c>
      <c r="G312" s="16" t="inlineStr">
        <is>
          <t>DIGITA-MUMBAI/ NEFT-AXNPN11598935300-PHONEPE LIMITED-PAYMENT AGGR</t>
        </is>
      </c>
      <c r="H312" s="14" t="str"/>
      <c r="I312" s="14" t="inlineStr">
        <is>
          <t>Receipt</t>
        </is>
      </c>
      <c r="J312" s="39" t="n">
        <v>0</v>
      </c>
      <c r="K312" s="39" t="n">
        <v>72545.92999999999</v>
      </c>
      <c r="L312" s="39" t="n">
        <v>72545.92999999999</v>
      </c>
      <c r="M312" s="39" t="n">
        <v>75045.92999999999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PHONEPE LIMITED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46137</v>
      </c>
    </row>
    <row r="313">
      <c r="A313" s="14" t="n">
        <v>312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EBANK:WIB/1505 EBANK:WIB/1505471386/Edfs</t>
        </is>
      </c>
      <c r="H313" s="14" t="str"/>
      <c r="I313" s="14" t="inlineStr">
        <is>
          <t>Payment</t>
        </is>
      </c>
      <c r="J313" s="39" t="n">
        <v>72545.92999999999</v>
      </c>
      <c r="K313" s="39" t="n">
        <v>0</v>
      </c>
      <c r="L313" s="39" t="n">
        <v>72545.92999999999</v>
      </c>
      <c r="M313" s="39" t="n">
        <v>2500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EBANKWIB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</row>
    <row r="314">
      <c r="A314" s="14" t="n">
        <v>313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DIGITA-MUMBAI/ NEFT-AXISCN1323965473-ONE MOBIKWIK SYSTEMS LIMITED</t>
        </is>
      </c>
      <c r="H314" s="14" t="str"/>
      <c r="I314" s="14" t="inlineStr">
        <is>
          <t>Receipt</t>
        </is>
      </c>
      <c r="J314" s="39" t="n">
        <v>0</v>
      </c>
      <c r="K314" s="39" t="n">
        <v>1000</v>
      </c>
      <c r="L314" s="39" t="n">
        <v>1000</v>
      </c>
      <c r="M314" s="39" t="n">
        <v>3500</v>
      </c>
      <c r="N314" s="14" t="inlineStr">
        <is>
          <t>Recurring Transaction</t>
        </is>
      </c>
      <c r="O314" s="14" t="inlineStr">
        <is>
          <t>Yes</t>
        </is>
      </c>
      <c r="P314" s="14" t="inlineStr">
        <is>
          <t>ONE MOBIKWIK SYSTEMS LIMITED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</row>
    <row r="315">
      <c r="A315" s="14" t="n">
        <v>314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NEFT-AXISCN1324050087-PINE LABS PRIVATE LIMITED-NO</t>
        </is>
      </c>
      <c r="H315" s="14" t="str"/>
      <c r="I315" s="14" t="inlineStr">
        <is>
          <t>Receipt</t>
        </is>
      </c>
      <c r="J315" s="39" t="n">
        <v>0</v>
      </c>
      <c r="K315" s="39" t="n">
        <v>29350</v>
      </c>
      <c r="L315" s="39" t="n">
        <v>29350</v>
      </c>
      <c r="M315" s="39" t="n">
        <v>32850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PINE LABS PRIVATE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</row>
    <row r="316">
      <c r="A316" s="14" t="n">
        <v>315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Charges for Charges for PORD Customer Payment :003610812913</t>
        </is>
      </c>
      <c r="H316" s="14" t="str"/>
      <c r="I316" s="14" t="inlineStr">
        <is>
          <t>Payment</t>
        </is>
      </c>
      <c r="J316" s="39" t="n">
        <v>5.6</v>
      </c>
      <c r="K316" s="39" t="n">
        <v>0</v>
      </c>
      <c r="L316" s="39" t="n">
        <v>5.6</v>
      </c>
      <c r="M316" s="39" t="n">
        <v>32844.4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CHARGES FOR CHARGES FOR PORD CUSTOMER PA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</row>
    <row r="317">
      <c r="A317" s="14" t="n">
        <v>316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NEFT-BARBZ2611 NEFT-BARBZ26115868320-E COLLECTION RETAIL SBU HDFC</t>
        </is>
      </c>
      <c r="H317" s="14" t="str"/>
      <c r="I317" s="14" t="inlineStr">
        <is>
          <t>Payment</t>
        </is>
      </c>
      <c r="J317" s="39" t="n">
        <v>21988.35</v>
      </c>
      <c r="K317" s="39" t="n">
        <v>0</v>
      </c>
      <c r="L317" s="39" t="n">
        <v>21988.35</v>
      </c>
      <c r="M317" s="39" t="n">
        <v>10856.05</v>
      </c>
      <c r="N317" s="14" t="inlineStr">
        <is>
          <t>Other</t>
        </is>
      </c>
      <c r="O317" s="14" t="inlineStr">
        <is>
          <t>No</t>
        </is>
      </c>
      <c r="P317" s="14" t="inlineStr">
        <is>
          <t>BARBZ NEFT</t>
        </is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</row>
    <row r="318">
      <c r="A318" s="14" t="n">
        <v>317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IMPS/P2A/611512825992/ENKTESHWAR INDU/KKBKTransfe</t>
        </is>
      </c>
      <c r="H318" s="14" t="str"/>
      <c r="I318" s="14" t="inlineStr">
        <is>
          <t>Receipt</t>
        </is>
      </c>
      <c r="J318" s="39" t="n">
        <v>0</v>
      </c>
      <c r="K318" s="39" t="n">
        <v>28088</v>
      </c>
      <c r="L318" s="39" t="n">
        <v>28088</v>
      </c>
      <c r="M318" s="39" t="n">
        <v>38944.05</v>
      </c>
      <c r="N318" s="14" t="inlineStr">
        <is>
          <t>Other</t>
        </is>
      </c>
      <c r="O318" s="14" t="inlineStr">
        <is>
          <t>No</t>
        </is>
      </c>
      <c r="P318" s="14" t="inlineStr">
        <is>
          <t>ENKTESHWAR INDU</t>
        </is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</row>
    <row r="319">
      <c r="A319" s="14" t="n">
        <v>318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DIGITA-MUMBAI/ IMPS/P2A/611513033420/VILLAGE STONE L/Diesel paym</t>
        </is>
      </c>
      <c r="H319" s="14" t="str"/>
      <c r="I319" s="14" t="inlineStr">
        <is>
          <t>Receipt</t>
        </is>
      </c>
      <c r="J319" s="39" t="n">
        <v>0</v>
      </c>
      <c r="K319" s="39" t="n">
        <v>100000</v>
      </c>
      <c r="L319" s="39" t="n">
        <v>100000</v>
      </c>
      <c r="M319" s="39" t="n">
        <v>138944.05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VILLAGE STONE L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</row>
    <row r="320">
      <c r="A320" s="14" t="n">
        <v>319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DIGITA-MUMBAI/ NEFT-KKBKH26115923099-ATLAS COMMODITIES PRIVATE LI</t>
        </is>
      </c>
      <c r="H320" s="14" t="str"/>
      <c r="I320" s="14" t="inlineStr">
        <is>
          <t>Receipt</t>
        </is>
      </c>
      <c r="J320" s="39" t="n">
        <v>0</v>
      </c>
      <c r="K320" s="39" t="n">
        <v>7389</v>
      </c>
      <c r="L320" s="39" t="n">
        <v>7389</v>
      </c>
      <c r="M320" s="39" t="n">
        <v>146333.05</v>
      </c>
      <c r="N320" s="14" t="inlineStr">
        <is>
          <t>Recurring Transaction</t>
        </is>
      </c>
      <c r="O320" s="14" t="inlineStr">
        <is>
          <t>Yes</t>
        </is>
      </c>
      <c r="P320" s="14" t="inlineStr">
        <is>
          <t>ATLAS COMMODITIES PRIVATE LI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</row>
    <row r="321">
      <c r="A321" s="14" t="n">
        <v>320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IMPS/P2A/611516467183/MUKESH OIL CORP/IMPS transa</t>
        </is>
      </c>
      <c r="H321" s="14" t="str"/>
      <c r="I321" s="14" t="inlineStr">
        <is>
          <t>Receipt</t>
        </is>
      </c>
      <c r="J321" s="39" t="n">
        <v>0</v>
      </c>
      <c r="K321" s="39" t="n">
        <v>19014.1</v>
      </c>
      <c r="L321" s="39" t="n">
        <v>19014.1</v>
      </c>
      <c r="M321" s="39" t="n">
        <v>165347.15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MUKESH OIL CORP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</row>
    <row r="322">
      <c r="A322" s="14" t="n">
        <v>321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IMPS/P2A/611516181925/S TRANS 14851/Mh04ju3738I</t>
        </is>
      </c>
      <c r="H322" s="14" t="str"/>
      <c r="I322" s="14" t="inlineStr">
        <is>
          <t>Receipt</t>
        </is>
      </c>
      <c r="J322" s="39" t="n">
        <v>0</v>
      </c>
      <c r="K322" s="39" t="n">
        <v>9400</v>
      </c>
      <c r="L322" s="39" t="n">
        <v>9400</v>
      </c>
      <c r="M322" s="39" t="n">
        <v>174747.15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DIGITA-MUMBAI/ IMPS/P#A/#/S TRANS #/MH#JU#I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</row>
    <row r="323">
      <c r="A323" s="14" t="n">
        <v>322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EBANK:WIB/1505 EBANK:WIB/1505585919/Edfs</t>
        </is>
      </c>
      <c r="H323" s="14" t="str"/>
      <c r="I323" s="14" t="inlineStr">
        <is>
          <t>Payment</t>
        </is>
      </c>
      <c r="J323" s="39" t="n">
        <v>172247.15</v>
      </c>
      <c r="K323" s="39" t="n">
        <v>0</v>
      </c>
      <c r="L323" s="39" t="n">
        <v>172247.15</v>
      </c>
      <c r="M323" s="39" t="n">
        <v>2500</v>
      </c>
      <c r="N323" s="14" t="inlineStr">
        <is>
          <t>High Transaction; Recurring Transaction</t>
        </is>
      </c>
      <c r="O323" s="14" t="inlineStr">
        <is>
          <t>Yes</t>
        </is>
      </c>
      <c r="P323" s="14" t="inlineStr">
        <is>
          <t>EBANKWIB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1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</row>
    <row r="324">
      <c r="A324" s="14" t="n">
        <v>323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46138</v>
      </c>
      <c r="F324" s="40" t="n">
        <v>46138</v>
      </c>
      <c r="G324" s="16" t="inlineStr">
        <is>
          <t>DIGITA-MUMBAI/ NEFT-YESAP61163896825-PhonePe Limited</t>
        </is>
      </c>
      <c r="H324" s="14" t="str"/>
      <c r="I324" s="14" t="inlineStr">
        <is>
          <t>Receipt</t>
        </is>
      </c>
      <c r="J324" s="39" t="n">
        <v>0</v>
      </c>
      <c r="K324" s="39" t="n">
        <v>244934</v>
      </c>
      <c r="L324" s="39" t="n">
        <v>244934</v>
      </c>
      <c r="M324" s="39" t="n">
        <v>247434</v>
      </c>
      <c r="N324" s="14" t="inlineStr">
        <is>
          <t>High Transaction; Recurring Transaction</t>
        </is>
      </c>
      <c r="O324" s="14" t="inlineStr">
        <is>
          <t>Yes</t>
        </is>
      </c>
      <c r="P324" s="14" t="inlineStr">
        <is>
          <t>PHONEPE LIMITED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1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46138</v>
      </c>
    </row>
    <row r="325">
      <c r="A325" s="14" t="n">
        <v>324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46138</v>
      </c>
      <c r="F325" s="40" t="n">
        <v>46138</v>
      </c>
      <c r="G325" s="16" t="inlineStr">
        <is>
          <t>DIGITA-MUMBAI/ NEFT-AXNPN11607066053-PHONEPE LIMITED-PAYMENT AGGR</t>
        </is>
      </c>
      <c r="H325" s="14" t="str"/>
      <c r="I325" s="14" t="inlineStr">
        <is>
          <t>Receipt</t>
        </is>
      </c>
      <c r="J325" s="39" t="n">
        <v>0</v>
      </c>
      <c r="K325" s="39" t="n">
        <v>100291.79</v>
      </c>
      <c r="L325" s="39" t="n">
        <v>100291.79</v>
      </c>
      <c r="M325" s="39" t="n">
        <v>347725.79</v>
      </c>
      <c r="N325" s="14" t="inlineStr">
        <is>
          <t>High Transaction; Recurring Transaction</t>
        </is>
      </c>
      <c r="O325" s="14" t="inlineStr">
        <is>
          <t>Yes</t>
        </is>
      </c>
      <c r="P325" s="14" t="inlineStr">
        <is>
          <t>PHONEPE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46138</v>
      </c>
    </row>
    <row r="326">
      <c r="A326" s="14" t="n">
        <v>325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46138</v>
      </c>
      <c r="F326" s="40" t="n">
        <v>46138</v>
      </c>
      <c r="G326" s="16" t="inlineStr">
        <is>
          <t>DIGITA-MUMBAI/ NEFT-AXISCN1324632883-ONE MOBIKWIK SYSTEMS LIMITED</t>
        </is>
      </c>
      <c r="H326" s="14" t="str"/>
      <c r="I326" s="14" t="inlineStr">
        <is>
          <t>Receipt</t>
        </is>
      </c>
      <c r="J326" s="39" t="n">
        <v>0</v>
      </c>
      <c r="K326" s="39" t="n">
        <v>3765</v>
      </c>
      <c r="L326" s="39" t="n">
        <v>3765</v>
      </c>
      <c r="M326" s="39" t="n">
        <v>351490.79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ONE MOBIKWIK SYSTEMS LIMITED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46138</v>
      </c>
    </row>
    <row r="327">
      <c r="A327" s="14" t="n">
        <v>326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7" s="14" t="str"/>
      <c r="I327" s="14" t="inlineStr">
        <is>
          <t>Payment</t>
        </is>
      </c>
      <c r="J327" s="39" t="n">
        <v>300990.79</v>
      </c>
      <c r="K327" s="39" t="n">
        <v>0</v>
      </c>
      <c r="L327" s="39" t="n">
        <v>300990.79</v>
      </c>
      <c r="M327" s="39" t="n">
        <v>50500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</row>
    <row r="328">
      <c r="A328" s="14" t="n">
        <v>327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IMPS/P2A/611609588661/SHREE GANESH EN/billVVS9100</t>
        </is>
      </c>
      <c r="H328" s="14" t="str"/>
      <c r="I328" s="14" t="inlineStr">
        <is>
          <t>Receipt</t>
        </is>
      </c>
      <c r="J328" s="39" t="n">
        <v>0</v>
      </c>
      <c r="K328" s="39" t="n">
        <v>63308</v>
      </c>
      <c r="L328" s="39" t="n">
        <v>63308</v>
      </c>
      <c r="M328" s="39" t="n">
        <v>113808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SHREE GANESH EN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</row>
    <row r="329">
      <c r="A329" s="14" t="n">
        <v>328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NEFT-HDFCH00955439283-MARK LUBES PRIVATE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3420</v>
      </c>
      <c r="L329" s="39" t="n">
        <v>3420</v>
      </c>
      <c r="M329" s="39" t="n">
        <v>117228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MARK LUBES PRIVATE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</row>
    <row r="330">
      <c r="A330" s="14" t="n">
        <v>329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EBANK:WIB/1505633295/Edfs</t>
        </is>
      </c>
      <c r="H330" s="14" t="str"/>
      <c r="I330" s="14" t="inlineStr">
        <is>
          <t>Payment</t>
        </is>
      </c>
      <c r="J330" s="39" t="n">
        <v>114728</v>
      </c>
      <c r="K330" s="39" t="n">
        <v>0</v>
      </c>
      <c r="L330" s="39" t="n">
        <v>114728</v>
      </c>
      <c r="M330" s="39" t="n">
        <v>2500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</row>
    <row r="331">
      <c r="A331" s="14" t="n">
        <v>330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46139</v>
      </c>
      <c r="F331" s="40" t="n">
        <v>46139</v>
      </c>
      <c r="G331" s="16" t="inlineStr">
        <is>
          <t>DIGITA-MUMBAI/ NEFT-YESAP61174218113-PhonePe Limited</t>
        </is>
      </c>
      <c r="H331" s="14" t="str"/>
      <c r="I331" s="14" t="inlineStr">
        <is>
          <t>Receipt</t>
        </is>
      </c>
      <c r="J331" s="39" t="n">
        <v>0</v>
      </c>
      <c r="K331" s="39" t="n">
        <v>243320.8</v>
      </c>
      <c r="L331" s="39" t="n">
        <v>243320.8</v>
      </c>
      <c r="M331" s="39" t="n">
        <v>245820.8</v>
      </c>
      <c r="N331" s="14" t="inlineStr">
        <is>
          <t>High Transaction; Recurring Transaction</t>
        </is>
      </c>
      <c r="O331" s="14" t="inlineStr">
        <is>
          <t>Yes</t>
        </is>
      </c>
      <c r="P331" s="14" t="inlineStr">
        <is>
          <t>PHONEPE LIMITED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1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46139</v>
      </c>
    </row>
    <row r="332">
      <c r="A332" s="14" t="n">
        <v>331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46139</v>
      </c>
      <c r="F332" s="40" t="n">
        <v>46139</v>
      </c>
      <c r="G332" s="16" t="inlineStr">
        <is>
          <t>DIGITA-MUMBAI/ NEFT-AXNPN11714754008-PHONEPE LIMITED-PAYMENT AGGR</t>
        </is>
      </c>
      <c r="H332" s="14" t="str"/>
      <c r="I332" s="14" t="inlineStr">
        <is>
          <t>Receipt</t>
        </is>
      </c>
      <c r="J332" s="39" t="n">
        <v>0</v>
      </c>
      <c r="K332" s="39" t="n">
        <v>109488</v>
      </c>
      <c r="L332" s="39" t="n">
        <v>109488</v>
      </c>
      <c r="M332" s="39" t="n">
        <v>355308.8</v>
      </c>
      <c r="N332" s="14" t="inlineStr">
        <is>
          <t>High Transaction; Recurring Transaction</t>
        </is>
      </c>
      <c r="O332" s="14" t="inlineStr">
        <is>
          <t>Yes</t>
        </is>
      </c>
      <c r="P332" s="14" t="inlineStr">
        <is>
          <t>PHONEPE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1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46139</v>
      </c>
    </row>
    <row r="333">
      <c r="A333" s="14" t="n">
        <v>332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46139</v>
      </c>
      <c r="F333" s="40" t="n">
        <v>46139</v>
      </c>
      <c r="G333" s="16" t="inlineStr">
        <is>
          <t>DIGITA-MUMBAI/ NEFT-AXISCN1325294472-ONE MOBIKWIK SYSTEMS LIMITED https://cbdrpt101.bankofbaroda.co.in:22000/finbranch/arjspmorph/INFENG/tran_rpt.jsp?... 04-05-2026</t>
        </is>
      </c>
      <c r="H333" s="14" t="str"/>
      <c r="I333" s="14" t="inlineStr">
        <is>
          <t>Receipt</t>
        </is>
      </c>
      <c r="J333" s="39" t="n">
        <v>0</v>
      </c>
      <c r="K333" s="39" t="n">
        <v>1900</v>
      </c>
      <c r="L333" s="39" t="n">
        <v>1900</v>
      </c>
      <c r="M333" s="39" t="n">
        <v>357208.8</v>
      </c>
      <c r="N333" s="14" t="inlineStr">
        <is>
          <t>Recurring Transaction</t>
        </is>
      </c>
      <c r="O333" s="14" t="inlineStr">
        <is>
          <t>Yes</t>
        </is>
      </c>
      <c r="P333" s="14" t="inlineStr">
        <is>
          <t>ONE MOBIKWIK SYSTEMS LIMITED HTTPS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46139</v>
      </c>
    </row>
    <row r="334">
      <c r="A334" s="14" t="n">
        <v>333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NEFT-AXISCN1325402930-PINE LABS PRIVATE LIMITED-NO</t>
        </is>
      </c>
      <c r="H334" s="14" t="str"/>
      <c r="I334" s="14" t="inlineStr">
        <is>
          <t>Receipt</t>
        </is>
      </c>
      <c r="J334" s="39" t="n">
        <v>0</v>
      </c>
      <c r="K334" s="39" t="n">
        <v>73824</v>
      </c>
      <c r="L334" s="39" t="n">
        <v>73824</v>
      </c>
      <c r="M334" s="39" t="n">
        <v>431032.8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PINE LABS PRIVATE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</row>
    <row r="335">
      <c r="A335" s="14" t="n">
        <v>334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NEFT-AXISCN1325456778-PINE LABS PRIVATE LIMITED-NO</t>
        </is>
      </c>
      <c r="H335" s="14" t="str"/>
      <c r="I335" s="14" t="inlineStr">
        <is>
          <t>Receipt</t>
        </is>
      </c>
      <c r="J335" s="39" t="n">
        <v>0</v>
      </c>
      <c r="K335" s="39" t="n">
        <v>31285</v>
      </c>
      <c r="L335" s="39" t="n">
        <v>31285</v>
      </c>
      <c r="M335" s="39" t="n">
        <v>462317.8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PINE LABS PRIVATE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</row>
    <row r="336">
      <c r="A336" s="14" t="n">
        <v>335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EBANK:WIB/1505 EBANK:WIB/1505672686/Edfs</t>
        </is>
      </c>
      <c r="H336" s="14" t="str"/>
      <c r="I336" s="14" t="inlineStr">
        <is>
          <t>Payment</t>
        </is>
      </c>
      <c r="J336" s="39" t="n">
        <v>460000.8</v>
      </c>
      <c r="K336" s="39" t="n">
        <v>0</v>
      </c>
      <c r="L336" s="39" t="n">
        <v>460000.8</v>
      </c>
      <c r="M336" s="39" t="n">
        <v>2317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</row>
    <row r="337">
      <c r="A337" s="14" t="n">
        <v>336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FORTAP-MUMBAI/ EBANK:WIB/1505676092/</t>
        </is>
      </c>
      <c r="H337" s="14" t="str"/>
      <c r="I337" s="14" t="inlineStr">
        <is>
          <t>Receipt</t>
        </is>
      </c>
      <c r="J337" s="39" t="n">
        <v>0</v>
      </c>
      <c r="K337" s="39" t="n">
        <v>90440</v>
      </c>
      <c r="L337" s="39" t="n">
        <v>90440</v>
      </c>
      <c r="M337" s="39" t="n">
        <v>92757</v>
      </c>
      <c r="N337" s="14" t="inlineStr">
        <is>
          <t>Other</t>
        </is>
      </c>
      <c r="O337" s="14" t="inlineStr">
        <is>
          <t>No</t>
        </is>
      </c>
      <c r="P337" s="14" t="inlineStr">
        <is>
          <t>EBANKWIB</t>
        </is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</row>
    <row r="338">
      <c r="A338" s="14" t="n">
        <v>337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UPI/6117042006 4200667 UPI/611704200667/14:46:49/UPI/harad9480-3@okicici</t>
        </is>
      </c>
      <c r="H338" s="14" t="str"/>
      <c r="I338" s="14" t="inlineStr">
        <is>
          <t>Receipt</t>
        </is>
      </c>
      <c r="J338" s="39" t="n">
        <v>0</v>
      </c>
      <c r="K338" s="39" t="n">
        <v>1</v>
      </c>
      <c r="L338" s="39" t="n">
        <v>1</v>
      </c>
      <c r="M338" s="39" t="n">
        <v>92758</v>
      </c>
      <c r="N338" s="14" t="inlineStr">
        <is>
          <t>UPI</t>
        </is>
      </c>
      <c r="O338" s="14" t="inlineStr">
        <is>
          <t>No</t>
        </is>
      </c>
      <c r="P338" s="14" t="inlineStr">
        <is>
          <t>UPI/# # UPI/#/#:#:#/UPI/HARAD#-#@OKICICI</t>
        </is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1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</row>
    <row r="339">
      <c r="A339" s="14" t="n">
        <v>338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UPI/6117458829 45882969 UPI/611745882969/14:47:57/UPI/harad9480-3@okaxis/</t>
        </is>
      </c>
      <c r="H339" s="14" t="str"/>
      <c r="I339" s="14" t="inlineStr">
        <is>
          <t>Receipt</t>
        </is>
      </c>
      <c r="J339" s="39" t="n">
        <v>0</v>
      </c>
      <c r="K339" s="39" t="n">
        <v>45000</v>
      </c>
      <c r="L339" s="39" t="n">
        <v>45000</v>
      </c>
      <c r="M339" s="39" t="n">
        <v>137758</v>
      </c>
      <c r="N339" s="14" t="inlineStr">
        <is>
          <t>UPI</t>
        </is>
      </c>
      <c r="O339" s="14" t="inlineStr">
        <is>
          <t>No</t>
        </is>
      </c>
      <c r="P339" s="14" t="inlineStr">
        <is>
          <t>UPI/# # UPI/#/#:#:#/UPI/HARAD#-#@OKAXIS/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1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</row>
    <row r="340">
      <c r="A340" s="14" t="n">
        <v>339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DIGITA-MUMBAI/ NEFT-HDFCH00956609022-SL CORBOX PRIVATE LIMITED</t>
        </is>
      </c>
      <c r="H340" s="14" t="str"/>
      <c r="I340" s="14" t="inlineStr">
        <is>
          <t>Receipt</t>
        </is>
      </c>
      <c r="J340" s="39" t="n">
        <v>0</v>
      </c>
      <c r="K340" s="39" t="n">
        <v>24058</v>
      </c>
      <c r="L340" s="39" t="n">
        <v>24058</v>
      </c>
      <c r="M340" s="39" t="n">
        <v>161816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SL CORBOX PRIVATE LIMITED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</row>
    <row r="341">
      <c r="A341" s="14" t="n">
        <v>340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DIGITA-MUMBAI/ NEFT-BACBH00004205594-GAONDEVI BUILDING MATERIAL S</t>
        </is>
      </c>
      <c r="H341" s="14" t="str"/>
      <c r="I341" s="14" t="inlineStr">
        <is>
          <t>Receipt</t>
        </is>
      </c>
      <c r="J341" s="39" t="n">
        <v>0</v>
      </c>
      <c r="K341" s="39" t="n">
        <v>150000</v>
      </c>
      <c r="L341" s="39" t="n">
        <v>150000</v>
      </c>
      <c r="M341" s="39" t="n">
        <v>311816</v>
      </c>
      <c r="N341" s="14" t="inlineStr">
        <is>
          <t>High Transaction</t>
        </is>
      </c>
      <c r="O341" s="14" t="inlineStr">
        <is>
          <t>No</t>
        </is>
      </c>
      <c r="P341" s="14" t="inlineStr">
        <is>
          <t>GAONDEVI BUILDING MATERIAL S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1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</row>
    <row r="342">
      <c r="A342" s="14" t="n">
        <v>341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2" s="14" t="str"/>
      <c r="I342" s="14" t="inlineStr">
        <is>
          <t>Receipt</t>
        </is>
      </c>
      <c r="J342" s="39" t="n">
        <v>0</v>
      </c>
      <c r="K342" s="39" t="n">
        <v>5189</v>
      </c>
      <c r="L342" s="39" t="n">
        <v>5189</v>
      </c>
      <c r="M342" s="39" t="n">
        <v>317005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GEBI PRODUCTS PRIVATE LIMITE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</row>
    <row r="343">
      <c r="A343" s="14" t="n">
        <v>342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NEFT-TDCBH26117000588-V C ENTERPRISES</t>
        </is>
      </c>
      <c r="H343" s="14" t="str"/>
      <c r="I343" s="14" t="inlineStr">
        <is>
          <t>Receipt</t>
        </is>
      </c>
      <c r="J343" s="39" t="n">
        <v>0</v>
      </c>
      <c r="K343" s="39" t="n">
        <v>50000</v>
      </c>
      <c r="L343" s="39" t="n">
        <v>50000</v>
      </c>
      <c r="M343" s="39" t="n">
        <v>367005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V C ENTERPRISES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</row>
    <row r="344">
      <c r="A344" s="14" t="n">
        <v>343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EBANK:WIB/1505 EBANK:WIB/1505752441/Edfs</t>
        </is>
      </c>
      <c r="H344" s="14" t="str"/>
      <c r="I344" s="14" t="inlineStr">
        <is>
          <t>Payment</t>
        </is>
      </c>
      <c r="J344" s="39" t="n">
        <v>365005</v>
      </c>
      <c r="K344" s="39" t="n">
        <v>0</v>
      </c>
      <c r="L344" s="39" t="n">
        <v>365005</v>
      </c>
      <c r="M344" s="39" t="n">
        <v>2000</v>
      </c>
      <c r="N344" s="14" t="inlineStr">
        <is>
          <t>High Transaction; Recurring Transaction</t>
        </is>
      </c>
      <c r="O344" s="14" t="inlineStr">
        <is>
          <t>Yes</t>
        </is>
      </c>
      <c r="P344" s="14" t="inlineStr">
        <is>
          <t>EBANKWIB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</row>
    <row r="345">
      <c r="A345" s="14" t="n">
        <v>344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NEFT-HDFCH00957371480-PETROINOX PIPES TUBES PVT</t>
        </is>
      </c>
      <c r="H345" s="14" t="str"/>
      <c r="I345" s="14" t="inlineStr">
        <is>
          <t>Receipt</t>
        </is>
      </c>
      <c r="J345" s="39" t="n">
        <v>0</v>
      </c>
      <c r="K345" s="39" t="n">
        <v>300</v>
      </c>
      <c r="L345" s="39" t="n">
        <v>300</v>
      </c>
      <c r="M345" s="39" t="n">
        <v>2300</v>
      </c>
      <c r="N345" s="14" t="inlineStr">
        <is>
          <t>Other</t>
        </is>
      </c>
      <c r="O345" s="14" t="inlineStr">
        <is>
          <t>No</t>
        </is>
      </c>
      <c r="P345" s="14" t="inlineStr">
        <is>
          <t>PETROINOX PIPES TUBES PVT</t>
        </is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</row>
    <row r="346">
      <c r="A346" s="14" t="n">
        <v>345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46140</v>
      </c>
      <c r="F346" s="40" t="n">
        <v>46140</v>
      </c>
      <c r="G346" s="16" t="inlineStr">
        <is>
          <t>DIGITA-MUMBAI/ NEFT-YESAP61183745951-PhonePe Limited</t>
        </is>
      </c>
      <c r="H346" s="14" t="str"/>
      <c r="I346" s="14" t="inlineStr">
        <is>
          <t>Receipt</t>
        </is>
      </c>
      <c r="J346" s="39" t="n">
        <v>0</v>
      </c>
      <c r="K346" s="39" t="n">
        <v>213696</v>
      </c>
      <c r="L346" s="39" t="n">
        <v>213696</v>
      </c>
      <c r="M346" s="39" t="n">
        <v>215996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PHONEPE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46140</v>
      </c>
    </row>
    <row r="347">
      <c r="A347" s="14" t="n">
        <v>346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46140</v>
      </c>
      <c r="F347" s="40" t="n">
        <v>46140</v>
      </c>
      <c r="G347" s="16" t="inlineStr">
        <is>
          <t>DIGITA-MUMBAI/ NEFT-AXNPN11823277068-PHONEPE LIMITED-PAYMENT AGGR</t>
        </is>
      </c>
      <c r="H347" s="14" t="str"/>
      <c r="I347" s="14" t="inlineStr">
        <is>
          <t>Receipt</t>
        </is>
      </c>
      <c r="J347" s="39" t="n">
        <v>0</v>
      </c>
      <c r="K347" s="39" t="n">
        <v>51517.6</v>
      </c>
      <c r="L347" s="39" t="n">
        <v>51517.6</v>
      </c>
      <c r="M347" s="39" t="n">
        <v>267513.6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PHONEPE LIMITED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46140</v>
      </c>
    </row>
    <row r="348">
      <c r="A348" s="14" t="n">
        <v>347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46140</v>
      </c>
      <c r="F348" s="40" t="n">
        <v>46140</v>
      </c>
      <c r="G348" s="16" t="inlineStr">
        <is>
          <t>DIGITA-MUMBAI/ NEFT-AXISCN1326481885-PINE LABS PRIVATE LIMITED-NO</t>
        </is>
      </c>
      <c r="H348" s="14" t="str"/>
      <c r="I348" s="14" t="inlineStr">
        <is>
          <t>Receipt</t>
        </is>
      </c>
      <c r="J348" s="39" t="n">
        <v>0</v>
      </c>
      <c r="K348" s="39" t="n">
        <v>23786</v>
      </c>
      <c r="L348" s="39" t="n">
        <v>23786</v>
      </c>
      <c r="M348" s="39" t="n">
        <v>291299.6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PINE LABS PRIVATE LIMITED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46140</v>
      </c>
    </row>
    <row r="349">
      <c r="A349" s="14" t="n">
        <v>348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NEFT-002710581295-OM SANI TRANSPORT SERVICE</t>
        </is>
      </c>
      <c r="H349" s="14" t="str"/>
      <c r="I349" s="14" t="inlineStr">
        <is>
          <t>Receipt</t>
        </is>
      </c>
      <c r="J349" s="39" t="n">
        <v>0</v>
      </c>
      <c r="K349" s="39" t="n">
        <v>52450</v>
      </c>
      <c r="L349" s="39" t="n">
        <v>52450</v>
      </c>
      <c r="M349" s="39" t="n">
        <v>343749.6</v>
      </c>
      <c r="N349" s="14" t="inlineStr">
        <is>
          <t>Other</t>
        </is>
      </c>
      <c r="O349" s="14" t="inlineStr">
        <is>
          <t>No</t>
        </is>
      </c>
      <c r="P349" s="14" t="inlineStr">
        <is>
          <t>OM SANI TRANSPORT SERVICE</t>
        </is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</row>
    <row r="350">
      <c r="A350" s="14" t="n">
        <v>349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UPI/6118698401 69840157 UPI/611869840157/10:49:20/UPI/akashshelar41-2@oki</t>
        </is>
      </c>
      <c r="H350" s="14" t="str"/>
      <c r="I350" s="14" t="inlineStr">
        <is>
          <t>Receipt</t>
        </is>
      </c>
      <c r="J350" s="39" t="n">
        <v>0</v>
      </c>
      <c r="K350" s="39" t="n">
        <v>4200</v>
      </c>
      <c r="L350" s="39" t="n">
        <v>4200</v>
      </c>
      <c r="M350" s="39" t="n">
        <v>347949.6</v>
      </c>
      <c r="N350" s="14" t="inlineStr">
        <is>
          <t>UPI; Recurring Transaction</t>
        </is>
      </c>
      <c r="O350" s="14" t="inlineStr">
        <is>
          <t>Yes</t>
        </is>
      </c>
      <c r="P350" s="14" t="inlineStr">
        <is>
          <t>AKASHSHELAR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1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</row>
    <row r="351">
      <c r="A351" s="14" t="n">
        <v>350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IMPS/P2A/611855252288/SAYEDTAHIRUDDIN/IMPS P2A JI</t>
        </is>
      </c>
      <c r="H351" s="14" t="str"/>
      <c r="I351" s="14" t="inlineStr">
        <is>
          <t>Receipt</t>
        </is>
      </c>
      <c r="J351" s="39" t="n">
        <v>0</v>
      </c>
      <c r="K351" s="39" t="n">
        <v>1</v>
      </c>
      <c r="L351" s="39" t="n">
        <v>1</v>
      </c>
      <c r="M351" s="39" t="n">
        <v>347950.6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SAYEDTAHIRUDDIN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</row>
    <row r="352">
      <c r="A352" s="14" t="n">
        <v>351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IMPS/P2A/611855252655/SAYEDTAHIRUDDIN/IMPS P2A JI</t>
        </is>
      </c>
      <c r="H352" s="14" t="str"/>
      <c r="I352" s="14" t="inlineStr">
        <is>
          <t>Receipt</t>
        </is>
      </c>
      <c r="J352" s="39" t="n">
        <v>0</v>
      </c>
      <c r="K352" s="39" t="n">
        <v>45220</v>
      </c>
      <c r="L352" s="39" t="n">
        <v>45220</v>
      </c>
      <c r="M352" s="39" t="n">
        <v>393170.6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SAYEDTAHIRUDDIN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</row>
    <row r="353">
      <c r="A353" s="14" t="n">
        <v>352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DIGITA-MUMBAI/ NEFT-IDIBH11839674549-JAI AMBE TRANSPORT</t>
        </is>
      </c>
      <c r="H353" s="14" t="str"/>
      <c r="I353" s="14" t="inlineStr">
        <is>
          <t>Receipt</t>
        </is>
      </c>
      <c r="J353" s="39" t="n">
        <v>0</v>
      </c>
      <c r="K353" s="39" t="n">
        <v>5500</v>
      </c>
      <c r="L353" s="39" t="n">
        <v>5500</v>
      </c>
      <c r="M353" s="39" t="n">
        <v>398670.6</v>
      </c>
      <c r="N353" s="14" t="inlineStr">
        <is>
          <t>Recurring Transaction</t>
        </is>
      </c>
      <c r="O353" s="14" t="inlineStr">
        <is>
          <t>Yes</t>
        </is>
      </c>
      <c r="P353" s="14" t="inlineStr">
        <is>
          <t>JAI AMBE TRANSPORT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</row>
    <row r="354">
      <c r="A354" s="14" t="n">
        <v>353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IMPS/P2A/611812542007/VAKAS TEMPO SER/IMPSCNB9199</t>
        </is>
      </c>
      <c r="H354" s="14" t="str"/>
      <c r="I354" s="14" t="inlineStr">
        <is>
          <t>Receipt</t>
        </is>
      </c>
      <c r="J354" s="39" t="n">
        <v>0</v>
      </c>
      <c r="K354" s="39" t="n">
        <v>20049</v>
      </c>
      <c r="L354" s="39" t="n">
        <v>20049</v>
      </c>
      <c r="M354" s="39" t="n">
        <v>418719.6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VAKAS TEMPO SER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</row>
    <row r="355">
      <c r="A355" s="14" t="n">
        <v>354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NEFT-NKGSH26118186705-GEBI PRODUCTS PRIVATE LIMITE</t>
        </is>
      </c>
      <c r="H355" s="14" t="str"/>
      <c r="I355" s="14" t="inlineStr">
        <is>
          <t>Receipt</t>
        </is>
      </c>
      <c r="J355" s="39" t="n">
        <v>0</v>
      </c>
      <c r="K355" s="39" t="n">
        <v>4579</v>
      </c>
      <c r="L355" s="39" t="n">
        <v>4579</v>
      </c>
      <c r="M355" s="39" t="n">
        <v>423298.6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GEBI PRODUCTS PRIVATE LIMITE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</row>
    <row r="356">
      <c r="A356" s="14" t="n">
        <v>355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EBANK:WIB/1505 EBANK:WIB/1505883831/Edfs</t>
        </is>
      </c>
      <c r="H356" s="14" t="str"/>
      <c r="I356" s="14" t="inlineStr">
        <is>
          <t>Payment</t>
        </is>
      </c>
      <c r="J356" s="39" t="n">
        <v>402798.6</v>
      </c>
      <c r="K356" s="39" t="n">
        <v>0</v>
      </c>
      <c r="L356" s="39" t="n">
        <v>402798.6</v>
      </c>
      <c r="M356" s="39" t="n">
        <v>20500</v>
      </c>
      <c r="N356" s="14" t="inlineStr">
        <is>
          <t>High Transaction; Recurring Transaction</t>
        </is>
      </c>
      <c r="O356" s="14" t="inlineStr">
        <is>
          <t>Yes</t>
        </is>
      </c>
      <c r="P356" s="14" t="inlineStr">
        <is>
          <t>EBANKWIB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1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</row>
    <row r="357">
      <c r="A357" s="14" t="n">
        <v>356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https://cbdrpt101.bankofbaroda.co.in:22000/finbranch/arjspmorph/INFENG/tran_rpt.jsp?... 04-05-2026 NEFT-KKBKH26118959856-ATLAS COMMODITIES PRIVATE LI</t>
        </is>
      </c>
      <c r="H357" s="14" t="str"/>
      <c r="I357" s="14" t="inlineStr">
        <is>
          <t>Receipt</t>
        </is>
      </c>
      <c r="J357" s="39" t="n">
        <v>0</v>
      </c>
      <c r="K357" s="39" t="n">
        <v>4741</v>
      </c>
      <c r="L357" s="39" t="n">
        <v>4741</v>
      </c>
      <c r="M357" s="39" t="n">
        <v>25241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CBDRPTBANKOFBARODACOIN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</row>
    <row r="358">
      <c r="A358" s="14" t="n">
        <v>357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58" s="14" t="str"/>
      <c r="I358" s="14" t="inlineStr">
        <is>
          <t>Receipt</t>
        </is>
      </c>
      <c r="J358" s="39" t="n">
        <v>0</v>
      </c>
      <c r="K358" s="39" t="n">
        <v>106203</v>
      </c>
      <c r="L358" s="39" t="n">
        <v>106203</v>
      </c>
      <c r="M358" s="39" t="n">
        <v>131444</v>
      </c>
      <c r="N358" s="14" t="inlineStr">
        <is>
          <t>High Transaction; Recurring Transaction</t>
        </is>
      </c>
      <c r="O358" s="14" t="inlineStr">
        <is>
          <t>Yes</t>
        </is>
      </c>
      <c r="P358" s="14" t="inlineStr">
        <is>
          <t>PAGE TOTAL   CR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1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</row>
    <row r="359">
      <c r="A359" s="14" t="n">
        <v>358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DIGITA-MUMBAI/ IMPS/P2A/611819590384/SHREE GANESH EN/diselVVS910</t>
        </is>
      </c>
      <c r="H359" s="14" t="str"/>
      <c r="I359" s="14" t="inlineStr">
        <is>
          <t>Receipt</t>
        </is>
      </c>
      <c r="J359" s="39" t="n">
        <v>0</v>
      </c>
      <c r="K359" s="39" t="n">
        <v>45155.79</v>
      </c>
      <c r="L359" s="39" t="n">
        <v>45155.79</v>
      </c>
      <c r="M359" s="39" t="n">
        <v>176599.79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SHREE GANESH EN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</row>
    <row r="360">
      <c r="A360" s="14" t="n">
        <v>359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IMPS/P2A/611820590404/SHREE GANESH EN/d billVVS91</t>
        </is>
      </c>
      <c r="H360" s="14" t="str"/>
      <c r="I360" s="14" t="inlineStr">
        <is>
          <t>Receipt</t>
        </is>
      </c>
      <c r="J360" s="39" t="n">
        <v>0</v>
      </c>
      <c r="K360" s="39" t="n">
        <v>18152</v>
      </c>
      <c r="L360" s="39" t="n">
        <v>18152</v>
      </c>
      <c r="M360" s="39" t="n">
        <v>194751.79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SHREE GANESH EN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</row>
    <row r="361">
      <c r="A361" s="14" t="n">
        <v>360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>EBANK:WIB/1505 EBANK:WIB/1505948506/Edfs</t>
        </is>
      </c>
      <c r="H361" s="14" t="str"/>
      <c r="I361" s="14" t="inlineStr">
        <is>
          <t>Payment</t>
        </is>
      </c>
      <c r="J361" s="39" t="n">
        <v>192251.79</v>
      </c>
      <c r="K361" s="39" t="n">
        <v>0</v>
      </c>
      <c r="L361" s="39" t="n">
        <v>192251.79</v>
      </c>
      <c r="M361" s="39" t="n">
        <v>2500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EBANKWIB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</row>
    <row r="362">
      <c r="A362" s="14" t="n">
        <v>361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46141</v>
      </c>
      <c r="F362" s="40" t="n">
        <v>46141</v>
      </c>
      <c r="G362" s="16" t="inlineStr">
        <is>
          <t>DIGITA-MUMBAI/ NEFT-YESAP61192379931-PhonePe Limited</t>
        </is>
      </c>
      <c r="H362" s="14" t="str"/>
      <c r="I362" s="14" t="inlineStr">
        <is>
          <t>Receipt</t>
        </is>
      </c>
      <c r="J362" s="39" t="n">
        <v>0</v>
      </c>
      <c r="K362" s="39" t="n">
        <v>300724.33</v>
      </c>
      <c r="L362" s="39" t="n">
        <v>300724.33</v>
      </c>
      <c r="M362" s="39" t="n">
        <v>303224.33</v>
      </c>
      <c r="N362" s="14" t="inlineStr">
        <is>
          <t>High Transaction; Recurring Transaction</t>
        </is>
      </c>
      <c r="O362" s="14" t="inlineStr">
        <is>
          <t>Yes</t>
        </is>
      </c>
      <c r="P362" s="14" t="inlineStr">
        <is>
          <t>PHONEPE LIMITED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1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46141</v>
      </c>
    </row>
    <row r="363">
      <c r="A363" s="14" t="n">
        <v>362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46141</v>
      </c>
      <c r="F363" s="40" t="n">
        <v>46141</v>
      </c>
      <c r="G363" s="16" t="inlineStr">
        <is>
          <t>DIGITA-MUMBAI/ NEFT-AXNPN11931554437-PHONEPE LIMITED-PAYMENT AGGR</t>
        </is>
      </c>
      <c r="H363" s="14" t="str"/>
      <c r="I363" s="14" t="inlineStr">
        <is>
          <t>Receipt</t>
        </is>
      </c>
      <c r="J363" s="39" t="n">
        <v>0</v>
      </c>
      <c r="K363" s="39" t="n">
        <v>80141</v>
      </c>
      <c r="L363" s="39" t="n">
        <v>80141</v>
      </c>
      <c r="M363" s="39" t="n">
        <v>383365.33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PHONEPE LIMITED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46141</v>
      </c>
    </row>
    <row r="364">
      <c r="A364" s="14" t="n">
        <v>363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46141</v>
      </c>
      <c r="F364" s="40" t="n">
        <v>46141</v>
      </c>
      <c r="G364" s="16" t="inlineStr">
        <is>
          <t>DIGITA-MUMBAI/ NEFT-AXISCN1327518007-ONE MOBIKWIK SYSTEMS LIMITED</t>
        </is>
      </c>
      <c r="H364" s="14" t="str"/>
      <c r="I364" s="14" t="inlineStr">
        <is>
          <t>Receipt</t>
        </is>
      </c>
      <c r="J364" s="39" t="n">
        <v>0</v>
      </c>
      <c r="K364" s="39" t="n">
        <v>2500</v>
      </c>
      <c r="L364" s="39" t="n">
        <v>2500</v>
      </c>
      <c r="M364" s="39" t="n">
        <v>385865.33</v>
      </c>
      <c r="N364" s="14" t="inlineStr">
        <is>
          <t>Recurring Transaction</t>
        </is>
      </c>
      <c r="O364" s="14" t="inlineStr">
        <is>
          <t>Yes</t>
        </is>
      </c>
      <c r="P364" s="14" t="inlineStr">
        <is>
          <t>ONE MOBIKWIK SYSTEMS LIMITED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46141</v>
      </c>
    </row>
    <row r="365">
      <c r="A365" s="14" t="n">
        <v>364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EBANK:WIB/1505 EBANK:WIB/1505959390/Edfs</t>
        </is>
      </c>
      <c r="H365" s="14" t="str"/>
      <c r="I365" s="14" t="inlineStr">
        <is>
          <t>Payment</t>
        </is>
      </c>
      <c r="J365" s="39" t="n">
        <v>383365.33</v>
      </c>
      <c r="K365" s="39" t="n">
        <v>0</v>
      </c>
      <c r="L365" s="39" t="n">
        <v>383365.33</v>
      </c>
      <c r="M365" s="39" t="n">
        <v>2500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EBANKWIB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</row>
    <row r="366">
      <c r="A366" s="14" t="n">
        <v>365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NEFT-AXISCN1327725971-PINE LABS PRIVATE LIMITED-NO</t>
        </is>
      </c>
      <c r="H366" s="14" t="str"/>
      <c r="I366" s="14" t="inlineStr">
        <is>
          <t>Receipt</t>
        </is>
      </c>
      <c r="J366" s="39" t="n">
        <v>0</v>
      </c>
      <c r="K366" s="39" t="n">
        <v>161953</v>
      </c>
      <c r="L366" s="39" t="n">
        <v>161953</v>
      </c>
      <c r="M366" s="39" t="n">
        <v>164453</v>
      </c>
      <c r="N366" s="14" t="inlineStr">
        <is>
          <t>High Transaction; Recurring Transaction</t>
        </is>
      </c>
      <c r="O366" s="14" t="inlineStr">
        <is>
          <t>Yes</t>
        </is>
      </c>
      <c r="P366" s="14" t="inlineStr">
        <is>
          <t>PINE LABS PRIVATE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1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</row>
    <row r="367">
      <c r="A367" s="14" t="n">
        <v>366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EBANK:WIB/1505 EBANK:WIB/1505997293/Edfs</t>
        </is>
      </c>
      <c r="H367" s="14" t="str"/>
      <c r="I367" s="14" t="inlineStr">
        <is>
          <t>Payment</t>
        </is>
      </c>
      <c r="J367" s="39" t="n">
        <v>161953</v>
      </c>
      <c r="K367" s="39" t="n">
        <v>0</v>
      </c>
      <c r="L367" s="39" t="n">
        <v>161953</v>
      </c>
      <c r="M367" s="39" t="n">
        <v>2500</v>
      </c>
      <c r="N367" s="14" t="inlineStr">
        <is>
          <t>High Transaction; Recurring Transaction</t>
        </is>
      </c>
      <c r="O367" s="14" t="inlineStr">
        <is>
          <t>Yes</t>
        </is>
      </c>
      <c r="P367" s="14" t="inlineStr">
        <is>
          <t>EBANKWIB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1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</row>
    <row r="368">
      <c r="A368" s="14" t="n">
        <v>367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UPI/6485981469 98146908 UPI/648598146908/13:51:58/UPI/akashshelar41-2@oki</t>
        </is>
      </c>
      <c r="H368" s="14" t="str"/>
      <c r="I368" s="14" t="inlineStr">
        <is>
          <t>Receipt</t>
        </is>
      </c>
      <c r="J368" s="39" t="n">
        <v>0</v>
      </c>
      <c r="K368" s="39" t="n">
        <v>4000</v>
      </c>
      <c r="L368" s="39" t="n">
        <v>4000</v>
      </c>
      <c r="M368" s="39" t="n">
        <v>6500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AKASHSHELAR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</row>
    <row r="369">
      <c r="A369" s="14" t="n">
        <v>368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NEFT-IN42611955128051-N R COLOURS LIMITED</t>
        </is>
      </c>
      <c r="H369" s="14" t="str"/>
      <c r="I369" s="14" t="inlineStr">
        <is>
          <t>Receipt</t>
        </is>
      </c>
      <c r="J369" s="39" t="n">
        <v>0</v>
      </c>
      <c r="K369" s="39" t="n">
        <v>20000</v>
      </c>
      <c r="L369" s="39" t="n">
        <v>20000</v>
      </c>
      <c r="M369" s="39" t="n">
        <v>26500</v>
      </c>
      <c r="N369" s="14" t="inlineStr">
        <is>
          <t>Recurring Transaction</t>
        </is>
      </c>
      <c r="O369" s="14" t="inlineStr">
        <is>
          <t>Yes</t>
        </is>
      </c>
      <c r="P369" s="14" t="inlineStr">
        <is>
          <t>N R COLOURS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</row>
    <row r="370">
      <c r="A370" s="14" t="n">
        <v>369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DIGITA-MUMBAI/ IMPS/P2A/611916141538/S TRANS 14851/Mh04ju3738I</t>
        </is>
      </c>
      <c r="H370" s="14" t="str"/>
      <c r="I370" s="14" t="inlineStr">
        <is>
          <t>Receipt</t>
        </is>
      </c>
      <c r="J370" s="39" t="n">
        <v>0</v>
      </c>
      <c r="K370" s="39" t="n">
        <v>13500</v>
      </c>
      <c r="L370" s="39" t="n">
        <v>13500</v>
      </c>
      <c r="M370" s="39" t="n">
        <v>40000</v>
      </c>
      <c r="N370" s="14" t="inlineStr">
        <is>
          <t>Recurring Transaction</t>
        </is>
      </c>
      <c r="O370" s="14" t="inlineStr">
        <is>
          <t>Yes</t>
        </is>
      </c>
      <c r="P370" s="14" t="inlineStr">
        <is>
          <t>DIGITA-MUMBAI/ IMPS/P#A/#/S TRANS #/MH#JU#I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</row>
    <row r="371">
      <c r="A371" s="14" t="n">
        <v>370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DIGITA-MUMBAI/ NEFT-NKGSH26119201393-GEBI PRODUCTS PRIVATE LIMITE</t>
        </is>
      </c>
      <c r="H371" s="14" t="str"/>
      <c r="I371" s="14" t="inlineStr">
        <is>
          <t>Receipt</t>
        </is>
      </c>
      <c r="J371" s="39" t="n">
        <v>0</v>
      </c>
      <c r="K371" s="39" t="n">
        <v>4372</v>
      </c>
      <c r="L371" s="39" t="n">
        <v>4372</v>
      </c>
      <c r="M371" s="39" t="n">
        <v>44372</v>
      </c>
      <c r="N371" s="14" t="inlineStr">
        <is>
          <t>Recurring Transaction</t>
        </is>
      </c>
      <c r="O371" s="14" t="inlineStr">
        <is>
          <t>Yes</t>
        </is>
      </c>
      <c r="P371" s="14" t="inlineStr">
        <is>
          <t>GEBI PRODUCTS PRIVATE LIMITE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</row>
    <row r="372">
      <c r="A372" s="14" t="n">
        <v>371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NEFT-HDFCH00961650004-SL CORBOX PRIVATE LIMITED</t>
        </is>
      </c>
      <c r="H372" s="14" t="str"/>
      <c r="I372" s="14" t="inlineStr">
        <is>
          <t>Receipt</t>
        </is>
      </c>
      <c r="J372" s="39" t="n">
        <v>0</v>
      </c>
      <c r="K372" s="39" t="n">
        <v>42165</v>
      </c>
      <c r="L372" s="39" t="n">
        <v>42165</v>
      </c>
      <c r="M372" s="39" t="n">
        <v>86537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SL CORBOX PRIVATE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</row>
    <row r="373">
      <c r="A373" s="14" t="n">
        <v>372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NEFT-HDFCH00961665348-CORPAK</t>
        </is>
      </c>
      <c r="H373" s="14" t="str"/>
      <c r="I373" s="14" t="inlineStr">
        <is>
          <t>Receipt</t>
        </is>
      </c>
      <c r="J373" s="39" t="n">
        <v>0</v>
      </c>
      <c r="K373" s="39" t="n">
        <v>9227</v>
      </c>
      <c r="L373" s="39" t="n">
        <v>9227</v>
      </c>
      <c r="M373" s="39" t="n">
        <v>95764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NEFT-HDFCH#-CORPAK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</row>
    <row r="374">
      <c r="A374" s="14" t="n">
        <v>373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4" s="14" t="str"/>
      <c r="I374" s="14" t="inlineStr">
        <is>
          <t>Payment</t>
        </is>
      </c>
      <c r="J374" s="39" t="n">
        <v>93264</v>
      </c>
      <c r="K374" s="39" t="n">
        <v>0</v>
      </c>
      <c r="L374" s="39" t="n">
        <v>93264</v>
      </c>
      <c r="M374" s="39" t="n">
        <v>2500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EBANKWIB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</row>
    <row r="375">
      <c r="A375" s="14" t="n">
        <v>374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IMPS/P2A/611920044748/VILLAGE STONE L/Diesel paym</t>
        </is>
      </c>
      <c r="H375" s="14" t="str"/>
      <c r="I375" s="14" t="inlineStr">
        <is>
          <t>Receipt</t>
        </is>
      </c>
      <c r="J375" s="39" t="n">
        <v>0</v>
      </c>
      <c r="K375" s="39" t="n">
        <v>47933</v>
      </c>
      <c r="L375" s="39" t="n">
        <v>47933</v>
      </c>
      <c r="M375" s="39" t="n">
        <v>50433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VILLAGE STONE L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</row>
    <row r="376">
      <c r="A376" s="14" t="n">
        <v>375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NEFT-IN42611955380476-VINAYAK OIL INDUSTRIES</t>
        </is>
      </c>
      <c r="H376" s="14" t="str"/>
      <c r="I376" s="14" t="inlineStr">
        <is>
          <t>Receipt</t>
        </is>
      </c>
      <c r="J376" s="39" t="n">
        <v>0</v>
      </c>
      <c r="K376" s="39" t="n">
        <v>44307</v>
      </c>
      <c r="L376" s="39" t="n">
        <v>44307</v>
      </c>
      <c r="M376" s="39" t="n">
        <v>94740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VINAYAK OIL INDUSTRIES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</row>
    <row r="377">
      <c r="A377" s="14" t="n">
        <v>376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EBANK:WIB/1506102762/Edfs</t>
        </is>
      </c>
      <c r="H377" s="14" t="str"/>
      <c r="I377" s="14" t="inlineStr">
        <is>
          <t>Payment</t>
        </is>
      </c>
      <c r="J377" s="39" t="n">
        <v>92240</v>
      </c>
      <c r="K377" s="39" t="n">
        <v>0</v>
      </c>
      <c r="L377" s="39" t="n">
        <v>92240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</row>
    <row r="378">
      <c r="A378" s="14" t="n">
        <v>377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IMPS/P2A/611922088049/OMSANITRANSPORT/Diesel Bill</t>
        </is>
      </c>
      <c r="H378" s="14" t="str"/>
      <c r="I378" s="14" t="inlineStr">
        <is>
          <t>Receipt</t>
        </is>
      </c>
      <c r="J378" s="39" t="n">
        <v>0</v>
      </c>
      <c r="K378" s="39" t="n">
        <v>44070</v>
      </c>
      <c r="L378" s="39" t="n">
        <v>44070</v>
      </c>
      <c r="M378" s="39" t="n">
        <v>46570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OMSANITRANSPORT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</row>
    <row r="379">
      <c r="A379" s="14" t="n">
        <v>378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46142</v>
      </c>
      <c r="F379" s="40" t="n">
        <v>46142</v>
      </c>
      <c r="G379" s="16" t="inlineStr">
        <is>
          <t>EBANK:WIB/1506 EBANK:WIB/1506112730/Edfs</t>
        </is>
      </c>
      <c r="H379" s="14" t="str"/>
      <c r="I379" s="14" t="inlineStr">
        <is>
          <t>Payment</t>
        </is>
      </c>
      <c r="J379" s="39" t="n">
        <v>44070</v>
      </c>
      <c r="K379" s="39" t="n">
        <v>0</v>
      </c>
      <c r="L379" s="39" t="n">
        <v>44070</v>
      </c>
      <c r="M379" s="39" t="n">
        <v>2500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EBANKWIB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46142</v>
      </c>
    </row>
    <row r="380">
      <c r="A380" s="14" t="n">
        <v>379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46142</v>
      </c>
      <c r="F380" s="40" t="n">
        <v>46142</v>
      </c>
      <c r="G380" s="16" t="inlineStr">
        <is>
          <t>DIGITA-MUMBAI/ NEFT-YESAP61203718924-PhonePe Limited</t>
        </is>
      </c>
      <c r="H380" s="14" t="str"/>
      <c r="I380" s="14" t="inlineStr">
        <is>
          <t>Receipt</t>
        </is>
      </c>
      <c r="J380" s="39" t="n">
        <v>0</v>
      </c>
      <c r="K380" s="39" t="n">
        <v>331429.91</v>
      </c>
      <c r="L380" s="39" t="n">
        <v>331429.91</v>
      </c>
      <c r="M380" s="39" t="n">
        <v>333929.91</v>
      </c>
      <c r="N380" s="14" t="inlineStr">
        <is>
          <t>High Transaction; Recurring Transaction</t>
        </is>
      </c>
      <c r="O380" s="14" t="inlineStr">
        <is>
          <t>Yes</t>
        </is>
      </c>
      <c r="P380" s="14" t="inlineStr">
        <is>
          <t>PHONEPE LIMITED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1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46142</v>
      </c>
    </row>
    <row r="381">
      <c r="A381" s="14" t="n">
        <v>380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46142</v>
      </c>
      <c r="F381" s="40" t="n">
        <v>46142</v>
      </c>
      <c r="G381" s="16" t="inlineStr">
        <is>
          <t>DIGITA-MUMBAI/ NEFT-AXISCN1328726065-ONE MOBIKWIK SYSTEMS LIMITED</t>
        </is>
      </c>
      <c r="H381" s="14" t="str"/>
      <c r="I381" s="14" t="inlineStr">
        <is>
          <t>Receipt</t>
        </is>
      </c>
      <c r="J381" s="39" t="n">
        <v>0</v>
      </c>
      <c r="K381" s="39" t="n">
        <v>4500</v>
      </c>
      <c r="L381" s="39" t="n">
        <v>4500</v>
      </c>
      <c r="M381" s="39" t="n">
        <v>338429.91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ONE MOBIKWIK SYSTEMS LIMITED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46142</v>
      </c>
    </row>
    <row r="382">
      <c r="A382" s="14" t="n">
        <v>381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DIGITA-MUMBAI/ NEFT-AXNPN12039810952-PHONEPE LIMITED-PAYMENT AGGR</t>
        </is>
      </c>
      <c r="H382" s="14" t="str"/>
      <c r="I382" s="14" t="inlineStr">
        <is>
          <t>Receipt</t>
        </is>
      </c>
      <c r="J382" s="39" t="n">
        <v>0</v>
      </c>
      <c r="K382" s="39" t="n">
        <v>93657.2</v>
      </c>
      <c r="L382" s="39" t="n">
        <v>93657.2</v>
      </c>
      <c r="M382" s="39" t="n">
        <v>432087.11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PHONEPE LIMITED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</row>
    <row r="383">
      <c r="A383" s="14" t="n">
        <v>382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EBANK:WIB/1506 EBANK:WIB/1506112904/Edfs</t>
        </is>
      </c>
      <c r="H383" s="14" t="str"/>
      <c r="I383" s="14" t="inlineStr">
        <is>
          <t>Payment</t>
        </is>
      </c>
      <c r="J383" s="39" t="n">
        <v>429587.11</v>
      </c>
      <c r="K383" s="39" t="n">
        <v>0</v>
      </c>
      <c r="L383" s="39" t="n">
        <v>429587.11</v>
      </c>
      <c r="M383" s="39" t="n">
        <v>2500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EBANKWIB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</row>
    <row r="384">
      <c r="A384" s="14" t="n">
        <v>383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IMPS/P2A/61200 IMPS/P2A/612006415602/XXXXXXXXXXR111/forload</t>
        </is>
      </c>
      <c r="H384" s="14" t="str"/>
      <c r="I384" s="14" t="inlineStr">
        <is>
          <t>Payment</t>
        </is>
      </c>
      <c r="J384" s="39" t="n">
        <v>500</v>
      </c>
      <c r="K384" s="39" t="n">
        <v>0</v>
      </c>
      <c r="L384" s="39" t="n">
        <v>500</v>
      </c>
      <c r="M384" s="39" t="n">
        <v>2000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XXXXXXXXXXR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</row>
    <row r="385">
      <c r="A385" s="14" t="n">
        <v>384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CHARGES FOR CHARGES FOR :IMPS/P2A/612006415602/XXXXXXXX</t>
        </is>
      </c>
      <c r="H385" s="14" t="str"/>
      <c r="I385" s="14" t="inlineStr">
        <is>
          <t>Payment</t>
        </is>
      </c>
      <c r="J385" s="39" t="n">
        <v>2.95</v>
      </c>
      <c r="K385" s="39" t="n">
        <v>0</v>
      </c>
      <c r="L385" s="39" t="n">
        <v>2.95</v>
      </c>
      <c r="M385" s="39" t="n">
        <v>1997.05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CHARGES FOR CHARGES FOR IMPS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</row>
    <row r="386">
      <c r="A386" s="14" t="n">
        <v>385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UPI/1223593229 59322927 UPI/122359322927/08:14:36/UPI/shivprasad750758984</t>
        </is>
      </c>
      <c r="H386" s="14" t="str"/>
      <c r="I386" s="14" t="inlineStr">
        <is>
          <t>Receipt</t>
        </is>
      </c>
      <c r="J386" s="39" t="n">
        <v>0</v>
      </c>
      <c r="K386" s="39" t="n">
        <v>11000</v>
      </c>
      <c r="L386" s="39" t="n">
        <v>11000</v>
      </c>
      <c r="M386" s="39" t="n">
        <v>12997.05</v>
      </c>
      <c r="N386" s="14" t="inlineStr">
        <is>
          <t>UPI</t>
        </is>
      </c>
      <c r="O386" s="14" t="inlineStr">
        <is>
          <t>No</t>
        </is>
      </c>
      <c r="P386" s="14" t="inlineStr">
        <is>
          <t>SHIVPRASAD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</row>
    <row r="387">
      <c r="A387" s="14" t="n">
        <v>386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DIGITA-MUMBAI/ NEFT-AXISCN1328873702-PINE LABS PRIVATE LIMITED-NO</t>
        </is>
      </c>
      <c r="H387" s="14" t="str"/>
      <c r="I387" s="14" t="inlineStr">
        <is>
          <t>Receipt</t>
        </is>
      </c>
      <c r="J387" s="39" t="n">
        <v>0</v>
      </c>
      <c r="K387" s="39" t="n">
        <v>98741</v>
      </c>
      <c r="L387" s="39" t="n">
        <v>98741</v>
      </c>
      <c r="M387" s="39" t="n">
        <v>111738.05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PINE LABS PRIVATE LIMITED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</row>
    <row r="388">
      <c r="A388" s="14" t="n">
        <v>387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DIGITA-MUMBAI/ NEFT-HDFCH00963002372-KUNDAN QUARRY</t>
        </is>
      </c>
      <c r="H388" s="14" t="str"/>
      <c r="I388" s="14" t="inlineStr">
        <is>
          <t>Receipt</t>
        </is>
      </c>
      <c r="J388" s="39" t="n">
        <v>0</v>
      </c>
      <c r="K388" s="39" t="n">
        <v>8700</v>
      </c>
      <c r="L388" s="39" t="n">
        <v>8700</v>
      </c>
      <c r="M388" s="39" t="n">
        <v>120438.05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KUNDAN QUARRY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</row>
    <row r="389">
      <c r="A389" s="14" t="n">
        <v>388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89" s="14" t="str"/>
      <c r="I389" s="14" t="inlineStr">
        <is>
          <t>Receipt</t>
        </is>
      </c>
      <c r="J389" s="39" t="n">
        <v>0</v>
      </c>
      <c r="K389" s="39" t="n">
        <v>90440</v>
      </c>
      <c r="L389" s="39" t="n">
        <v>90440</v>
      </c>
      <c r="M389" s="39" t="n">
        <v>210878.05</v>
      </c>
      <c r="N389" s="14" t="inlineStr">
        <is>
          <t>Recurring Transaction</t>
        </is>
      </c>
      <c r="O389" s="14" t="inlineStr">
        <is>
          <t>Yes</t>
        </is>
      </c>
      <c r="P389" s="14" t="inlineStr">
        <is>
          <t>PELL TECH HEALTH CARE PRIVAT</t>
        </is>
      </c>
      <c r="Q389" s="14" t="n">
        <v>0</v>
      </c>
      <c r="R389" s="14" t="n">
        <v>1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</row>
    <row r="390">
      <c r="A390" s="14" t="n">
        <v>389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NEFT-HDFCH00963252757-QUEST ENTERPRISES PVT LTD</t>
        </is>
      </c>
      <c r="H390" s="14" t="str"/>
      <c r="I390" s="14" t="inlineStr">
        <is>
          <t>Receipt</t>
        </is>
      </c>
      <c r="J390" s="39" t="n">
        <v>0</v>
      </c>
      <c r="K390" s="39" t="n">
        <v>5000</v>
      </c>
      <c r="L390" s="39" t="n">
        <v>5000</v>
      </c>
      <c r="M390" s="39" t="n">
        <v>215878.05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QUEST ENTERPRISES PVT LTD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</row>
    <row r="391">
      <c r="A391" s="14" t="n">
        <v>390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NEFT-HDFCH00963611742-Adekar enterprises pvt ltd</t>
        </is>
      </c>
      <c r="H391" s="14" t="str"/>
      <c r="I391" s="14" t="inlineStr">
        <is>
          <t>Receipt</t>
        </is>
      </c>
      <c r="J391" s="39" t="n">
        <v>0</v>
      </c>
      <c r="K391" s="39" t="n">
        <v>109621</v>
      </c>
      <c r="L391" s="39" t="n">
        <v>109621</v>
      </c>
      <c r="M391" s="39" t="n">
        <v>325499.05</v>
      </c>
      <c r="N391" s="14" t="inlineStr">
        <is>
          <t>High Transaction; Recurring Transaction</t>
        </is>
      </c>
      <c r="O391" s="14" t="inlineStr">
        <is>
          <t>Yes</t>
        </is>
      </c>
      <c r="P391" s="14" t="inlineStr">
        <is>
          <t>ADEKAR ENTERPRISES PVT LTD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1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</row>
    <row r="392">
      <c r="A392" s="14" t="n">
        <v>391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NEFT-NKGSH26120214998-GEBI PRODUCTS PRIVATE LIMITE</t>
        </is>
      </c>
      <c r="H392" s="14" t="str"/>
      <c r="I392" s="14" t="inlineStr">
        <is>
          <t>Receipt</t>
        </is>
      </c>
      <c r="J392" s="39" t="n">
        <v>0</v>
      </c>
      <c r="K392" s="39" t="n">
        <v>2441</v>
      </c>
      <c r="L392" s="39" t="n">
        <v>2441</v>
      </c>
      <c r="M392" s="39" t="n">
        <v>327940.05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GEBI PRODUCTS PRIVATE LIMITE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</row>
    <row r="393">
      <c r="A393" s="14" t="n">
        <v>392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EBANK:WIB/1506 EBANK:WIB/1506237357/Edfs</t>
        </is>
      </c>
      <c r="H393" s="14" t="str"/>
      <c r="I393" s="14" t="inlineStr">
        <is>
          <t>Payment</t>
        </is>
      </c>
      <c r="J393" s="39" t="n">
        <v>307440.05</v>
      </c>
      <c r="K393" s="39" t="n">
        <v>0</v>
      </c>
      <c r="L393" s="39" t="n">
        <v>307440.05</v>
      </c>
      <c r="M393" s="39" t="n">
        <v>20500</v>
      </c>
      <c r="N393" s="14" t="inlineStr">
        <is>
          <t>High Transaction; Recurring Transaction</t>
        </is>
      </c>
      <c r="O393" s="14" t="inlineStr">
        <is>
          <t>Yes</t>
        </is>
      </c>
      <c r="P393" s="14" t="inlineStr">
        <is>
          <t>EBANKWIB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1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</row>
    <row r="394">
      <c r="A394" s="14" t="n">
        <v>393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NEFT-IN42612056111225-JERAI FITNESS LIMITED</t>
        </is>
      </c>
      <c r="H394" s="14" t="str"/>
      <c r="I394" s="14" t="inlineStr">
        <is>
          <t>Receipt</t>
        </is>
      </c>
      <c r="J394" s="39" t="n">
        <v>0</v>
      </c>
      <c r="K394" s="39" t="n">
        <v>147635</v>
      </c>
      <c r="L394" s="39" t="n">
        <v>147635</v>
      </c>
      <c r="M394" s="39" t="n">
        <v>168135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JERAI FITNESS LIMITED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</row>
    <row r="395">
      <c r="A395" s="14" t="n">
        <v>394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IMPS/P2A/61201 IMPS/P2A/612019376760/XXXXXXXXXXR111/load</t>
        </is>
      </c>
      <c r="H395" s="14" t="str"/>
      <c r="I395" s="14" t="inlineStr">
        <is>
          <t>Payment</t>
        </is>
      </c>
      <c r="J395" s="39" t="n">
        <v>12000</v>
      </c>
      <c r="K395" s="39" t="n">
        <v>0</v>
      </c>
      <c r="L395" s="39" t="n">
        <v>12000</v>
      </c>
      <c r="M395" s="39" t="n">
        <v>156135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XXXXXXXXXXR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</row>
    <row r="396">
      <c r="A396" s="14" t="n">
        <v>395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CHARGES FOR CHARGES FOR :IMPS/P2A/612019376760/XXXXXXXX</t>
        </is>
      </c>
      <c r="H396" s="14" t="str"/>
      <c r="I396" s="14" t="inlineStr">
        <is>
          <t>Payment</t>
        </is>
      </c>
      <c r="J396" s="39" t="n">
        <v>5.9</v>
      </c>
      <c r="K396" s="39" t="n">
        <v>0</v>
      </c>
      <c r="L396" s="39" t="n">
        <v>5.9</v>
      </c>
      <c r="M396" s="39" t="n">
        <v>156129.1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CHARGES FOR CHARGES FOR IMPS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</row>
    <row r="397">
      <c r="A397" s="14" t="n">
        <v>396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IMPS/P2A/61202 https://cbdrpt101.bankofbaroda.co.in:22000/finbranch/arjspmorph/INFENG/tran_rpt.jsp?... 04-05-2026 IMPS/P2A/612022880582/XXXXXXXXXXR111/load</t>
        </is>
      </c>
      <c r="H397" s="14" t="str"/>
      <c r="I397" s="14" t="inlineStr">
        <is>
          <t>Payment</t>
        </is>
      </c>
      <c r="J397" s="39" t="n">
        <v>25000</v>
      </c>
      <c r="K397" s="39" t="n">
        <v>0</v>
      </c>
      <c r="L397" s="39" t="n">
        <v>25000</v>
      </c>
      <c r="M397" s="39" t="n">
        <v>131129.1</v>
      </c>
      <c r="N397" s="14" t="inlineStr">
        <is>
          <t>Other</t>
        </is>
      </c>
      <c r="O397" s="14" t="inlineStr">
        <is>
          <t>No</t>
        </is>
      </c>
      <c r="P397" s="14" t="inlineStr">
        <is>
          <t>CBDRPTBANKOFBARODACOIN</t>
        </is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</row>
    <row r="398">
      <c r="A398" s="14" t="n">
        <v>397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CHARGES FOR CHARGES FOR :IMPS/P2A/612022880582/XXXXXXXX</t>
        </is>
      </c>
      <c r="H398" s="14" t="str"/>
      <c r="I398" s="14" t="inlineStr">
        <is>
          <t>Payment</t>
        </is>
      </c>
      <c r="J398" s="39" t="n">
        <v>5.9</v>
      </c>
      <c r="K398" s="39" t="n">
        <v>0</v>
      </c>
      <c r="L398" s="39" t="n">
        <v>5.9</v>
      </c>
      <c r="M398" s="39" t="n">
        <v>131123.2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CHARGES FOR CHARGES FOR IMPS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</row>
    <row r="399">
      <c r="A399" s="14" t="n">
        <v>398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99" s="14" t="str"/>
      <c r="I399" s="14" t="inlineStr">
        <is>
          <t>Payment</t>
        </is>
      </c>
      <c r="J399" s="39" t="n">
        <v>128623.2</v>
      </c>
      <c r="K399" s="39" t="n">
        <v>0</v>
      </c>
      <c r="L399" s="39" t="n">
        <v>128623.2</v>
      </c>
      <c r="M399" s="39" t="n">
        <v>2500</v>
      </c>
      <c r="N399" s="14" t="inlineStr">
        <is>
          <t>High Transaction; Recurring Transaction</t>
        </is>
      </c>
      <c r="O399" s="14" t="inlineStr">
        <is>
          <t>Yes</t>
        </is>
      </c>
      <c r="P399" s="14" t="inlineStr">
        <is>
          <t>EBANKWIB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1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Cash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Cash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75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46119</v>
      </c>
      <c r="F5" s="40" t="n">
        <v>46119</v>
      </c>
      <c r="G5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5" s="14" t="str"/>
      <c r="I5" s="14" t="inlineStr">
        <is>
          <t>Receipt</t>
        </is>
      </c>
      <c r="J5" s="39" t="n">
        <v>0</v>
      </c>
      <c r="K5" s="39" t="n">
        <v>114500</v>
      </c>
      <c r="L5" s="39" t="n">
        <v>114500</v>
      </c>
      <c r="M5" s="39" t="n">
        <v>176796.35</v>
      </c>
      <c r="N5" s="14" t="inlineStr">
        <is>
          <t>Cash; High Transaction; Recurring Transaction</t>
        </is>
      </c>
      <c r="O5" s="14" t="inlineStr">
        <is>
          <t>Yes</t>
        </is>
      </c>
      <c r="P5" s="14" t="inlineStr">
        <is>
          <t>PAGE TOTAL   CR</t>
        </is>
      </c>
      <c r="Q5" s="14" t="n">
        <v>1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46119</v>
      </c>
      <c r="AB5" s="42">
        <f>HYPERLINK("#'Transactions'!A76", "View Source Row")</f>
        <v/>
      </c>
    </row>
    <row r="6">
      <c r="A6" s="14" t="n">
        <v>86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46120</v>
      </c>
      <c r="F6" s="40" t="n">
        <v>46120</v>
      </c>
      <c r="G6" s="16" t="inlineStr">
        <is>
          <t>Chg Cash Chg Cash handling for:30-03-2026</t>
        </is>
      </c>
      <c r="H6" s="14" t="str"/>
      <c r="I6" s="14" t="inlineStr">
        <is>
          <t>Payment</t>
        </is>
      </c>
      <c r="J6" s="39" t="n">
        <v>24</v>
      </c>
      <c r="K6" s="39" t="n">
        <v>0</v>
      </c>
      <c r="L6" s="39" t="n">
        <v>24</v>
      </c>
      <c r="M6" s="39" t="n">
        <v>294225</v>
      </c>
      <c r="N6" s="14" t="inlineStr">
        <is>
          <t>Cash</t>
        </is>
      </c>
      <c r="O6" s="14" t="inlineStr">
        <is>
          <t>No</t>
        </is>
      </c>
      <c r="P6" s="14" t="inlineStr">
        <is>
          <t>CHG CASH CHG CASH HANDLING FOR</t>
        </is>
      </c>
      <c r="Q6" s="14" t="n">
        <v>1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46120</v>
      </c>
      <c r="AB6" s="42">
        <f>HYPERLINK("#'Transactions'!A87",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Recurring Transaction Transactions</t>
        </is>
      </c>
    </row>
    <row r="2">
      <c r="A2" s="30" t="inlineStr">
        <is>
          <t>Rows</t>
        </is>
      </c>
      <c r="B2" s="30" t="n">
        <v>346</v>
      </c>
      <c r="C2" s="30" t="inlineStr">
        <is>
          <t>Match</t>
        </is>
      </c>
      <c r="D2" s="30" t="inlineStr">
        <is>
          <t>Recurring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7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NEFT-FBPT260916108327-PREMIER CONVEYORS PRIVATE LI</t>
        </is>
      </c>
      <c r="H7" s="14" t="str"/>
      <c r="I7" s="14" t="inlineStr">
        <is>
          <t>Receipt</t>
        </is>
      </c>
      <c r="J7" s="39" t="n">
        <v>0</v>
      </c>
      <c r="K7" s="39" t="n">
        <v>18409</v>
      </c>
      <c r="L7" s="39" t="n">
        <v>18409</v>
      </c>
      <c r="M7" s="39" t="n">
        <v>20909</v>
      </c>
      <c r="N7" s="14" t="inlineStr">
        <is>
          <t>EMI; Recurring Transaction</t>
        </is>
      </c>
      <c r="O7" s="14" t="inlineStr">
        <is>
          <t>Yes</t>
        </is>
      </c>
      <c r="P7" s="14" t="inlineStr">
        <is>
          <t>PREMIER CONVEYORS PRIVATE LI</t>
        </is>
      </c>
      <c r="Q7" s="14" t="n">
        <v>0</v>
      </c>
      <c r="R7" s="14" t="n">
        <v>1</v>
      </c>
      <c r="S7" s="14" t="n">
        <v>1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HYPERLINK("#'Transactions'!A8", "View Source Row")</f>
        <v/>
      </c>
    </row>
    <row r="8">
      <c r="A8" s="14" t="n">
        <v>8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NEFT-CNRBH00121803213-QUALITY PLAST INDUSTRIES LIM</t>
        </is>
      </c>
      <c r="H8" s="14" t="str"/>
      <c r="I8" s="14" t="inlineStr">
        <is>
          <t>Receipt</t>
        </is>
      </c>
      <c r="J8" s="39" t="n">
        <v>0</v>
      </c>
      <c r="K8" s="39" t="n">
        <v>121431</v>
      </c>
      <c r="L8" s="39" t="n">
        <v>121431</v>
      </c>
      <c r="M8" s="39" t="n">
        <v>142340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QUALITY PLAST INDUSTRIES LIM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HYPERLINK("#'Transactions'!A9", "View Source Row")</f>
        <v/>
      </c>
    </row>
    <row r="9">
      <c r="A9" s="14" t="n">
        <v>10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IMPS/P2A/609116466512/AFZALSIRAJUDDIN/IMPSUOB9191</t>
        </is>
      </c>
      <c r="H9" s="14" t="str"/>
      <c r="I9" s="14" t="inlineStr">
        <is>
          <t>Receipt</t>
        </is>
      </c>
      <c r="J9" s="39" t="n">
        <v>0</v>
      </c>
      <c r="K9" s="39" t="n">
        <v>100000</v>
      </c>
      <c r="L9" s="39" t="n">
        <v>100000</v>
      </c>
      <c r="M9" s="39" t="n">
        <v>240840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AFZALSIRAJUDDIN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HYPERLINK("#'Transactions'!A11", "View Source Row")</f>
        <v/>
      </c>
    </row>
    <row r="10">
      <c r="A10" s="14" t="n">
        <v>11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NEFT-KKBKH26091970510-VENKTESHWAR INDUSTRIAL CORPO</t>
        </is>
      </c>
      <c r="H10" s="14" t="str"/>
      <c r="I10" s="14" t="inlineStr">
        <is>
          <t>Receipt</t>
        </is>
      </c>
      <c r="J10" s="39" t="n">
        <v>0</v>
      </c>
      <c r="K10" s="39" t="n">
        <v>10000</v>
      </c>
      <c r="L10" s="39" t="n">
        <v>10000</v>
      </c>
      <c r="M10" s="39" t="n">
        <v>250840</v>
      </c>
      <c r="N10" s="14" t="inlineStr">
        <is>
          <t>Recurring Transaction</t>
        </is>
      </c>
      <c r="O10" s="14" t="inlineStr">
        <is>
          <t>Yes</t>
        </is>
      </c>
      <c r="P10" s="14" t="inlineStr">
        <is>
          <t>VENKTESHWAR INDUSTRIAL CORPO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HYPERLINK("#'Transactions'!A12", "View Source Row")</f>
        <v/>
      </c>
    </row>
    <row r="11">
      <c r="A11" s="14" t="n">
        <v>12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1" s="14" t="str"/>
      <c r="I11" s="14" t="inlineStr">
        <is>
          <t>Payment</t>
        </is>
      </c>
      <c r="J11" s="39" t="n">
        <v>248340</v>
      </c>
      <c r="K11" s="39" t="n">
        <v>0</v>
      </c>
      <c r="L11" s="39" t="n">
        <v>248340</v>
      </c>
      <c r="M11" s="39" t="n">
        <v>2500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EBANKWIB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HYPERLINK("#'Transactions'!A13", "View Source Row")</f>
        <v/>
      </c>
    </row>
    <row r="12">
      <c r="A12" s="14" t="n">
        <v>13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NEFT-YESAP60924833309-PhonePe Limited</t>
        </is>
      </c>
      <c r="H12" s="14" t="str"/>
      <c r="I12" s="14" t="inlineStr">
        <is>
          <t>Receipt</t>
        </is>
      </c>
      <c r="J12" s="39" t="n">
        <v>0</v>
      </c>
      <c r="K12" s="39" t="n">
        <v>188588.4</v>
      </c>
      <c r="L12" s="39" t="n">
        <v>188588.4</v>
      </c>
      <c r="M12" s="39" t="n">
        <v>191088.4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PHONEPE LIMITED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HYPERLINK("#'Transactions'!A14", "View Source Row")</f>
        <v/>
      </c>
    </row>
    <row r="13">
      <c r="A13" s="14" t="n">
        <v>14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DIGITA-MUMBAI/ NEFT-AXNPN09202196281-PHONEPE LIMITED-PAYMENT AGGR</t>
        </is>
      </c>
      <c r="H13" s="14" t="str"/>
      <c r="I13" s="14" t="inlineStr">
        <is>
          <t>Receipt</t>
        </is>
      </c>
      <c r="J13" s="39" t="n">
        <v>0</v>
      </c>
      <c r="K13" s="39" t="n">
        <v>50884.1</v>
      </c>
      <c r="L13" s="39" t="n">
        <v>50884.1</v>
      </c>
      <c r="M13" s="39" t="n">
        <v>241972.5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PHONEPE LIMITED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HYPERLINK("#'Transactions'!A15", "View Source Row")</f>
        <v/>
      </c>
    </row>
    <row r="14">
      <c r="A14" s="14" t="n">
        <v>15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NEFT-AXISCN1298773772-ONE MOBIKWIK SYSTEMS LIMITED https://cbdrpt101.bankofbaroda.co.in:22000/finbranch/arjspmorph/INFENG/tran_rpt.jsp?... 04-05-2026</t>
        </is>
      </c>
      <c r="H14" s="14" t="str"/>
      <c r="I14" s="14" t="inlineStr">
        <is>
          <t>Receipt</t>
        </is>
      </c>
      <c r="J14" s="39" t="n">
        <v>0</v>
      </c>
      <c r="K14" s="39" t="n">
        <v>26312</v>
      </c>
      <c r="L14" s="39" t="n">
        <v>26312</v>
      </c>
      <c r="M14" s="39" t="n">
        <v>268284.5</v>
      </c>
      <c r="N14" s="14" t="inlineStr">
        <is>
          <t>Recurring Transaction</t>
        </is>
      </c>
      <c r="O14" s="14" t="inlineStr">
        <is>
          <t>Yes</t>
        </is>
      </c>
      <c r="P14" s="14" t="inlineStr">
        <is>
          <t>ONE MOBIKWIK SYSTEMS LIMITED HTTPS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HYPERLINK("#'Transactions'!A16", "View Source Row")</f>
        <v/>
      </c>
    </row>
    <row r="15">
      <c r="A15" s="14" t="n">
        <v>16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IMPS/P2A/609208556385/OMSANITRANSPORT/IMPSUOB9195</t>
        </is>
      </c>
      <c r="H15" s="14" t="str"/>
      <c r="I15" s="14" t="inlineStr">
        <is>
          <t>Receipt</t>
        </is>
      </c>
      <c r="J15" s="39" t="n">
        <v>0</v>
      </c>
      <c r="K15" s="39" t="n">
        <v>16450</v>
      </c>
      <c r="L15" s="39" t="n">
        <v>16450</v>
      </c>
      <c r="M15" s="39" t="n">
        <v>284734.5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OMSANITRANSPORT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HYPERLINK("#'Transactions'!A17", "View Source Row")</f>
        <v/>
      </c>
    </row>
    <row r="16">
      <c r="A16" s="14" t="n">
        <v>17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NEFT-AXISCN1298906804-PINE LABS PRIVATE LIMITED-NO</t>
        </is>
      </c>
      <c r="H16" s="14" t="str"/>
      <c r="I16" s="14" t="inlineStr">
        <is>
          <t>Receipt</t>
        </is>
      </c>
      <c r="J16" s="39" t="n">
        <v>0</v>
      </c>
      <c r="K16" s="39" t="n">
        <v>61903</v>
      </c>
      <c r="L16" s="39" t="n">
        <v>61903</v>
      </c>
      <c r="M16" s="39" t="n">
        <v>346637.5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PINE LABS PRIVATE LIMITED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HYPERLINK("#'Transactions'!A18", "View Source Row")</f>
        <v/>
      </c>
    </row>
    <row r="17">
      <c r="A17" s="14" t="n">
        <v>18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NEFT-AXISCN1299028324-PINE LABS PRIVATE LIMITED-NO</t>
        </is>
      </c>
      <c r="H17" s="14" t="str"/>
      <c r="I17" s="14" t="inlineStr">
        <is>
          <t>Receipt</t>
        </is>
      </c>
      <c r="J17" s="39" t="n">
        <v>0</v>
      </c>
      <c r="K17" s="39" t="n">
        <v>166884</v>
      </c>
      <c r="L17" s="39" t="n">
        <v>166884</v>
      </c>
      <c r="M17" s="39" t="n">
        <v>513521.5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PINE LABS PRIVATE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HYPERLINK("#'Transactions'!A19", "View Source Row")</f>
        <v/>
      </c>
    </row>
    <row r="18">
      <c r="A18" s="14" t="n">
        <v>20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IMPS/P2A/609211135154/SHREE GANESH EN/dieselVVS91</t>
        </is>
      </c>
      <c r="H18" s="14" t="str"/>
      <c r="I18" s="14" t="inlineStr">
        <is>
          <t>Receipt</t>
        </is>
      </c>
      <c r="J18" s="39" t="n">
        <v>0</v>
      </c>
      <c r="K18" s="39" t="n">
        <v>63308</v>
      </c>
      <c r="L18" s="39" t="n">
        <v>63308</v>
      </c>
      <c r="M18" s="39" t="n">
        <v>572829.5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SHREE GANESH EN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HYPERLINK("#'Transactions'!A21", "View Source Row")</f>
        <v/>
      </c>
    </row>
    <row r="19">
      <c r="A19" s="14" t="n">
        <v>21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NEFT-KKBKH26092777992-VENKTESHWAR INDUSTRIAL CORPO</t>
        </is>
      </c>
      <c r="H19" s="14" t="str"/>
      <c r="I19" s="14" t="inlineStr">
        <is>
          <t>Receipt</t>
        </is>
      </c>
      <c r="J19" s="39" t="n">
        <v>0</v>
      </c>
      <c r="K19" s="39" t="n">
        <v>18088</v>
      </c>
      <c r="L19" s="39" t="n">
        <v>18088</v>
      </c>
      <c r="M19" s="39" t="n">
        <v>590917.5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VENKTESHWAR INDUSTRIAL CORPO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HYPERLINK("#'Transactions'!A22", "View Source Row")</f>
        <v/>
      </c>
    </row>
    <row r="20">
      <c r="A20" s="14" t="n">
        <v>23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NEFT-NKGSH26092846591-GEBI PRODUCTS PRIVATE LIMITE</t>
        </is>
      </c>
      <c r="H20" s="14" t="str"/>
      <c r="I20" s="14" t="inlineStr">
        <is>
          <t>Receipt</t>
        </is>
      </c>
      <c r="J20" s="39" t="n">
        <v>0</v>
      </c>
      <c r="K20" s="39" t="n">
        <v>12813</v>
      </c>
      <c r="L20" s="39" t="n">
        <v>12813</v>
      </c>
      <c r="M20" s="39" t="n">
        <v>600930.5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GEBI PRODUCTS PRIVATE LIMITE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HYPERLINK("#'Transactions'!A24", "View Source Row")</f>
        <v/>
      </c>
    </row>
    <row r="21">
      <c r="A21" s="14" t="n">
        <v>24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NEFT-IDIBH09236262399-JAI AMBE TRANSPORT</t>
        </is>
      </c>
      <c r="H21" s="14" t="str"/>
      <c r="I21" s="14" t="inlineStr">
        <is>
          <t>Receipt</t>
        </is>
      </c>
      <c r="J21" s="39" t="n">
        <v>0</v>
      </c>
      <c r="K21" s="39" t="n">
        <v>4378</v>
      </c>
      <c r="L21" s="39" t="n">
        <v>4378</v>
      </c>
      <c r="M21" s="39" t="n">
        <v>605308.5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JAI AMBE TRANSPORT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HYPERLINK("#'Transactions'!A25", "View Source Row")</f>
        <v/>
      </c>
    </row>
    <row r="22">
      <c r="A22" s="14" t="n">
        <v>25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NEFT-HDFCH00905140576-Adekar enterprises pvt ltd</t>
        </is>
      </c>
      <c r="H22" s="14" t="str"/>
      <c r="I22" s="14" t="inlineStr">
        <is>
          <t>Receipt</t>
        </is>
      </c>
      <c r="J22" s="39" t="n">
        <v>0</v>
      </c>
      <c r="K22" s="39" t="n">
        <v>138674</v>
      </c>
      <c r="L22" s="39" t="n">
        <v>138674</v>
      </c>
      <c r="M22" s="39" t="n">
        <v>743982.5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ADEKAR ENTERPRISES PVT LTD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HYPERLINK("#'Transactions'!A26", "View Source Row")</f>
        <v/>
      </c>
    </row>
    <row r="23">
      <c r="A23" s="14" t="n">
        <v>26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DIGITA-MUMBAI/ NEFT-TDCBH26092001785-V C ENTERPRISES</t>
        </is>
      </c>
      <c r="H23" s="14" t="str"/>
      <c r="I23" s="14" t="inlineStr">
        <is>
          <t>Receipt</t>
        </is>
      </c>
      <c r="J23" s="39" t="n">
        <v>0</v>
      </c>
      <c r="K23" s="39" t="n">
        <v>50000</v>
      </c>
      <c r="L23" s="39" t="n">
        <v>50000</v>
      </c>
      <c r="M23" s="39" t="n">
        <v>793982.5</v>
      </c>
      <c r="N23" s="14" t="inlineStr">
        <is>
          <t>Recurring Transaction</t>
        </is>
      </c>
      <c r="O23" s="14" t="inlineStr">
        <is>
          <t>Yes</t>
        </is>
      </c>
      <c r="P23" s="14" t="inlineStr">
        <is>
          <t>V C ENTERPRISES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HYPERLINK("#'Transactions'!A27", "View Source Row")</f>
        <v/>
      </c>
    </row>
    <row r="24">
      <c r="A24" s="14" t="n">
        <v>27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EBANK:WIB/1502 EBANK:WIB/1502234210/Edfs</t>
        </is>
      </c>
      <c r="H24" s="14" t="str"/>
      <c r="I24" s="14" t="inlineStr">
        <is>
          <t>Payment</t>
        </is>
      </c>
      <c r="J24" s="39" t="n">
        <v>791482.5</v>
      </c>
      <c r="K24" s="39" t="n">
        <v>0</v>
      </c>
      <c r="L24" s="39" t="n">
        <v>791482.5</v>
      </c>
      <c r="M24" s="39" t="n">
        <v>2500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HYPERLINK("#'Transactions'!A28", "View Source Row")</f>
        <v/>
      </c>
    </row>
    <row r="25">
      <c r="A25" s="14" t="n">
        <v>28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5" s="14" t="str"/>
      <c r="I25" s="14" t="inlineStr">
        <is>
          <t>Receipt</t>
        </is>
      </c>
      <c r="J25" s="39" t="n">
        <v>0</v>
      </c>
      <c r="K25" s="39" t="n">
        <v>36176</v>
      </c>
      <c r="L25" s="39" t="n">
        <v>36176</v>
      </c>
      <c r="M25" s="39" t="n">
        <v>38676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PAGE TOTAL   CR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HYPERLINK("#'Transactions'!A29", "View Source Row")</f>
        <v/>
      </c>
    </row>
    <row r="26">
      <c r="A26" s="14" t="n">
        <v>29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NEFT-KKBKH26092921670-ATLAS COMMODITIES PRIVATE LI</t>
        </is>
      </c>
      <c r="H26" s="14" t="str"/>
      <c r="I26" s="14" t="inlineStr">
        <is>
          <t>Receipt</t>
        </is>
      </c>
      <c r="J26" s="39" t="n">
        <v>0</v>
      </c>
      <c r="K26" s="39" t="n">
        <v>4353</v>
      </c>
      <c r="L26" s="39" t="n">
        <v>4353</v>
      </c>
      <c r="M26" s="39" t="n">
        <v>43029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ATLAS COMMODITIES PRIVATE LI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HYPERLINK("#'Transactions'!A30", "View Source Row")</f>
        <v/>
      </c>
    </row>
    <row r="27">
      <c r="A27" s="14" t="n">
        <v>30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46115</v>
      </c>
      <c r="F27" s="40" t="n">
        <v>46115</v>
      </c>
      <c r="G27" s="16" t="inlineStr">
        <is>
          <t>DIGITA-MUMBAI/ NEFT-YESAP60934071902-PhonePe Limited</t>
        </is>
      </c>
      <c r="H27" s="14" t="str"/>
      <c r="I27" s="14" t="inlineStr">
        <is>
          <t>Receipt</t>
        </is>
      </c>
      <c r="J27" s="39" t="n">
        <v>0</v>
      </c>
      <c r="K27" s="39" t="n">
        <v>173393.9</v>
      </c>
      <c r="L27" s="39" t="n">
        <v>173393.9</v>
      </c>
      <c r="M27" s="39" t="n">
        <v>216422.9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PHONEPE LIMITED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46115</v>
      </c>
      <c r="AB27" s="42">
        <f>HYPERLINK("#'Transactions'!A31", "View Source Row")</f>
        <v/>
      </c>
    </row>
    <row r="28">
      <c r="A28" s="14" t="n">
        <v>31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46115</v>
      </c>
      <c r="F28" s="40" t="n">
        <v>46115</v>
      </c>
      <c r="G28" s="16" t="inlineStr">
        <is>
          <t>DIGITA-MUMBAI/ NEFT-AXNPN09311160907-PHONEPE LIMITED-PAYMENT AGGR</t>
        </is>
      </c>
      <c r="H28" s="14" t="str"/>
      <c r="I28" s="14" t="inlineStr">
        <is>
          <t>Receipt</t>
        </is>
      </c>
      <c r="J28" s="39" t="n">
        <v>0</v>
      </c>
      <c r="K28" s="39" t="n">
        <v>53957.68</v>
      </c>
      <c r="L28" s="39" t="n">
        <v>53957.68</v>
      </c>
      <c r="M28" s="39" t="n">
        <v>270380.58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46115</v>
      </c>
      <c r="AB28" s="42">
        <f>HYPERLINK("#'Transactions'!A32", "View Source Row")</f>
        <v/>
      </c>
    </row>
    <row r="29">
      <c r="A29" s="14" t="n">
        <v>32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46115</v>
      </c>
      <c r="F29" s="40" t="n">
        <v>46115</v>
      </c>
      <c r="G29" s="16" t="inlineStr">
        <is>
          <t>DIGITA-MUMBAI/ NEFT-AXISCN1300289999-ONE MOBIKWIK SYSTEMS LIMITED</t>
        </is>
      </c>
      <c r="H29" s="14" t="str"/>
      <c r="I29" s="14" t="inlineStr">
        <is>
          <t>Receipt</t>
        </is>
      </c>
      <c r="J29" s="39" t="n">
        <v>0</v>
      </c>
      <c r="K29" s="39" t="n">
        <v>21700</v>
      </c>
      <c r="L29" s="39" t="n">
        <v>21700</v>
      </c>
      <c r="M29" s="39" t="n">
        <v>292080.58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ONE MOBIKWIK SYSTEMS LIMITED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46115</v>
      </c>
      <c r="AB29" s="42">
        <f>HYPERLINK("#'Transactions'!A33", "View Source Row")</f>
        <v/>
      </c>
    </row>
    <row r="30">
      <c r="A30" s="14" t="n">
        <v>33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46115</v>
      </c>
      <c r="F30" s="40" t="n">
        <v>46115</v>
      </c>
      <c r="G30" s="16" t="inlineStr">
        <is>
          <t>DIGITA-MUMBAI/ IMPS/P2A/609308206742/S TRANS 14851/Mh04ju3738I</t>
        </is>
      </c>
      <c r="H30" s="14" t="str"/>
      <c r="I30" s="14" t="inlineStr">
        <is>
          <t>Receipt</t>
        </is>
      </c>
      <c r="J30" s="39" t="n">
        <v>0</v>
      </c>
      <c r="K30" s="39" t="n">
        <v>5750</v>
      </c>
      <c r="L30" s="39" t="n">
        <v>5750</v>
      </c>
      <c r="M30" s="39" t="n">
        <v>297830.58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DIGITA-MUMBAI/ IMPS/P#A/#/S TRANS #/MH#JU#I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46115</v>
      </c>
      <c r="AB30" s="42">
        <f>HYPERLINK("#'Transactions'!A34", "View Source Row")</f>
        <v/>
      </c>
    </row>
    <row r="31">
      <c r="A31" s="14" t="n">
        <v>34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NEFT-AXISCN1300388689-PINE LABS PRIVATE LIMITED-NO</t>
        </is>
      </c>
      <c r="H31" s="14" t="str"/>
      <c r="I31" s="14" t="inlineStr">
        <is>
          <t>Receipt</t>
        </is>
      </c>
      <c r="J31" s="39" t="n">
        <v>0</v>
      </c>
      <c r="K31" s="39" t="n">
        <v>112894</v>
      </c>
      <c r="L31" s="39" t="n">
        <v>112894</v>
      </c>
      <c r="M31" s="39" t="n">
        <v>410724.58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PINE LABS PRIVATE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  <c r="AB31" s="42">
        <f>HYPERLINK("#'Transactions'!A35", "View Source Row")</f>
        <v/>
      </c>
    </row>
    <row r="32">
      <c r="A32" s="14" t="n">
        <v>35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IMPS/P2A/609312855509/AFZALSIRAJUDDIN/IMPSUOB9191</t>
        </is>
      </c>
      <c r="H32" s="14" t="str"/>
      <c r="I32" s="14" t="inlineStr">
        <is>
          <t>Receipt</t>
        </is>
      </c>
      <c r="J32" s="39" t="n">
        <v>0</v>
      </c>
      <c r="K32" s="39" t="n">
        <v>200000</v>
      </c>
      <c r="L32" s="39" t="n">
        <v>200000</v>
      </c>
      <c r="M32" s="39" t="n">
        <v>610724.58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AFZALSIRAJUDDIN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  <c r="AB32" s="42">
        <f>HYPERLINK("#'Transactions'!A36", "View Source Row")</f>
        <v/>
      </c>
    </row>
    <row r="33">
      <c r="A33" s="14" t="n">
        <v>37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EBANK:WIB/1502 EBANK:WIB/1502413595/Edfs</t>
        </is>
      </c>
      <c r="H33" s="14" t="str"/>
      <c r="I33" s="14" t="inlineStr">
        <is>
          <t>Payment</t>
        </is>
      </c>
      <c r="J33" s="39" t="n">
        <v>790104.58</v>
      </c>
      <c r="K33" s="39" t="n">
        <v>0</v>
      </c>
      <c r="L33" s="39" t="n">
        <v>790104.58</v>
      </c>
      <c r="M33" s="39" t="n">
        <v>1500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  <c r="AB33" s="42">
        <f>HYPERLINK("#'Transactions'!A38", "View Source Row")</f>
        <v/>
      </c>
    </row>
    <row r="34">
      <c r="A34" s="14" t="n">
        <v>38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46116</v>
      </c>
      <c r="F34" s="40" t="n">
        <v>46116</v>
      </c>
      <c r="G34" s="16" t="inlineStr">
        <is>
          <t>DIGITA-MUMBAI/ NEFT-YESAP60944128518-PhonePe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171014</v>
      </c>
      <c r="L34" s="39" t="n">
        <v>171014</v>
      </c>
      <c r="M34" s="39" t="n">
        <v>172514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46116</v>
      </c>
      <c r="AB34" s="42">
        <f>HYPERLINK("#'Transactions'!A39", "View Source Row")</f>
        <v/>
      </c>
    </row>
    <row r="35">
      <c r="A35" s="14" t="n">
        <v>39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46116</v>
      </c>
      <c r="F35" s="40" t="n">
        <v>46116</v>
      </c>
      <c r="G35" s="16" t="inlineStr">
        <is>
          <t>DIGITA-MUMBAI/ https://cbdrpt101.bankofbaroda.co.in:22000/finbranch/arjspmorph/INFENG/tran_rpt.jsp?... 04-05-2026 NEFT-AXNPN09418938602-PHONEPE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49956</v>
      </c>
      <c r="L35" s="39" t="n">
        <v>49956</v>
      </c>
      <c r="M35" s="39" t="n">
        <v>222470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CBDRPTBANKOFBARODACOIN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46116</v>
      </c>
      <c r="AB35" s="42">
        <f>HYPERLINK("#'Transactions'!A40", "View Source Row")</f>
        <v/>
      </c>
    </row>
    <row r="36">
      <c r="A36" s="14" t="n">
        <v>40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46116</v>
      </c>
      <c r="F36" s="40" t="n">
        <v>46116</v>
      </c>
      <c r="G36" s="16" t="inlineStr">
        <is>
          <t>DIGITA-MUMBAI/ NEFT-AXISCN1301100257-ONE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22121</v>
      </c>
      <c r="L36" s="39" t="n">
        <v>22121</v>
      </c>
      <c r="M36" s="39" t="n">
        <v>244591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46116</v>
      </c>
      <c r="AB36" s="42">
        <f>HYPERLINK("#'Transactions'!A41", "View Source Row")</f>
        <v/>
      </c>
    </row>
    <row r="37">
      <c r="A37" s="14" t="n">
        <v>41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46116</v>
      </c>
      <c r="F37" s="40" t="n">
        <v>46116</v>
      </c>
      <c r="G37" s="16" t="inlineStr">
        <is>
          <t>EBANK:WIB/1502 EBANK:WIB/1502423934/Edfs</t>
        </is>
      </c>
      <c r="H37" s="14" t="str"/>
      <c r="I37" s="14" t="inlineStr">
        <is>
          <t>Payment</t>
        </is>
      </c>
      <c r="J37" s="39" t="n">
        <v>240091</v>
      </c>
      <c r="K37" s="39" t="n">
        <v>0</v>
      </c>
      <c r="L37" s="39" t="n">
        <v>240091</v>
      </c>
      <c r="M37" s="39" t="n">
        <v>4500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46116</v>
      </c>
      <c r="AB37" s="42">
        <f>HYPERLINK("#'Transactions'!A42", "View Source Row")</f>
        <v/>
      </c>
    </row>
    <row r="38">
      <c r="A38" s="14" t="n">
        <v>42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46116</v>
      </c>
      <c r="F38" s="40" t="n">
        <v>46116</v>
      </c>
      <c r="G38" s="16" t="inlineStr">
        <is>
          <t>DIGITA-MUMBAI/ NEFT-AXISCN1301297166-PINE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22400</v>
      </c>
      <c r="L38" s="39" t="n">
        <v>22400</v>
      </c>
      <c r="M38" s="39" t="n">
        <v>26900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46116</v>
      </c>
      <c r="AB38" s="42">
        <f>HYPERLINK("#'Transactions'!A43", "View Source Row")</f>
        <v/>
      </c>
    </row>
    <row r="39">
      <c r="A39" s="14" t="n">
        <v>43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39" s="14" t="str"/>
      <c r="I39" s="14" t="inlineStr">
        <is>
          <t>Receipt</t>
        </is>
      </c>
      <c r="J39" s="39" t="n">
        <v>0</v>
      </c>
      <c r="K39" s="39" t="n">
        <v>5800</v>
      </c>
      <c r="L39" s="39" t="n">
        <v>5800</v>
      </c>
      <c r="M39" s="39" t="n">
        <v>32700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KUNDAN QUARRY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  <c r="AB39" s="42">
        <f>HYPERLINK("#'Transactions'!A44", "View Source Row")</f>
        <v/>
      </c>
    </row>
    <row r="40">
      <c r="A40" s="14" t="n">
        <v>45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NEFT-KKBKH26094919635-ATLAS COMMODITIES PRIVATE LI</t>
        </is>
      </c>
      <c r="H40" s="14" t="str"/>
      <c r="I40" s="14" t="inlineStr">
        <is>
          <t>Receipt</t>
        </is>
      </c>
      <c r="J40" s="39" t="n">
        <v>0</v>
      </c>
      <c r="K40" s="39" t="n">
        <v>7885</v>
      </c>
      <c r="L40" s="39" t="n">
        <v>7885</v>
      </c>
      <c r="M40" s="39" t="n">
        <v>40434.37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ATLAS COMMODITIES PRIVATE LI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  <c r="AB40" s="42">
        <f>HYPERLINK("#'Transactions'!A46", "View Source Row")</f>
        <v/>
      </c>
    </row>
    <row r="41">
      <c r="A41" s="14" t="n">
        <v>47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EBANK:WIB/1502 EBANK:WIB/1502545632/Edfs</t>
        </is>
      </c>
      <c r="H41" s="14" t="str"/>
      <c r="I41" s="14" t="inlineStr">
        <is>
          <t>Payment</t>
        </is>
      </c>
      <c r="J41" s="39" t="n">
        <v>120330.37</v>
      </c>
      <c r="K41" s="39" t="n">
        <v>0</v>
      </c>
      <c r="L41" s="39" t="n">
        <v>120330.37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  <c r="AB41" s="42">
        <f>HYPERLINK("#'Transactions'!A48", "View Source Row")</f>
        <v/>
      </c>
    </row>
    <row r="42">
      <c r="A42" s="14" t="n">
        <v>48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NEFT-HDFCH00911243518-KAVITA ENTERPRISES</t>
        </is>
      </c>
      <c r="H42" s="14" t="str"/>
      <c r="I42" s="14" t="inlineStr">
        <is>
          <t>Receipt</t>
        </is>
      </c>
      <c r="J42" s="39" t="n">
        <v>0</v>
      </c>
      <c r="K42" s="39" t="n">
        <v>81396</v>
      </c>
      <c r="L42" s="39" t="n">
        <v>81396</v>
      </c>
      <c r="M42" s="39" t="n">
        <v>82896</v>
      </c>
      <c r="N42" s="14" t="inlineStr">
        <is>
          <t>Recurring Transaction</t>
        </is>
      </c>
      <c r="O42" s="14" t="inlineStr">
        <is>
          <t>Yes</t>
        </is>
      </c>
      <c r="P42" s="14" t="inlineStr">
        <is>
          <t>KAVITA ENTERPRISES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HYPERLINK("#'Transactions'!A49", "View Source Row")</f>
        <v/>
      </c>
    </row>
    <row r="43">
      <c r="A43" s="14" t="n">
        <v>49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46117</v>
      </c>
      <c r="F43" s="40" t="n">
        <v>46117</v>
      </c>
      <c r="G43" s="16" t="inlineStr">
        <is>
          <t>DIGITA-MUMBAI/ NEFT-YESAP60953903247-PhonePe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167015</v>
      </c>
      <c r="L43" s="39" t="n">
        <v>167015</v>
      </c>
      <c r="M43" s="39" t="n">
        <v>249911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46117</v>
      </c>
      <c r="AB43" s="42">
        <f>HYPERLINK("#'Transactions'!A50", "View Source Row")</f>
        <v/>
      </c>
    </row>
    <row r="44">
      <c r="A44" s="14" t="n">
        <v>50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46117</v>
      </c>
      <c r="F44" s="40" t="n">
        <v>46117</v>
      </c>
      <c r="G44" s="16" t="inlineStr">
        <is>
          <t>DIGITA-MUMBAI/ NEFT-AXNPN09528140899-PHONEPE LIMITED-PAYMENT AGGR</t>
        </is>
      </c>
      <c r="H44" s="14" t="str"/>
      <c r="I44" s="14" t="inlineStr">
        <is>
          <t>Receipt</t>
        </is>
      </c>
      <c r="J44" s="39" t="n">
        <v>0</v>
      </c>
      <c r="K44" s="39" t="n">
        <v>67868.36</v>
      </c>
      <c r="L44" s="39" t="n">
        <v>67868.36</v>
      </c>
      <c r="M44" s="39" t="n">
        <v>317779.36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PHONEPE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46117</v>
      </c>
      <c r="AB44" s="42">
        <f>HYPERLINK("#'Transactions'!A51", "View Source Row")</f>
        <v/>
      </c>
    </row>
    <row r="45">
      <c r="A45" s="14" t="n">
        <v>51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46117</v>
      </c>
      <c r="F45" s="40" t="n">
        <v>46117</v>
      </c>
      <c r="G45" s="16" t="inlineStr">
        <is>
          <t>DIGITA-MUMBAI/ NEFT-AXISCN1301923332-ONE MOBIKWIK SYSTEMS LIMITED</t>
        </is>
      </c>
      <c r="H45" s="14" t="str"/>
      <c r="I45" s="14" t="inlineStr">
        <is>
          <t>Receipt</t>
        </is>
      </c>
      <c r="J45" s="39" t="n">
        <v>0</v>
      </c>
      <c r="K45" s="39" t="n">
        <v>28124</v>
      </c>
      <c r="L45" s="39" t="n">
        <v>28124</v>
      </c>
      <c r="M45" s="39" t="n">
        <v>345903.36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ONE MOBIKWIK SYSTEMS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46117</v>
      </c>
      <c r="AB45" s="42">
        <f>HYPERLINK("#'Transactions'!A52", "View Source Row")</f>
        <v/>
      </c>
    </row>
    <row r="46">
      <c r="A46" s="14" t="n">
        <v>52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46117</v>
      </c>
      <c r="F46" s="40" t="n">
        <v>46117</v>
      </c>
      <c r="G46" s="16" t="inlineStr">
        <is>
          <t>EBANK:WIB/1502 EBANK:WIB/1502577386/Edfs</t>
        </is>
      </c>
      <c r="H46" s="14" t="str"/>
      <c r="I46" s="14" t="inlineStr">
        <is>
          <t>Payment</t>
        </is>
      </c>
      <c r="J46" s="39" t="n">
        <v>300403.36</v>
      </c>
      <c r="K46" s="39" t="n">
        <v>0</v>
      </c>
      <c r="L46" s="39" t="n">
        <v>300403.36</v>
      </c>
      <c r="M46" s="39" t="n">
        <v>45500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46117</v>
      </c>
      <c r="AB46" s="42">
        <f>HYPERLINK("#'Transactions'!A53", "View Source Row")</f>
        <v/>
      </c>
    </row>
    <row r="47">
      <c r="A47" s="14" t="n">
        <v>53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46117</v>
      </c>
      <c r="F47" s="40" t="n">
        <v>46117</v>
      </c>
      <c r="G47" s="16" t="inlineStr">
        <is>
          <t>DIGITA-MUMBAI/ IMPS/P2A/609509137308/SHREE GANESH EN/diselVVS910</t>
        </is>
      </c>
      <c r="H47" s="14" t="str"/>
      <c r="I47" s="14" t="inlineStr">
        <is>
          <t>Receipt</t>
        </is>
      </c>
      <c r="J47" s="39" t="n">
        <v>0</v>
      </c>
      <c r="K47" s="39" t="n">
        <v>63308</v>
      </c>
      <c r="L47" s="39" t="n">
        <v>63308</v>
      </c>
      <c r="M47" s="39" t="n">
        <v>108808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SHREE GANESH EN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46117</v>
      </c>
      <c r="AB47" s="42">
        <f>HYPERLINK("#'Transactions'!A54", "View Source Row")</f>
        <v/>
      </c>
    </row>
    <row r="48">
      <c r="A48" s="14" t="n">
        <v>54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46118</v>
      </c>
      <c r="F48" s="40" t="n">
        <v>46118</v>
      </c>
      <c r="G48" s="16" t="inlineStr">
        <is>
          <t>DIGITA-MUMBAI/ NEFT-AXNPN09635263353-PHONEPE LIMITED-PAYMENT AGGR</t>
        </is>
      </c>
      <c r="H48" s="14" t="str"/>
      <c r="I48" s="14" t="inlineStr">
        <is>
          <t>Receipt</t>
        </is>
      </c>
      <c r="J48" s="39" t="n">
        <v>0</v>
      </c>
      <c r="K48" s="39" t="n">
        <v>58335.21</v>
      </c>
      <c r="L48" s="39" t="n">
        <v>58335.21</v>
      </c>
      <c r="M48" s="39" t="n">
        <v>167143.21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PHONEPE LIMITED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46118</v>
      </c>
      <c r="AB48" s="42">
        <f>HYPERLINK("#'Transactions'!A55", "View Source Row")</f>
        <v/>
      </c>
    </row>
    <row r="49">
      <c r="A49" s="14" t="n">
        <v>55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46118</v>
      </c>
      <c r="F49" s="40" t="n">
        <v>46118</v>
      </c>
      <c r="G49" s="16" t="inlineStr">
        <is>
          <t>DIGITA-MUMBAI/ NEFT-YESAP60964000643-PhonePe Limited</t>
        </is>
      </c>
      <c r="H49" s="14" t="str"/>
      <c r="I49" s="14" t="inlineStr">
        <is>
          <t>Receipt</t>
        </is>
      </c>
      <c r="J49" s="39" t="n">
        <v>0</v>
      </c>
      <c r="K49" s="39" t="n">
        <v>169456</v>
      </c>
      <c r="L49" s="39" t="n">
        <v>169456</v>
      </c>
      <c r="M49" s="39" t="n">
        <v>336599.21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PHONEPE LIMITED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46118</v>
      </c>
      <c r="AB49" s="42">
        <f>HYPERLINK("#'Transactions'!A56", "View Source Row")</f>
        <v/>
      </c>
    </row>
    <row r="50">
      <c r="A50" s="14" t="n">
        <v>56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46118</v>
      </c>
      <c r="F50" s="40" t="n">
        <v>46118</v>
      </c>
      <c r="G50" s="16" t="inlineStr">
        <is>
          <t>DIGITA-MUMBAI/ NEFT-AXISCN1302642509-ONE MOBIKWIK SYSTEMS LIMITED</t>
        </is>
      </c>
      <c r="H50" s="14" t="str"/>
      <c r="I50" s="14" t="inlineStr">
        <is>
          <t>Receipt</t>
        </is>
      </c>
      <c r="J50" s="39" t="n">
        <v>0</v>
      </c>
      <c r="K50" s="39" t="n">
        <v>31681</v>
      </c>
      <c r="L50" s="39" t="n">
        <v>31681</v>
      </c>
      <c r="M50" s="39" t="n">
        <v>368280.21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ONE MOBIKWIK SYSTEMS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46118</v>
      </c>
      <c r="AB50" s="42">
        <f>HYPERLINK("#'Transactions'!A57", "View Source Row")</f>
        <v/>
      </c>
    </row>
    <row r="51">
      <c r="A51" s="14" t="n">
        <v>57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46118</v>
      </c>
      <c r="F51" s="40" t="n">
        <v>46118</v>
      </c>
      <c r="G51" s="16" t="inlineStr">
        <is>
          <t>EBANK:WIB/1502 EBANK:WIB/1502642025/Edfs</t>
        </is>
      </c>
      <c r="H51" s="14" t="str"/>
      <c r="I51" s="14" t="inlineStr">
        <is>
          <t>Payment</t>
        </is>
      </c>
      <c r="J51" s="39" t="n">
        <v>365780.21</v>
      </c>
      <c r="K51" s="39" t="n">
        <v>0</v>
      </c>
      <c r="L51" s="39" t="n">
        <v>365780.21</v>
      </c>
      <c r="M51" s="39" t="n">
        <v>2500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46118</v>
      </c>
      <c r="AB51" s="42">
        <f>HYPERLINK("#'Transactions'!A58", "View Source Row")</f>
        <v/>
      </c>
    </row>
    <row r="52">
      <c r="A52" s="14" t="n">
        <v>58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46118</v>
      </c>
      <c r="F52" s="40" t="n">
        <v>46118</v>
      </c>
      <c r="G52" s="16" t="inlineStr">
        <is>
          <t>DIGITA-MUMBAI/ NEFT-AXISCN1302721272-PINE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29516</v>
      </c>
      <c r="L52" s="39" t="n">
        <v>29516</v>
      </c>
      <c r="M52" s="39" t="n">
        <v>32016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46118</v>
      </c>
      <c r="AB52" s="42">
        <f>HYPERLINK("#'Transactions'!A59", "View Source Row")</f>
        <v/>
      </c>
    </row>
    <row r="53">
      <c r="A53" s="14" t="n">
        <v>59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46118</v>
      </c>
      <c r="F53" s="40" t="n">
        <v>46118</v>
      </c>
      <c r="G5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3" s="14" t="str"/>
      <c r="I53" s="14" t="inlineStr">
        <is>
          <t>Receipt</t>
        </is>
      </c>
      <c r="J53" s="39" t="n">
        <v>0</v>
      </c>
      <c r="K53" s="39" t="n">
        <v>100000</v>
      </c>
      <c r="L53" s="39" t="n">
        <v>100000</v>
      </c>
      <c r="M53" s="39" t="n">
        <v>132016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PAGE TOTAL   CR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46118</v>
      </c>
      <c r="AB53" s="42">
        <f>HYPERLINK("#'Transactions'!A60", "View Source Row")</f>
        <v/>
      </c>
    </row>
    <row r="54">
      <c r="A54" s="14" t="n">
        <v>60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46118</v>
      </c>
      <c r="F54" s="40" t="n">
        <v>46118</v>
      </c>
      <c r="G54" s="16" t="inlineStr">
        <is>
          <t>DIGITA-MUMBAI/ NEFT-AXISCN1302925515-PINE LABS PRIVATE LIMITED-NO</t>
        </is>
      </c>
      <c r="H54" s="14" t="str"/>
      <c r="I54" s="14" t="inlineStr">
        <is>
          <t>Receipt</t>
        </is>
      </c>
      <c r="J54" s="39" t="n">
        <v>0</v>
      </c>
      <c r="K54" s="39" t="n">
        <v>14073</v>
      </c>
      <c r="L54" s="39" t="n">
        <v>14073</v>
      </c>
      <c r="M54" s="39" t="n">
        <v>146089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PINE LABS PRIVATE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46118</v>
      </c>
      <c r="AB54" s="42">
        <f>HYPERLINK("#'Transactions'!A61", "View Source Row")</f>
        <v/>
      </c>
    </row>
    <row r="55">
      <c r="A55" s="14" t="n">
        <v>62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NEFT-HDFCH00913518284-CORPAK</t>
        </is>
      </c>
      <c r="H55" s="14" t="str"/>
      <c r="I55" s="14" t="inlineStr">
        <is>
          <t>Receipt</t>
        </is>
      </c>
      <c r="J55" s="39" t="n">
        <v>0</v>
      </c>
      <c r="K55" s="39" t="n">
        <v>38524</v>
      </c>
      <c r="L55" s="39" t="n">
        <v>38524</v>
      </c>
      <c r="M55" s="39" t="n">
        <v>185613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DIGITA-MUMBAI/ NEFT-HDFCH#-CORPAK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  <c r="AB55" s="42">
        <f>HYPERLINK("#'Transactions'!A63", "View Source Row")</f>
        <v/>
      </c>
    </row>
    <row r="56">
      <c r="A56" s="14" t="n">
        <v>63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NEFT-NKGSH26096901712-GEBI PRODUCTS PRIVATE LIMITE</t>
        </is>
      </c>
      <c r="H56" s="14" t="str"/>
      <c r="I56" s="14" t="inlineStr">
        <is>
          <t>Receipt</t>
        </is>
      </c>
      <c r="J56" s="39" t="n">
        <v>0</v>
      </c>
      <c r="K56" s="39" t="n">
        <v>15001</v>
      </c>
      <c r="L56" s="39" t="n">
        <v>15001</v>
      </c>
      <c r="M56" s="39" t="n">
        <v>200614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GEBI PRODUCTS PRIVATE LIMITE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  <c r="AB56" s="42">
        <f>HYPERLINK("#'Transactions'!A64", "View Source Row")</f>
        <v/>
      </c>
    </row>
    <row r="57">
      <c r="A57" s="14" t="n">
        <v>64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EBANK:WIB/1502 EBANK:WIB/1502790855/Edfs</t>
        </is>
      </c>
      <c r="H57" s="14" t="str"/>
      <c r="I57" s="14" t="inlineStr">
        <is>
          <t>Payment</t>
        </is>
      </c>
      <c r="J57" s="39" t="n">
        <v>198114</v>
      </c>
      <c r="K57" s="39" t="n">
        <v>0</v>
      </c>
      <c r="L57" s="39" t="n">
        <v>198114</v>
      </c>
      <c r="M57" s="39" t="n">
        <v>2500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  <c r="AB57" s="42">
        <f>HYPERLINK("#'Transactions'!A65", "View Source Row")</f>
        <v/>
      </c>
    </row>
    <row r="58">
      <c r="A58" s="14" t="n">
        <v>65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NEFT-HDFCH00915259780-MOHANJI BHARAT WELFARE FOUND</t>
        </is>
      </c>
      <c r="H58" s="14" t="str"/>
      <c r="I58" s="14" t="inlineStr">
        <is>
          <t>Receipt</t>
        </is>
      </c>
      <c r="J58" s="39" t="n">
        <v>0</v>
      </c>
      <c r="K58" s="39" t="n">
        <v>18448</v>
      </c>
      <c r="L58" s="39" t="n">
        <v>18448</v>
      </c>
      <c r="M58" s="39" t="n">
        <v>20948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MOHANJI BHARAT WELFARE FOUND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HYPERLINK("#'Transactions'!A66", "View Source Row")</f>
        <v/>
      </c>
    </row>
    <row r="59">
      <c r="A59" s="14" t="n">
        <v>66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46119</v>
      </c>
      <c r="F59" s="40" t="n">
        <v>46119</v>
      </c>
      <c r="G59" s="16" t="inlineStr">
        <is>
          <t>DIGITA-MUMBAI/ NEFT-YESAP60974165954-PhonePe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260044.42</v>
      </c>
      <c r="L59" s="39" t="n">
        <v>260044.42</v>
      </c>
      <c r="M59" s="39" t="n">
        <v>280992.42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46119</v>
      </c>
      <c r="AB59" s="42">
        <f>HYPERLINK("#'Transactions'!A67", "View Source Row")</f>
        <v/>
      </c>
    </row>
    <row r="60">
      <c r="A60" s="14" t="n">
        <v>67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46119</v>
      </c>
      <c r="F60" s="40" t="n">
        <v>46119</v>
      </c>
      <c r="G60" s="16" t="inlineStr">
        <is>
          <t>DIGITA-MUMBAI/ NEFT-AXNPN09743969962-PHONEPE LIMITED-PAYMENT AGGR</t>
        </is>
      </c>
      <c r="H60" s="14" t="str"/>
      <c r="I60" s="14" t="inlineStr">
        <is>
          <t>Receipt</t>
        </is>
      </c>
      <c r="J60" s="39" t="n">
        <v>0</v>
      </c>
      <c r="K60" s="39" t="n">
        <v>55000.65</v>
      </c>
      <c r="L60" s="39" t="n">
        <v>55000.65</v>
      </c>
      <c r="M60" s="39" t="n">
        <v>335993.07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PHONEPE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46119</v>
      </c>
      <c r="AB60" s="42">
        <f>HYPERLINK("#'Transactions'!A68", "View Source Row")</f>
        <v/>
      </c>
    </row>
    <row r="61">
      <c r="A61" s="14" t="n">
        <v>68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46119</v>
      </c>
      <c r="F61" s="40" t="n">
        <v>46119</v>
      </c>
      <c r="G61" s="16" t="inlineStr">
        <is>
          <t>EBANK:WIB/1502 EBANK:WIB/1502821939/Edfs</t>
        </is>
      </c>
      <c r="H61" s="14" t="str"/>
      <c r="I61" s="14" t="inlineStr">
        <is>
          <t>Payment</t>
        </is>
      </c>
      <c r="J61" s="39" t="n">
        <v>330493.07</v>
      </c>
      <c r="K61" s="39" t="n">
        <v>0</v>
      </c>
      <c r="L61" s="39" t="n">
        <v>330493.07</v>
      </c>
      <c r="M61" s="39" t="n">
        <v>5500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46119</v>
      </c>
      <c r="AB61" s="42">
        <f>HYPERLINK("#'Transactions'!A69", "View Source Row")</f>
        <v/>
      </c>
    </row>
    <row r="62">
      <c r="A62" s="14" t="n">
        <v>69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46119</v>
      </c>
      <c r="F62" s="40" t="n">
        <v>46119</v>
      </c>
      <c r="G62" s="16" t="inlineStr">
        <is>
          <t>UPI/8639137766 13776666 UPI/863913776666/06:48:44/UPI/surajdhanotra1@ibl/</t>
        </is>
      </c>
      <c r="H62" s="14" t="str"/>
      <c r="I62" s="14" t="inlineStr">
        <is>
          <t>Receipt</t>
        </is>
      </c>
      <c r="J62" s="39" t="n">
        <v>0</v>
      </c>
      <c r="K62" s="39" t="n">
        <v>9000</v>
      </c>
      <c r="L62" s="39" t="n">
        <v>9000</v>
      </c>
      <c r="M62" s="39" t="n">
        <v>14500</v>
      </c>
      <c r="N62" s="14" t="inlineStr">
        <is>
          <t>UPI; Recurring Transaction</t>
        </is>
      </c>
      <c r="O62" s="14" t="inlineStr">
        <is>
          <t>Yes</t>
        </is>
      </c>
      <c r="P62" s="14" t="inlineStr">
        <is>
          <t>SURAJDHANOTRAIBL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46119</v>
      </c>
      <c r="AB62" s="42">
        <f>HYPERLINK("#'Transactions'!A70", "View Source Row")</f>
        <v/>
      </c>
    </row>
    <row r="63">
      <c r="A63" s="14" t="n">
        <v>70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46119</v>
      </c>
      <c r="F63" s="40" t="n">
        <v>46119</v>
      </c>
      <c r="G63" s="16" t="inlineStr">
        <is>
          <t>DIGITA-MUMBAI/ NEFT-AXISCN1303901852-ONE MOBIKWIK SYSTEMS LIMITED</t>
        </is>
      </c>
      <c r="H63" s="14" t="str"/>
      <c r="I63" s="14" t="inlineStr">
        <is>
          <t>Receipt</t>
        </is>
      </c>
      <c r="J63" s="39" t="n">
        <v>0</v>
      </c>
      <c r="K63" s="39" t="n">
        <v>23072</v>
      </c>
      <c r="L63" s="39" t="n">
        <v>23072</v>
      </c>
      <c r="M63" s="39" t="n">
        <v>37572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ONE MOBIKWIK SYSTEMS LIMITED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46119</v>
      </c>
      <c r="AB63" s="42">
        <f>HYPERLINK("#'Transactions'!A71", "View Source Row")</f>
        <v/>
      </c>
    </row>
    <row r="64">
      <c r="A64" s="14" t="n">
        <v>71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46119</v>
      </c>
      <c r="F64" s="40" t="n">
        <v>46119</v>
      </c>
      <c r="G64" s="16" t="inlineStr">
        <is>
          <t>DIGITA-MUMBAI/ NEFT-AXISCN1303985526-PINE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25110</v>
      </c>
      <c r="L64" s="39" t="n">
        <v>25110</v>
      </c>
      <c r="M64" s="39" t="n">
        <v>62682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46119</v>
      </c>
      <c r="AB64" s="42">
        <f>HYPERLINK("#'Transactions'!A72", "View Source Row")</f>
        <v/>
      </c>
    </row>
    <row r="65">
      <c r="A65" s="14" t="n">
        <v>72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46119</v>
      </c>
      <c r="F65" s="40" t="n">
        <v>46119</v>
      </c>
      <c r="G65" s="16" t="inlineStr">
        <is>
          <t>Charges for Charges for PORD Customer Payment :003566909942</t>
        </is>
      </c>
      <c r="H65" s="14" t="str"/>
      <c r="I65" s="14" t="inlineStr">
        <is>
          <t>Payment</t>
        </is>
      </c>
      <c r="J65" s="39" t="n">
        <v>2.65</v>
      </c>
      <c r="K65" s="39" t="n">
        <v>0</v>
      </c>
      <c r="L65" s="39" t="n">
        <v>2.65</v>
      </c>
      <c r="M65" s="39" t="n">
        <v>62679.35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CHARGES FOR CHARGES FOR PORD CUSTOMER PA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46119</v>
      </c>
      <c r="AB65" s="42">
        <f>HYPERLINK("#'Transactions'!A73", "View Source Row")</f>
        <v/>
      </c>
    </row>
    <row r="66">
      <c r="A66" s="14" t="n">
        <v>74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46119</v>
      </c>
      <c r="F66" s="40" t="n">
        <v>46119</v>
      </c>
      <c r="G66" s="16" t="inlineStr">
        <is>
          <t>DIGITA-MUMBAI/ NEFT-HDFCH00916196159-MARK LUBES PRIVATE LIMITED</t>
        </is>
      </c>
      <c r="H66" s="14" t="str"/>
      <c r="I66" s="14" t="inlineStr">
        <is>
          <t>Receipt</t>
        </is>
      </c>
      <c r="J66" s="39" t="n">
        <v>0</v>
      </c>
      <c r="K66" s="39" t="n">
        <v>3617</v>
      </c>
      <c r="L66" s="39" t="n">
        <v>3617</v>
      </c>
      <c r="M66" s="39" t="n">
        <v>62296.35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MARK LUBES PRIVATE LIMITED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46119</v>
      </c>
      <c r="AB66" s="42">
        <f>HYPERLINK("#'Transactions'!A75", "View Source Row")</f>
        <v/>
      </c>
    </row>
    <row r="67">
      <c r="A67" s="14" t="n">
        <v>75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67" s="14" t="str"/>
      <c r="I67" s="14" t="inlineStr">
        <is>
          <t>Receipt</t>
        </is>
      </c>
      <c r="J67" s="39" t="n">
        <v>0</v>
      </c>
      <c r="K67" s="39" t="n">
        <v>114500</v>
      </c>
      <c r="L67" s="39" t="n">
        <v>114500</v>
      </c>
      <c r="M67" s="39" t="n">
        <v>176796.35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PAGE TOTAL   CR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  <c r="AB67" s="42">
        <f>HYPERLINK("#'Transactions'!A76", "View Source Row")</f>
        <v/>
      </c>
    </row>
    <row r="68">
      <c r="A68" s="14" t="n">
        <v>78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NEFT-KKBKH26097664663-ATLAS COMMODITIES PRIVATE LI</t>
        </is>
      </c>
      <c r="H68" s="14" t="str"/>
      <c r="I68" s="14" t="inlineStr">
        <is>
          <t>Receipt</t>
        </is>
      </c>
      <c r="J68" s="39" t="n">
        <v>0</v>
      </c>
      <c r="K68" s="39" t="n">
        <v>3405</v>
      </c>
      <c r="L68" s="39" t="n">
        <v>3405</v>
      </c>
      <c r="M68" s="39" t="n">
        <v>80664.35000000001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ATLAS COMMODITIES PRIVATE LI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  <c r="AB68" s="42">
        <f>HYPERLINK("#'Transactions'!A79", "View Source Row")</f>
        <v/>
      </c>
    </row>
    <row r="69">
      <c r="A69" s="14" t="n">
        <v>79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DIGITA-MUMBAI/ https://cbdrpt101.bankofbaroda.co.in:22000/finbranch/arjspmorph/INFENG/tran_rpt.jsp?... 04-05-2026 NEFT-NKGSH26097920270-GEBI PRODUCTS PRIVATE LIMITE</t>
        </is>
      </c>
      <c r="H69" s="14" t="str"/>
      <c r="I69" s="14" t="inlineStr">
        <is>
          <t>Receipt</t>
        </is>
      </c>
      <c r="J69" s="39" t="n">
        <v>0</v>
      </c>
      <c r="K69" s="39" t="n">
        <v>2618</v>
      </c>
      <c r="L69" s="39" t="n">
        <v>2618</v>
      </c>
      <c r="M69" s="39" t="n">
        <v>83282.35000000001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CBDRPTBANKOFBARODACOIN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  <c r="AB69" s="42">
        <f>HYPERLINK("#'Transactions'!A80", "View Source Row")</f>
        <v/>
      </c>
    </row>
    <row r="70">
      <c r="A70" s="14" t="n">
        <v>80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NEFT-HDFCH00917822677-SL CORBOX PRIVATE LIMITED</t>
        </is>
      </c>
      <c r="H70" s="14" t="str"/>
      <c r="I70" s="14" t="inlineStr">
        <is>
          <t>Receipt</t>
        </is>
      </c>
      <c r="J70" s="39" t="n">
        <v>0</v>
      </c>
      <c r="K70" s="39" t="n">
        <v>56800</v>
      </c>
      <c r="L70" s="39" t="n">
        <v>56800</v>
      </c>
      <c r="M70" s="39" t="n">
        <v>140082.35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SL CORBOX PRIVATE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HYPERLINK("#'Transactions'!A81", "View Source Row")</f>
        <v/>
      </c>
    </row>
    <row r="71">
      <c r="A71" s="14" t="n">
        <v>81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EBANK:WIB/1502 EBANK:WIB/1502986421/Edfs</t>
        </is>
      </c>
      <c r="H71" s="14" t="str"/>
      <c r="I71" s="14" t="inlineStr">
        <is>
          <t>Payment</t>
        </is>
      </c>
      <c r="J71" s="39" t="n">
        <v>137582.35</v>
      </c>
      <c r="K71" s="39" t="n">
        <v>0</v>
      </c>
      <c r="L71" s="39" t="n">
        <v>137582.35</v>
      </c>
      <c r="M71" s="39" t="n">
        <v>2500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HYPERLINK("#'Transactions'!A82", "View Source Row")</f>
        <v/>
      </c>
    </row>
    <row r="72">
      <c r="A72" s="14" t="n">
        <v>82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NEFT-IN42609750724469-VINAYAK OIL INDUSTRIES</t>
        </is>
      </c>
      <c r="H72" s="14" t="str"/>
      <c r="I72" s="14" t="inlineStr">
        <is>
          <t>Receipt</t>
        </is>
      </c>
      <c r="J72" s="39" t="n">
        <v>0</v>
      </c>
      <c r="K72" s="39" t="n">
        <v>37413</v>
      </c>
      <c r="L72" s="39" t="n">
        <v>37413</v>
      </c>
      <c r="M72" s="39" t="n">
        <v>39913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VINAYAK OIL INDUSTRIES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HYPERLINK("#'Transactions'!A83", "View Source Row")</f>
        <v/>
      </c>
    </row>
    <row r="73">
      <c r="A73" s="14" t="n">
        <v>83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46120</v>
      </c>
      <c r="F73" s="40" t="n">
        <v>46120</v>
      </c>
      <c r="G73" s="16" t="inlineStr">
        <is>
          <t>DIGITA-MUMBAI/ NEFT-YESAP60983679319-PhonePe Limited</t>
        </is>
      </c>
      <c r="H73" s="14" t="str"/>
      <c r="I73" s="14" t="inlineStr">
        <is>
          <t>Receipt</t>
        </is>
      </c>
      <c r="J73" s="39" t="n">
        <v>0</v>
      </c>
      <c r="K73" s="39" t="n">
        <v>243684</v>
      </c>
      <c r="L73" s="39" t="n">
        <v>243684</v>
      </c>
      <c r="M73" s="39" t="n">
        <v>283597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PHONEPE LIMITED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46120</v>
      </c>
      <c r="AB73" s="42">
        <f>HYPERLINK("#'Transactions'!A84", "View Source Row")</f>
        <v/>
      </c>
    </row>
    <row r="74">
      <c r="A74" s="14" t="n">
        <v>85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46120</v>
      </c>
      <c r="F74" s="40" t="n">
        <v>46120</v>
      </c>
      <c r="G74" s="16" t="inlineStr">
        <is>
          <t>DIGITA-MUMBAI/ NEFT-AXNPN09852795681-PHONEPE LIMITED-PAYMENT AGGR</t>
        </is>
      </c>
      <c r="H74" s="14" t="str"/>
      <c r="I74" s="14" t="inlineStr">
        <is>
          <t>Receipt</t>
        </is>
      </c>
      <c r="J74" s="39" t="n">
        <v>0</v>
      </c>
      <c r="K74" s="39" t="n">
        <v>47737</v>
      </c>
      <c r="L74" s="39" t="n">
        <v>47737</v>
      </c>
      <c r="M74" s="39" t="n">
        <v>294249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46120</v>
      </c>
      <c r="AB74" s="42">
        <f>HYPERLINK("#'Transactions'!A86", "View Source Row")</f>
        <v/>
      </c>
    </row>
    <row r="75">
      <c r="A75" s="14" t="n">
        <v>87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46120</v>
      </c>
      <c r="F75" s="40" t="n">
        <v>46120</v>
      </c>
      <c r="G75" s="16" t="inlineStr">
        <is>
          <t>DIGITA-MUMBAI/ NEFT-AXISCN1305078531-ONE MOBIKWIK SYSTEMS LIMITED</t>
        </is>
      </c>
      <c r="H75" s="14" t="str"/>
      <c r="I75" s="14" t="inlineStr">
        <is>
          <t>Receipt</t>
        </is>
      </c>
      <c r="J75" s="39" t="n">
        <v>0</v>
      </c>
      <c r="K75" s="39" t="n">
        <v>13338</v>
      </c>
      <c r="L75" s="39" t="n">
        <v>13338</v>
      </c>
      <c r="M75" s="39" t="n">
        <v>307563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ONE MOBIKWIK SYSTEMS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46120</v>
      </c>
      <c r="AB75" s="42">
        <f>HYPERLINK("#'Transactions'!A88", "View Source Row")</f>
        <v/>
      </c>
    </row>
    <row r="76">
      <c r="A76" s="14" t="n">
        <v>88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46120</v>
      </c>
      <c r="F76" s="40" t="n">
        <v>46120</v>
      </c>
      <c r="G76" s="16" t="inlineStr">
        <is>
          <t>DIGITA-MUMBAI/ NEFT-AXISCN1305183876-PINE LABS PRIVATE LIMITED-NO</t>
        </is>
      </c>
      <c r="H76" s="14" t="str"/>
      <c r="I76" s="14" t="inlineStr">
        <is>
          <t>Receipt</t>
        </is>
      </c>
      <c r="J76" s="39" t="n">
        <v>0</v>
      </c>
      <c r="K76" s="39" t="n">
        <v>76050</v>
      </c>
      <c r="L76" s="39" t="n">
        <v>76050</v>
      </c>
      <c r="M76" s="39" t="n">
        <v>383613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PINE LABS PRIVATE LIMITED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46120</v>
      </c>
      <c r="AB76" s="42">
        <f>HYPERLINK("#'Transactions'!A89", "View Source Row")</f>
        <v/>
      </c>
    </row>
    <row r="77">
      <c r="A77" s="14" t="n">
        <v>89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46120</v>
      </c>
      <c r="F77" s="40" t="n">
        <v>46120</v>
      </c>
      <c r="G77" s="16" t="inlineStr">
        <is>
          <t>EBANK:WIB/1503 EBANK:WIB/1503050809/Edfs</t>
        </is>
      </c>
      <c r="H77" s="14" t="str"/>
      <c r="I77" s="14" t="inlineStr">
        <is>
          <t>Payment</t>
        </is>
      </c>
      <c r="J77" s="39" t="n">
        <v>381113</v>
      </c>
      <c r="K77" s="39" t="n">
        <v>0</v>
      </c>
      <c r="L77" s="39" t="n">
        <v>381113</v>
      </c>
      <c r="M77" s="39" t="n">
        <v>2500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46120</v>
      </c>
      <c r="AB77" s="42">
        <f>HYPERLINK("#'Transactions'!A90", "View Source Row")</f>
        <v/>
      </c>
    </row>
    <row r="78">
      <c r="A78" s="14" t="n">
        <v>90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46120</v>
      </c>
      <c r="F78" s="40" t="n">
        <v>46120</v>
      </c>
      <c r="G78" s="16" t="inlineStr">
        <is>
          <t>DIGITA-MUMBAI/ IMPS/P2A/609812907682/OMSANITRANSPORT/Diesel Bill</t>
        </is>
      </c>
      <c r="H78" s="14" t="str"/>
      <c r="I78" s="14" t="inlineStr">
        <is>
          <t>Receipt</t>
        </is>
      </c>
      <c r="J78" s="39" t="n">
        <v>0</v>
      </c>
      <c r="K78" s="39" t="n">
        <v>40356</v>
      </c>
      <c r="L78" s="39" t="n">
        <v>40356</v>
      </c>
      <c r="M78" s="39" t="n">
        <v>42856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OMSANITRANSPORT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46120</v>
      </c>
      <c r="AB78" s="42">
        <f>HYPERLINK("#'Transactions'!A91", "View Source Row")</f>
        <v/>
      </c>
    </row>
    <row r="79">
      <c r="A79" s="14" t="n">
        <v>91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46120</v>
      </c>
      <c r="F79" s="40" t="n">
        <v>46120</v>
      </c>
      <c r="G79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79" s="14" t="str"/>
      <c r="I79" s="14" t="inlineStr">
        <is>
          <t>Receipt</t>
        </is>
      </c>
      <c r="J79" s="39" t="n">
        <v>0</v>
      </c>
      <c r="K79" s="39" t="n">
        <v>1906</v>
      </c>
      <c r="L79" s="39" t="n">
        <v>1906</v>
      </c>
      <c r="M79" s="39" t="n">
        <v>44762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46120</v>
      </c>
      <c r="AB79" s="42">
        <f>HYPERLINK("#'Transactions'!A92", "View Source Row")</f>
        <v/>
      </c>
    </row>
    <row r="80">
      <c r="A80" s="14" t="n">
        <v>92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46120</v>
      </c>
      <c r="F80" s="40" t="n">
        <v>46120</v>
      </c>
      <c r="G80" s="16" t="inlineStr">
        <is>
          <t>DIGITA-MUMBAI/ NEFT-IDIBH09837346562-JAI AMBE TRANSPORT</t>
        </is>
      </c>
      <c r="H80" s="14" t="str"/>
      <c r="I80" s="14" t="inlineStr">
        <is>
          <t>Receipt</t>
        </is>
      </c>
      <c r="J80" s="39" t="n">
        <v>0</v>
      </c>
      <c r="K80" s="39" t="n">
        <v>3050</v>
      </c>
      <c r="L80" s="39" t="n">
        <v>3050</v>
      </c>
      <c r="M80" s="39" t="n">
        <v>47812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JAI AMBE TRANSPORT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46120</v>
      </c>
      <c r="AB80" s="42">
        <f>HYPERLINK("#'Transactions'!A93", "View Source Row")</f>
        <v/>
      </c>
    </row>
    <row r="81">
      <c r="A81" s="14" t="n">
        <v>93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46120</v>
      </c>
      <c r="F81" s="40" t="n">
        <v>46120</v>
      </c>
      <c r="G81" s="16" t="inlineStr">
        <is>
          <t>DIGITA-MUMBAI/ IMPS/P2A/609818576145/SHREE GANESH EN/diselVVS910</t>
        </is>
      </c>
      <c r="H81" s="14" t="str"/>
      <c r="I81" s="14" t="inlineStr">
        <is>
          <t>Receipt</t>
        </is>
      </c>
      <c r="J81" s="39" t="n">
        <v>0</v>
      </c>
      <c r="K81" s="39" t="n">
        <v>63308</v>
      </c>
      <c r="L81" s="39" t="n">
        <v>63308</v>
      </c>
      <c r="M81" s="39" t="n">
        <v>111120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SHREE GANESH EN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46120</v>
      </c>
      <c r="AB81" s="42">
        <f>HYPERLINK("#'Transactions'!A94", "View Source Row")</f>
        <v/>
      </c>
    </row>
    <row r="82">
      <c r="A82" s="14" t="n">
        <v>94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46120</v>
      </c>
      <c r="F82" s="40" t="n">
        <v>46120</v>
      </c>
      <c r="G82" s="16" t="inlineStr">
        <is>
          <t>EBANK:WIB/1503 EBANK:WIB/1503170712/Edfs</t>
        </is>
      </c>
      <c r="H82" s="14" t="str"/>
      <c r="I82" s="14" t="inlineStr">
        <is>
          <t>Payment</t>
        </is>
      </c>
      <c r="J82" s="39" t="n">
        <v>108620</v>
      </c>
      <c r="K82" s="39" t="n">
        <v>0</v>
      </c>
      <c r="L82" s="39" t="n">
        <v>108620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46120</v>
      </c>
      <c r="AB82" s="42">
        <f>HYPERLINK("#'Transactions'!A95", "View Source Row")</f>
        <v/>
      </c>
    </row>
    <row r="83">
      <c r="A83" s="14" t="n">
        <v>95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46121</v>
      </c>
      <c r="F83" s="40" t="n">
        <v>46121</v>
      </c>
      <c r="G83" s="16" t="inlineStr">
        <is>
          <t>DIGITA-MUMBAI/ NEFT-YESAP60993677587-PhonePe Limited</t>
        </is>
      </c>
      <c r="H83" s="14" t="str"/>
      <c r="I83" s="14" t="inlineStr">
        <is>
          <t>Receipt</t>
        </is>
      </c>
      <c r="J83" s="39" t="n">
        <v>0</v>
      </c>
      <c r="K83" s="39" t="n">
        <v>170522</v>
      </c>
      <c r="L83" s="39" t="n">
        <v>170522</v>
      </c>
      <c r="M83" s="39" t="n">
        <v>173022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PHONEPE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46121</v>
      </c>
      <c r="AB83" s="42">
        <f>HYPERLINK("#'Transactions'!A96", "View Source Row")</f>
        <v/>
      </c>
    </row>
    <row r="84">
      <c r="A84" s="14" t="n">
        <v>96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46121</v>
      </c>
      <c r="F84" s="40" t="n">
        <v>46121</v>
      </c>
      <c r="G84" s="16" t="inlineStr">
        <is>
          <t>DIGITA-MUMBAI/ NEFT-AXNPN09961131765-PHONEPE LIMITED-PAYMENT AGGR</t>
        </is>
      </c>
      <c r="H84" s="14" t="str"/>
      <c r="I84" s="14" t="inlineStr">
        <is>
          <t>Receipt</t>
        </is>
      </c>
      <c r="J84" s="39" t="n">
        <v>0</v>
      </c>
      <c r="K84" s="39" t="n">
        <v>49090</v>
      </c>
      <c r="L84" s="39" t="n">
        <v>49090</v>
      </c>
      <c r="M84" s="39" t="n">
        <v>222112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46121</v>
      </c>
      <c r="AB84" s="42">
        <f>HYPERLINK("#'Transactions'!A97", "View Source Row")</f>
        <v/>
      </c>
    </row>
    <row r="85">
      <c r="A85" s="14" t="n">
        <v>97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46121</v>
      </c>
      <c r="F85" s="40" t="n">
        <v>46121</v>
      </c>
      <c r="G85" s="16" t="inlineStr">
        <is>
          <t>DIGITA-MUMBAI/ NEFT-AXISCN1306324510-ONE MOBIKWIK SYSTEMS LIMITED</t>
        </is>
      </c>
      <c r="H85" s="14" t="str"/>
      <c r="I85" s="14" t="inlineStr">
        <is>
          <t>Receipt</t>
        </is>
      </c>
      <c r="J85" s="39" t="n">
        <v>0</v>
      </c>
      <c r="K85" s="39" t="n">
        <v>15270</v>
      </c>
      <c r="L85" s="39" t="n">
        <v>15270</v>
      </c>
      <c r="M85" s="39" t="n">
        <v>237382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ONE MOBIKWIK SYSTEMS LIMITED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46121</v>
      </c>
      <c r="AB85" s="42">
        <f>HYPERLINK("#'Transactions'!A98", "View Source Row")</f>
        <v/>
      </c>
    </row>
    <row r="86">
      <c r="A86" s="14" t="n">
        <v>98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46121</v>
      </c>
      <c r="F86" s="40" t="n">
        <v>46121</v>
      </c>
      <c r="G86" s="16" t="inlineStr">
        <is>
          <t>DIGITA-MUMBAI/ NEFT-AXISCN1306426056-PINE LABS PRIVATE LIMITED-NO</t>
        </is>
      </c>
      <c r="H86" s="14" t="str"/>
      <c r="I86" s="14" t="inlineStr">
        <is>
          <t>Receipt</t>
        </is>
      </c>
      <c r="J86" s="39" t="n">
        <v>0</v>
      </c>
      <c r="K86" s="39" t="n">
        <v>87897</v>
      </c>
      <c r="L86" s="39" t="n">
        <v>87897</v>
      </c>
      <c r="M86" s="39" t="n">
        <v>325279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PINE LABS PRIVATE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46121</v>
      </c>
      <c r="AB86" s="42">
        <f>HYPERLINK("#'Transactions'!A99", "View Source Row")</f>
        <v/>
      </c>
    </row>
    <row r="87">
      <c r="A87" s="14" t="n">
        <v>99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46121</v>
      </c>
      <c r="F87" s="40" t="n">
        <v>46121</v>
      </c>
      <c r="G87" s="16" t="inlineStr">
        <is>
          <t>DIGITA-MUMBAI/ NEFT-KKBKH26099766302-VENKTESHWAR INDUSTRIAL CORPO</t>
        </is>
      </c>
      <c r="H87" s="14" t="str"/>
      <c r="I87" s="14" t="inlineStr">
        <is>
          <t>Receipt</t>
        </is>
      </c>
      <c r="J87" s="39" t="n">
        <v>0</v>
      </c>
      <c r="K87" s="39" t="n">
        <v>10000</v>
      </c>
      <c r="L87" s="39" t="n">
        <v>10000</v>
      </c>
      <c r="M87" s="39" t="n">
        <v>335279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VENKTESHWAR INDUSTRIAL CORPO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46121</v>
      </c>
      <c r="AB87" s="42">
        <f>HYPERLINK("#'Transactions'!A100", "View Source Row")</f>
        <v/>
      </c>
    </row>
    <row r="88">
      <c r="A88" s="14" t="n">
        <v>100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46121</v>
      </c>
      <c r="F88" s="40" t="n">
        <v>46121</v>
      </c>
      <c r="G88" s="16" t="inlineStr">
        <is>
          <t>DIGITA-MUMBAI/ NEFT-NKGSH26099959094-GEBI PRODUCTS PRIVATE LIMITE</t>
        </is>
      </c>
      <c r="H88" s="14" t="str"/>
      <c r="I88" s="14" t="inlineStr">
        <is>
          <t>Receipt</t>
        </is>
      </c>
      <c r="J88" s="39" t="n">
        <v>0</v>
      </c>
      <c r="K88" s="39" t="n">
        <v>2598</v>
      </c>
      <c r="L88" s="39" t="n">
        <v>2598</v>
      </c>
      <c r="M88" s="39" t="n">
        <v>337877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GEBI PRODUCTS PRIVATE LIMITE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46121</v>
      </c>
      <c r="AB88" s="42">
        <f>HYPERLINK("#'Transactions'!A101", "View Source Row")</f>
        <v/>
      </c>
    </row>
    <row r="89">
      <c r="A89" s="14" t="n">
        <v>101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46121</v>
      </c>
      <c r="F89" s="40" t="n">
        <v>46121</v>
      </c>
      <c r="G89" s="16" t="inlineStr">
        <is>
          <t>DIGITA-MUMBAI/ IMPS/P2A/609918190676/VAKAS TEMPO SER/IMPSCNB9199</t>
        </is>
      </c>
      <c r="H89" s="14" t="str"/>
      <c r="I89" s="14" t="inlineStr">
        <is>
          <t>Receipt</t>
        </is>
      </c>
      <c r="J89" s="39" t="n">
        <v>0</v>
      </c>
      <c r="K89" s="39" t="n">
        <v>44741</v>
      </c>
      <c r="L89" s="39" t="n">
        <v>44741</v>
      </c>
      <c r="M89" s="39" t="n">
        <v>382618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VAKAS TEMPO SER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46121</v>
      </c>
      <c r="AB89" s="42">
        <f>HYPERLINK("#'Transactions'!A102", "View Source Row")</f>
        <v/>
      </c>
    </row>
    <row r="90">
      <c r="A90" s="14" t="n">
        <v>102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46121</v>
      </c>
      <c r="F90" s="40" t="n">
        <v>46121</v>
      </c>
      <c r="G90" s="16" t="inlineStr">
        <is>
          <t>EBANK:WIB/1503 EBANK:WIB/1503311707/Edfs</t>
        </is>
      </c>
      <c r="H90" s="14" t="str"/>
      <c r="I90" s="14" t="inlineStr">
        <is>
          <t>Payment</t>
        </is>
      </c>
      <c r="J90" s="39" t="n">
        <v>380118</v>
      </c>
      <c r="K90" s="39" t="n">
        <v>0</v>
      </c>
      <c r="L90" s="39" t="n">
        <v>380118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46121</v>
      </c>
      <c r="AB90" s="42">
        <f>HYPERLINK("#'Transactions'!A103", "View Source Row")</f>
        <v/>
      </c>
    </row>
    <row r="91">
      <c r="A91" s="14" t="n">
        <v>103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46121</v>
      </c>
      <c r="F91" s="40" t="n">
        <v>46121</v>
      </c>
      <c r="G91" s="16" t="inlineStr">
        <is>
          <t>DIGITA-MUMBAI/ https://cbdrpt101.bankofbaroda.co.in:22000/finbranch/arjspmorph/INFENG/tran_rpt.jsp?... 04-05-2026 NEFT-HDFCH00925247332-KAVITA ENTERPRISES</t>
        </is>
      </c>
      <c r="H91" s="14" t="str"/>
      <c r="I91" s="14" t="inlineStr">
        <is>
          <t>Receipt</t>
        </is>
      </c>
      <c r="J91" s="39" t="n">
        <v>0</v>
      </c>
      <c r="K91" s="39" t="n">
        <v>63308</v>
      </c>
      <c r="L91" s="39" t="n">
        <v>63308</v>
      </c>
      <c r="M91" s="39" t="n">
        <v>65808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CBDRPTBANKOFBARODACOIN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46121</v>
      </c>
      <c r="AB91" s="42">
        <f>HYPERLINK("#'Transactions'!A104", "View Source Row")</f>
        <v/>
      </c>
    </row>
    <row r="92">
      <c r="A92" s="14" t="n">
        <v>104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46122</v>
      </c>
      <c r="F92" s="40" t="n">
        <v>46122</v>
      </c>
      <c r="G92" s="16" t="inlineStr">
        <is>
          <t>DIGITA-MUMBAI/ NEFT-YESAP61002547485-PhonePe Limited</t>
        </is>
      </c>
      <c r="H92" s="14" t="str"/>
      <c r="I92" s="14" t="inlineStr">
        <is>
          <t>Receipt</t>
        </is>
      </c>
      <c r="J92" s="39" t="n">
        <v>0</v>
      </c>
      <c r="K92" s="39" t="n">
        <v>310276</v>
      </c>
      <c r="L92" s="39" t="n">
        <v>310276</v>
      </c>
      <c r="M92" s="39" t="n">
        <v>376084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PHONEPE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46122</v>
      </c>
      <c r="AB92" s="42">
        <f>HYPERLINK("#'Transactions'!A105", "View Source Row")</f>
        <v/>
      </c>
    </row>
    <row r="93">
      <c r="A93" s="14" t="n">
        <v>105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46122</v>
      </c>
      <c r="F93" s="40" t="n">
        <v>46122</v>
      </c>
      <c r="G93" s="16" t="inlineStr">
        <is>
          <t>DIGITA-MUMBAI/ NEFT-AXNPN10069579474-PHONEPE LIMITED-PAYMENT AGGR</t>
        </is>
      </c>
      <c r="H93" s="14" t="str"/>
      <c r="I93" s="14" t="inlineStr">
        <is>
          <t>Receipt</t>
        </is>
      </c>
      <c r="J93" s="39" t="n">
        <v>0</v>
      </c>
      <c r="K93" s="39" t="n">
        <v>59415</v>
      </c>
      <c r="L93" s="39" t="n">
        <v>59415</v>
      </c>
      <c r="M93" s="39" t="n">
        <v>435499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PHONEPE LIMITED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46122</v>
      </c>
      <c r="AB93" s="42">
        <f>HYPERLINK("#'Transactions'!A106", "View Source Row")</f>
        <v/>
      </c>
    </row>
    <row r="94">
      <c r="A94" s="14" t="n">
        <v>106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46122</v>
      </c>
      <c r="F94" s="40" t="n">
        <v>46122</v>
      </c>
      <c r="G94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94" s="14" t="str"/>
      <c r="I94" s="14" t="inlineStr">
        <is>
          <t>Payment</t>
        </is>
      </c>
      <c r="J94" s="39" t="n">
        <v>432999</v>
      </c>
      <c r="K94" s="39" t="n">
        <v>0</v>
      </c>
      <c r="L94" s="39" t="n">
        <v>432999</v>
      </c>
      <c r="M94" s="39" t="n">
        <v>2500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46122</v>
      </c>
      <c r="AB94" s="42">
        <f>HYPERLINK("#'Transactions'!A107", "View Source Row")</f>
        <v/>
      </c>
    </row>
    <row r="95">
      <c r="A95" s="14" t="n">
        <v>107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46122</v>
      </c>
      <c r="F95" s="40" t="n">
        <v>46122</v>
      </c>
      <c r="G95" s="16" t="inlineStr">
        <is>
          <t>DIGITA-MUMBAI/ NEFT-AXISCN1307461851-ONE MOBIKWIK SYSTEMS LIMITED</t>
        </is>
      </c>
      <c r="H95" s="14" t="str"/>
      <c r="I95" s="14" t="inlineStr">
        <is>
          <t>Receipt</t>
        </is>
      </c>
      <c r="J95" s="39" t="n">
        <v>0</v>
      </c>
      <c r="K95" s="39" t="n">
        <v>23400</v>
      </c>
      <c r="L95" s="39" t="n">
        <v>23400</v>
      </c>
      <c r="M95" s="39" t="n">
        <v>25900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ONE MOBIKWIK SYSTEMS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46122</v>
      </c>
      <c r="AB95" s="42">
        <f>HYPERLINK("#'Transactions'!A108", "View Source Row")</f>
        <v/>
      </c>
    </row>
    <row r="96">
      <c r="A96" s="14" t="n">
        <v>108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46122</v>
      </c>
      <c r="F96" s="40" t="n">
        <v>46122</v>
      </c>
      <c r="G96" s="16" t="inlineStr">
        <is>
          <t>UPI/7501693995 69399505 UPI/750169399505/08:58:54/UPI/surajdhanotra1@ibl/</t>
        </is>
      </c>
      <c r="H96" s="14" t="str"/>
      <c r="I96" s="14" t="inlineStr">
        <is>
          <t>Receipt</t>
        </is>
      </c>
      <c r="J96" s="39" t="n">
        <v>0</v>
      </c>
      <c r="K96" s="39" t="n">
        <v>3165</v>
      </c>
      <c r="L96" s="39" t="n">
        <v>3165</v>
      </c>
      <c r="M96" s="39" t="n">
        <v>29065</v>
      </c>
      <c r="N96" s="14" t="inlineStr">
        <is>
          <t>UPI; Recurring Transaction</t>
        </is>
      </c>
      <c r="O96" s="14" t="inlineStr">
        <is>
          <t>Yes</t>
        </is>
      </c>
      <c r="P96" s="14" t="inlineStr">
        <is>
          <t>SURAJDHANOTRAIBL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1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46122</v>
      </c>
      <c r="AB96" s="42">
        <f>HYPERLINK("#'Transactions'!A109", "View Source Row")</f>
        <v/>
      </c>
    </row>
    <row r="97">
      <c r="A97" s="14" t="n">
        <v>109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46122</v>
      </c>
      <c r="F97" s="40" t="n">
        <v>46122</v>
      </c>
      <c r="G97" s="16" t="inlineStr">
        <is>
          <t>DIGITA-MUMBAI/ NEFT-AXISCN1307585087-PINE LABS PRIVATE LIMITED-NO</t>
        </is>
      </c>
      <c r="H97" s="14" t="str"/>
      <c r="I97" s="14" t="inlineStr">
        <is>
          <t>Receipt</t>
        </is>
      </c>
      <c r="J97" s="39" t="n">
        <v>0</v>
      </c>
      <c r="K97" s="39" t="n">
        <v>23121</v>
      </c>
      <c r="L97" s="39" t="n">
        <v>23121</v>
      </c>
      <c r="M97" s="39" t="n">
        <v>52186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PINE LABS PRIVATE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46122</v>
      </c>
      <c r="AB97" s="42">
        <f>HYPERLINK("#'Transactions'!A110", "View Source Row")</f>
        <v/>
      </c>
    </row>
    <row r="98">
      <c r="A98" s="14" t="n">
        <v>110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46122</v>
      </c>
      <c r="F98" s="40" t="n">
        <v>46122</v>
      </c>
      <c r="G98" s="16" t="inlineStr">
        <is>
          <t>EBANK:WIB/1503 EBANK:WIB/1503385381/Edfs</t>
        </is>
      </c>
      <c r="H98" s="14" t="str"/>
      <c r="I98" s="14" t="inlineStr">
        <is>
          <t>Payment</t>
        </is>
      </c>
      <c r="J98" s="39" t="n">
        <v>49686</v>
      </c>
      <c r="K98" s="39" t="n">
        <v>0</v>
      </c>
      <c r="L98" s="39" t="n">
        <v>49686</v>
      </c>
      <c r="M98" s="39" t="n">
        <v>2500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46122</v>
      </c>
      <c r="AB98" s="42">
        <f>HYPERLINK("#'Transactions'!A111", "View Source Row")</f>
        <v/>
      </c>
    </row>
    <row r="99">
      <c r="A99" s="14" t="n">
        <v>111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46122</v>
      </c>
      <c r="F99" s="40" t="n">
        <v>46122</v>
      </c>
      <c r="G99" s="16" t="inlineStr">
        <is>
          <t>DIGITA-MUMBAI/ NEFT-NKGSH26100973635-GEBI PRODUCTS PRIVATE LIMITE</t>
        </is>
      </c>
      <c r="H99" s="14" t="str"/>
      <c r="I99" s="14" t="inlineStr">
        <is>
          <t>Receipt</t>
        </is>
      </c>
      <c r="J99" s="39" t="n">
        <v>0</v>
      </c>
      <c r="K99" s="39" t="n">
        <v>5273</v>
      </c>
      <c r="L99" s="39" t="n">
        <v>5273</v>
      </c>
      <c r="M99" s="39" t="n">
        <v>7773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GEBI PRODUCTS PRIVATE LIMITE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46122</v>
      </c>
      <c r="AB99" s="42">
        <f>HYPERLINK("#'Transactions'!A112", "View Source Row")</f>
        <v/>
      </c>
    </row>
    <row r="100">
      <c r="A100" s="14" t="n">
        <v>112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46122</v>
      </c>
      <c r="F100" s="40" t="n">
        <v>46122</v>
      </c>
      <c r="G100" s="16" t="inlineStr">
        <is>
          <t>DIGITA-MUMBAI/ NEFT-KKBKH26100693248-ATLAS COMMODITIES PRIVATE LI</t>
        </is>
      </c>
      <c r="H100" s="14" t="str"/>
      <c r="I100" s="14" t="inlineStr">
        <is>
          <t>Receipt</t>
        </is>
      </c>
      <c r="J100" s="39" t="n">
        <v>0</v>
      </c>
      <c r="K100" s="39" t="n">
        <v>7922</v>
      </c>
      <c r="L100" s="39" t="n">
        <v>7922</v>
      </c>
      <c r="M100" s="39" t="n">
        <v>15695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ATLAS COMMODITIES PRIVATE LI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46122</v>
      </c>
      <c r="AB100" s="42">
        <f>HYPERLINK("#'Transactions'!A113", "View Source Row")</f>
        <v/>
      </c>
    </row>
    <row r="101">
      <c r="A101" s="14" t="n">
        <v>114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46123</v>
      </c>
      <c r="F101" s="40" t="n">
        <v>46123</v>
      </c>
      <c r="G101" s="16" t="inlineStr">
        <is>
          <t>DIGITA-MUMBAI/ NEFT-YESAP61011187841-PhonePe Limited</t>
        </is>
      </c>
      <c r="H101" s="14" t="str"/>
      <c r="I101" s="14" t="inlineStr">
        <is>
          <t>Receipt</t>
        </is>
      </c>
      <c r="J101" s="39" t="n">
        <v>0</v>
      </c>
      <c r="K101" s="39" t="n">
        <v>217794</v>
      </c>
      <c r="L101" s="39" t="n">
        <v>217794</v>
      </c>
      <c r="M101" s="39" t="n">
        <v>233709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PHONEPE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46123</v>
      </c>
      <c r="AB101" s="42">
        <f>HYPERLINK("#'Transactions'!A115", "View Source Row")</f>
        <v/>
      </c>
    </row>
    <row r="102">
      <c r="A102" s="14" t="n">
        <v>115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46123</v>
      </c>
      <c r="F102" s="40" t="n">
        <v>46123</v>
      </c>
      <c r="G102" s="16" t="inlineStr">
        <is>
          <t>DIGITA-MUMBAI/ IMPS/P2A/610106994638/VILLAGE STONE L/Diesel for</t>
        </is>
      </c>
      <c r="H102" s="14" t="str"/>
      <c r="I102" s="14" t="inlineStr">
        <is>
          <t>Receipt</t>
        </is>
      </c>
      <c r="J102" s="39" t="n">
        <v>0</v>
      </c>
      <c r="K102" s="39" t="n">
        <v>58786</v>
      </c>
      <c r="L102" s="39" t="n">
        <v>58786</v>
      </c>
      <c r="M102" s="39" t="n">
        <v>292495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VILLAGE STONE L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46123</v>
      </c>
      <c r="AB102" s="42">
        <f>HYPERLINK("#'Transactions'!A116", "View Source Row")</f>
        <v/>
      </c>
    </row>
    <row r="103">
      <c r="A103" s="14" t="n">
        <v>116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46123</v>
      </c>
      <c r="F103" s="40" t="n">
        <v>46123</v>
      </c>
      <c r="G103" s="16" t="inlineStr">
        <is>
          <t>DIGITA-MUMBAI/ NEFT-AXNPN10178417072-PHONEPE LIMITED-PAYMENT AGGR</t>
        </is>
      </c>
      <c r="H103" s="14" t="str"/>
      <c r="I103" s="14" t="inlineStr">
        <is>
          <t>Receipt</t>
        </is>
      </c>
      <c r="J103" s="39" t="n">
        <v>0</v>
      </c>
      <c r="K103" s="39" t="n">
        <v>66738</v>
      </c>
      <c r="L103" s="39" t="n">
        <v>66738</v>
      </c>
      <c r="M103" s="39" t="n">
        <v>359233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46123</v>
      </c>
      <c r="AB103" s="42">
        <f>HYPERLINK("#'Transactions'!A117", "View Source Row")</f>
        <v/>
      </c>
    </row>
    <row r="104">
      <c r="A104" s="14" t="n">
        <v>117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46123</v>
      </c>
      <c r="F104" s="40" t="n">
        <v>46123</v>
      </c>
      <c r="G104" s="16" t="inlineStr">
        <is>
          <t>DIGITA-MUMBAI/ NEFT-AXISCN1308590377-ONE MOBIKWIK SYSTEMS LIMITED</t>
        </is>
      </c>
      <c r="H104" s="14" t="str"/>
      <c r="I104" s="14" t="inlineStr">
        <is>
          <t>Receipt</t>
        </is>
      </c>
      <c r="J104" s="39" t="n">
        <v>0</v>
      </c>
      <c r="K104" s="39" t="n">
        <v>28720</v>
      </c>
      <c r="L104" s="39" t="n">
        <v>28720</v>
      </c>
      <c r="M104" s="39" t="n">
        <v>387953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ONE MOBIKWIK SYSTEMS LIMITED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46123</v>
      </c>
      <c r="AB104" s="42">
        <f>HYPERLINK("#'Transactions'!A118", "View Source Row")</f>
        <v/>
      </c>
    </row>
    <row r="105">
      <c r="A105" s="14" t="n">
        <v>118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46123</v>
      </c>
      <c r="F105" s="40" t="n">
        <v>46123</v>
      </c>
      <c r="G105" s="16" t="inlineStr">
        <is>
          <t>DIGITA-MUMBAI/ NEFT-AXISCN1308614930-PINE LABS PRIVATE LIMITED-NO</t>
        </is>
      </c>
      <c r="H105" s="14" t="str"/>
      <c r="I105" s="14" t="inlineStr">
        <is>
          <t>Receipt</t>
        </is>
      </c>
      <c r="J105" s="39" t="n">
        <v>0</v>
      </c>
      <c r="K105" s="39" t="n">
        <v>92275</v>
      </c>
      <c r="L105" s="39" t="n">
        <v>92275</v>
      </c>
      <c r="M105" s="39" t="n">
        <v>480228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PINE LABS PRIVATE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46123</v>
      </c>
      <c r="AB105" s="42">
        <f>HYPERLINK("#'Transactions'!A119", "View Source Row")</f>
        <v/>
      </c>
    </row>
    <row r="106">
      <c r="A106" s="14" t="n">
        <v>119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46123</v>
      </c>
      <c r="F106" s="40" t="n">
        <v>46123</v>
      </c>
      <c r="G106" s="16" t="inlineStr">
        <is>
          <t>DIGITA-MUMBAI/ IMPS/P2A/610111544975/OMSANITRANSPORT/Diesel bill</t>
        </is>
      </c>
      <c r="H106" s="14" t="str"/>
      <c r="I106" s="14" t="inlineStr">
        <is>
          <t>Receipt</t>
        </is>
      </c>
      <c r="J106" s="39" t="n">
        <v>0</v>
      </c>
      <c r="K106" s="39" t="n">
        <v>25996</v>
      </c>
      <c r="L106" s="39" t="n">
        <v>25996</v>
      </c>
      <c r="M106" s="39" t="n">
        <v>506224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OMSANITRANSPORT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46123</v>
      </c>
      <c r="AB106" s="42">
        <f>HYPERLINK("#'Transactions'!A120", "View Source Row")</f>
        <v/>
      </c>
    </row>
    <row r="107">
      <c r="A107" s="14" t="n">
        <v>120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46123</v>
      </c>
      <c r="F107" s="40" t="n">
        <v>46123</v>
      </c>
      <c r="G107" s="16" t="inlineStr">
        <is>
          <t>EBANK:15035434 EBANK:1503543462/MSEDCL-LT Post Paid Energy Bill/</t>
        </is>
      </c>
      <c r="H107" s="14" t="str"/>
      <c r="I107" s="14" t="inlineStr">
        <is>
          <t>Payment</t>
        </is>
      </c>
      <c r="J107" s="39" t="n">
        <v>28890</v>
      </c>
      <c r="K107" s="39" t="n">
        <v>0</v>
      </c>
      <c r="L107" s="39" t="n">
        <v>28890</v>
      </c>
      <c r="M107" s="39" t="n">
        <v>477334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EBANK EBANK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46123</v>
      </c>
      <c r="AB107" s="42">
        <f>HYPERLINK("#'Transactions'!A121", "View Source Row")</f>
        <v/>
      </c>
    </row>
    <row r="108">
      <c r="A108" s="14" t="n">
        <v>121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46123</v>
      </c>
      <c r="F108" s="40" t="n">
        <v>46123</v>
      </c>
      <c r="G108" s="16" t="inlineStr">
        <is>
          <t>EBANK:15035448 EBANK:1503544838/MSEDCL-LT Post Paid Energy Bill/</t>
        </is>
      </c>
      <c r="H108" s="14" t="str"/>
      <c r="I108" s="14" t="inlineStr">
        <is>
          <t>Payment</t>
        </is>
      </c>
      <c r="J108" s="39" t="n">
        <v>390</v>
      </c>
      <c r="K108" s="39" t="n">
        <v>0</v>
      </c>
      <c r="L108" s="39" t="n">
        <v>390</v>
      </c>
      <c r="M108" s="39" t="n">
        <v>476944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EBANK EBANK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46123</v>
      </c>
      <c r="AB108" s="42">
        <f>HYPERLINK("#'Transactions'!A122", "View Source Row")</f>
        <v/>
      </c>
    </row>
    <row r="109">
      <c r="A109" s="14" t="n">
        <v>124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46123</v>
      </c>
      <c r="F109" s="40" t="n">
        <v>46123</v>
      </c>
      <c r="G109" s="16" t="inlineStr">
        <is>
          <t>Charges for Charges for PORD Customer Payment :003578211236</t>
        </is>
      </c>
      <c r="H109" s="14" t="str"/>
      <c r="I109" s="14" t="inlineStr">
        <is>
          <t>Payment</t>
        </is>
      </c>
      <c r="J109" s="39" t="n">
        <v>2.65</v>
      </c>
      <c r="K109" s="39" t="n">
        <v>0</v>
      </c>
      <c r="L109" s="39" t="n">
        <v>2.65</v>
      </c>
      <c r="M109" s="39" t="n">
        <v>471381.35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CHARGES FOR CHARGES FOR PORD CUSTOMER PA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46123</v>
      </c>
      <c r="AB109" s="42">
        <f>HYPERLINK("#'Transactions'!A125", "View Source Row")</f>
        <v/>
      </c>
    </row>
    <row r="110">
      <c r="A110" s="14" t="n">
        <v>125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46123</v>
      </c>
      <c r="F110" s="40" t="n">
        <v>46123</v>
      </c>
      <c r="G110" s="16" t="inlineStr">
        <is>
          <t>NEFT-BARBS2610 NEFT-BARBS26101208027-K M SATISH-INDUSIND BANK LTD</t>
        </is>
      </c>
      <c r="H110" s="14" t="str"/>
      <c r="I110" s="14" t="inlineStr">
        <is>
          <t>Payment</t>
        </is>
      </c>
      <c r="J110" s="39" t="n">
        <v>8334</v>
      </c>
      <c r="K110" s="39" t="n">
        <v>0</v>
      </c>
      <c r="L110" s="39" t="n">
        <v>8334</v>
      </c>
      <c r="M110" s="39" t="n">
        <v>463047.35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BARBS NEFT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46123</v>
      </c>
      <c r="AB110" s="42">
        <f>HYPERLINK("#'Transactions'!A126", "View Source Row")</f>
        <v/>
      </c>
    </row>
    <row r="111">
      <c r="A111" s="14" t="n">
        <v>126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46123</v>
      </c>
      <c r="F111" s="40" t="n">
        <v>46123</v>
      </c>
      <c r="G111" s="16" t="inlineStr">
        <is>
          <t>Charges for Charges for PORD Customer Payment :003578211551</t>
        </is>
      </c>
      <c r="H111" s="14" t="str"/>
      <c r="I111" s="14" t="inlineStr">
        <is>
          <t>Payment</t>
        </is>
      </c>
      <c r="J111" s="39" t="n">
        <v>5.6</v>
      </c>
      <c r="K111" s="39" t="n">
        <v>0</v>
      </c>
      <c r="L111" s="39" t="n">
        <v>5.6</v>
      </c>
      <c r="M111" s="39" t="n">
        <v>463041.75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CHARGES FOR CHARGES FOR PORD CUSTOMER PA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46123</v>
      </c>
      <c r="AB111" s="42">
        <f>HYPERLINK("#'Transactions'!A127", "View Source Row")</f>
        <v/>
      </c>
    </row>
    <row r="112">
      <c r="A112" s="14" t="n">
        <v>127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46123</v>
      </c>
      <c r="F112" s="40" t="n">
        <v>46123</v>
      </c>
      <c r="G112" s="16" t="inlineStr">
        <is>
          <t>NEFT-BARBS2610 NEFT-BARBS26101208233-AKASH C SHELAR-BASSEIN CATHO</t>
        </is>
      </c>
      <c r="H112" s="14" t="str"/>
      <c r="I112" s="14" t="inlineStr">
        <is>
          <t>Payment</t>
        </is>
      </c>
      <c r="J112" s="39" t="n">
        <v>16015</v>
      </c>
      <c r="K112" s="39" t="n">
        <v>0</v>
      </c>
      <c r="L112" s="39" t="n">
        <v>16015</v>
      </c>
      <c r="M112" s="39" t="n">
        <v>447026.75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BARBS NEFT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46123</v>
      </c>
      <c r="AB112" s="42">
        <f>HYPERLINK("#'Transactions'!A128", "View Source Row")</f>
        <v/>
      </c>
    </row>
    <row r="113">
      <c r="A113" s="14" t="n">
        <v>128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46123</v>
      </c>
      <c r="F113" s="40" t="n">
        <v>46123</v>
      </c>
      <c r="G113" s="16" t="inlineStr">
        <is>
          <t>Charges for Charges for PORD Customer Payment :003578211732</t>
        </is>
      </c>
      <c r="H113" s="14" t="str"/>
      <c r="I113" s="14" t="inlineStr">
        <is>
          <t>Payment</t>
        </is>
      </c>
      <c r="J113" s="39" t="n">
        <v>5.6</v>
      </c>
      <c r="K113" s="39" t="n">
        <v>0</v>
      </c>
      <c r="L113" s="39" t="n">
        <v>5.6</v>
      </c>
      <c r="M113" s="39" t="n">
        <v>447021.15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CHARGES FOR CHARGES FOR PORD CUSTOMER PA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46123</v>
      </c>
      <c r="AB113" s="42">
        <f>HYPERLINK("#'Transactions'!A129", "View Source Row")</f>
        <v/>
      </c>
    </row>
    <row r="114">
      <c r="A114" s="14" t="n">
        <v>129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46123</v>
      </c>
      <c r="F114" s="40" t="n">
        <v>46123</v>
      </c>
      <c r="G114" s="16" t="inlineStr">
        <is>
          <t>NEFT-BARBS2610 NEFT-BARBS26101208696-MOHAMMOD TAUSIF-BASSEIN CATH</t>
        </is>
      </c>
      <c r="H114" s="14" t="str"/>
      <c r="I114" s="14" t="inlineStr">
        <is>
          <t>Payment</t>
        </is>
      </c>
      <c r="J114" s="39" t="n">
        <v>12121</v>
      </c>
      <c r="K114" s="39" t="n">
        <v>0</v>
      </c>
      <c r="L114" s="39" t="n">
        <v>12121</v>
      </c>
      <c r="M114" s="39" t="n">
        <v>434900.15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BARBS NEFT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46123</v>
      </c>
      <c r="AB114" s="42">
        <f>HYPERLINK("#'Transactions'!A130", "View Source Row")</f>
        <v/>
      </c>
    </row>
    <row r="115">
      <c r="A115" s="14" t="n">
        <v>130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Charges for Charges for PORD Customer Payment :003578213822</t>
        </is>
      </c>
      <c r="H115" s="14" t="str"/>
      <c r="I115" s="14" t="inlineStr">
        <is>
          <t>Payment</t>
        </is>
      </c>
      <c r="J115" s="39" t="n">
        <v>5.6</v>
      </c>
      <c r="K115" s="39" t="n">
        <v>0</v>
      </c>
      <c r="L115" s="39" t="n">
        <v>5.6</v>
      </c>
      <c r="M115" s="39" t="n">
        <v>434894.55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CHARGES FOR CHARGES FOR PORD CUSTOMER PA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  <c r="AB115" s="42">
        <f>HYPERLINK("#'Transactions'!A131", "View Source Row")</f>
        <v/>
      </c>
    </row>
    <row r="116">
      <c r="A116" s="14" t="n">
        <v>131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NEFT-BARBS2610 NEFT-BARBS26101210180-BRIJESH VIPATI KUMAR-BANK OF</t>
        </is>
      </c>
      <c r="H116" s="14" t="str"/>
      <c r="I116" s="14" t="inlineStr">
        <is>
          <t>Payment</t>
        </is>
      </c>
      <c r="J116" s="39" t="n">
        <v>12121</v>
      </c>
      <c r="K116" s="39" t="n">
        <v>0</v>
      </c>
      <c r="L116" s="39" t="n">
        <v>12121</v>
      </c>
      <c r="M116" s="39" t="n">
        <v>422773.55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BARBS NEFT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  <c r="AB116" s="42">
        <f>HYPERLINK("#'Transactions'!A132", "View Source Row")</f>
        <v/>
      </c>
    </row>
    <row r="117">
      <c r="A117" s="14" t="n">
        <v>132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Charges for Charges for PORD Customer Payment :003578219698</t>
        </is>
      </c>
      <c r="H117" s="14" t="str"/>
      <c r="I117" s="14" t="inlineStr">
        <is>
          <t>Payment</t>
        </is>
      </c>
      <c r="J117" s="39" t="n">
        <v>5.6</v>
      </c>
      <c r="K117" s="39" t="n">
        <v>0</v>
      </c>
      <c r="L117" s="39" t="n">
        <v>5.6</v>
      </c>
      <c r="M117" s="39" t="n">
        <v>422767.95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CHARGES FOR CHARGES FOR PORD CUSTOMER PA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  <c r="AB117" s="42">
        <f>HYPERLINK("#'Transactions'!A133", "View Source Row")</f>
        <v/>
      </c>
    </row>
    <row r="118">
      <c r="A118" s="14" t="n">
        <v>133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NEFT-BARBS2610 NEFT-BARBS26101211344-PRAVINKUMAR RAMDHULLAR-BASSE</t>
        </is>
      </c>
      <c r="H118" s="14" t="str"/>
      <c r="I118" s="14" t="inlineStr">
        <is>
          <t>Payment</t>
        </is>
      </c>
      <c r="J118" s="39" t="n">
        <v>12121</v>
      </c>
      <c r="K118" s="39" t="n">
        <v>0</v>
      </c>
      <c r="L118" s="39" t="n">
        <v>12121</v>
      </c>
      <c r="M118" s="39" t="n">
        <v>410646.95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BARBS NEFT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HYPERLINK("#'Transactions'!A134", "View Source Row")</f>
        <v/>
      </c>
    </row>
    <row r="119">
      <c r="A119" s="14" t="n">
        <v>134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Charges for Charges for PORD Customer Payment :003578224246</t>
        </is>
      </c>
      <c r="H119" s="14" t="str"/>
      <c r="I119" s="14" t="inlineStr">
        <is>
          <t>Payment</t>
        </is>
      </c>
      <c r="J119" s="39" t="n">
        <v>5.6</v>
      </c>
      <c r="K119" s="39" t="n">
        <v>0</v>
      </c>
      <c r="L119" s="39" t="n">
        <v>5.6</v>
      </c>
      <c r="M119" s="39" t="n">
        <v>410641.35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CHARGES FOR CHARGES FOR PORD CUSTOMER PA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HYPERLINK("#'Transactions'!A135", "View Source Row")</f>
        <v/>
      </c>
    </row>
    <row r="120">
      <c r="A120" s="14" t="n">
        <v>135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NEFT-BARBS2610 NEFT-BARBS26101225998-GOVIND KUMAR JAISWAL-UNION B</t>
        </is>
      </c>
      <c r="H120" s="14" t="str"/>
      <c r="I120" s="14" t="inlineStr">
        <is>
          <t>Payment</t>
        </is>
      </c>
      <c r="J120" s="39" t="n">
        <v>12121</v>
      </c>
      <c r="K120" s="39" t="n">
        <v>0</v>
      </c>
      <c r="L120" s="39" t="n">
        <v>12121</v>
      </c>
      <c r="M120" s="39" t="n">
        <v>398520.35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BARBS NEFT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HYPERLINK("#'Transactions'!A136", "View Source Row")</f>
        <v/>
      </c>
    </row>
    <row r="121">
      <c r="A121" s="14" t="n">
        <v>136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Charges for Charges for PORD Customer Payment :003578239489</t>
        </is>
      </c>
      <c r="H121" s="14" t="str"/>
      <c r="I121" s="14" t="inlineStr">
        <is>
          <t>Payment</t>
        </is>
      </c>
      <c r="J121" s="39" t="n">
        <v>5.6</v>
      </c>
      <c r="K121" s="39" t="n">
        <v>0</v>
      </c>
      <c r="L121" s="39" t="n">
        <v>5.6</v>
      </c>
      <c r="M121" s="39" t="n">
        <v>398514.75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CHARGES FOR CHARGES FOR PORD CUSTOMER PA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HYPERLINK("#'Transactions'!A137", "View Source Row")</f>
        <v/>
      </c>
    </row>
    <row r="122">
      <c r="A122" s="14" t="n">
        <v>137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NEFT-BARBS2610 NEFT-BARBS26101235271-RAJMANI PP-UNION BANK OF IND</t>
        </is>
      </c>
      <c r="H122" s="14" t="str"/>
      <c r="I122" s="14" t="inlineStr">
        <is>
          <t>Payment</t>
        </is>
      </c>
      <c r="J122" s="39" t="n">
        <v>12121</v>
      </c>
      <c r="K122" s="39" t="n">
        <v>0</v>
      </c>
      <c r="L122" s="39" t="n">
        <v>12121</v>
      </c>
      <c r="M122" s="39" t="n">
        <v>386393.75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BARBS NEFT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HYPERLINK("#'Transactions'!A138", "View Source Row")</f>
        <v/>
      </c>
    </row>
    <row r="123">
      <c r="A123" s="14" t="n">
        <v>139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NEFT-BARBS2610 NEFT-BARBS26101235444-SHIV PRASAD RAM DHANI-BASSEI</t>
        </is>
      </c>
      <c r="H123" s="14" t="str"/>
      <c r="I123" s="14" t="inlineStr">
        <is>
          <t>Payment</t>
        </is>
      </c>
      <c r="J123" s="39" t="n">
        <v>12121</v>
      </c>
      <c r="K123" s="39" t="n">
        <v>0</v>
      </c>
      <c r="L123" s="39" t="n">
        <v>12121</v>
      </c>
      <c r="M123" s="39" t="n">
        <v>374267.15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BARBS NEFT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HYPERLINK("#'Transactions'!A140", "View Source Row")</f>
        <v/>
      </c>
    </row>
    <row r="124">
      <c r="A124" s="14" t="n">
        <v>140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EBANK:WIB/1503 EBANK:WIB/1503559058/Edfs</t>
        </is>
      </c>
      <c r="H124" s="14" t="str"/>
      <c r="I124" s="14" t="inlineStr">
        <is>
          <t>Payment</t>
        </is>
      </c>
      <c r="J124" s="39" t="n">
        <v>353767.15</v>
      </c>
      <c r="K124" s="39" t="n">
        <v>0</v>
      </c>
      <c r="L124" s="39" t="n">
        <v>353767.15</v>
      </c>
      <c r="M124" s="39" t="n">
        <v>20500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EBANKWIB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HYPERLINK("#'Transactions'!A141", "View Source Row")</f>
        <v/>
      </c>
    </row>
    <row r="125">
      <c r="A125" s="14" t="n">
        <v>141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DIGITA-MUMBAI/ NEFT-IN42610154526147-MITA FASTENERS PRIVATE LIMIT</t>
        </is>
      </c>
      <c r="H125" s="14" t="str"/>
      <c r="I125" s="14" t="inlineStr">
        <is>
          <t>Receipt</t>
        </is>
      </c>
      <c r="J125" s="39" t="n">
        <v>0</v>
      </c>
      <c r="K125" s="39" t="n">
        <v>9044</v>
      </c>
      <c r="L125" s="39" t="n">
        <v>9044</v>
      </c>
      <c r="M125" s="39" t="n">
        <v>29544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MITA FASTENERS PRIVATE LIMIT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HYPERLINK("#'Transactions'!A142", "View Source Row")</f>
        <v/>
      </c>
    </row>
    <row r="126">
      <c r="A126" s="14" t="n">
        <v>142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UPI/3316762170 76217092 UPI/331676217092/17:08:51/UPI/surajdhanotra1@ibl/ https://cbdrpt101.bankofbaroda.co.in:22000/finbranch/arjspmorph/INFENG/tran_rpt.jsp?... 04-05-2026</t>
        </is>
      </c>
      <c r="H126" s="14" t="str"/>
      <c r="I126" s="14" t="inlineStr">
        <is>
          <t>Receipt</t>
        </is>
      </c>
      <c r="J126" s="39" t="n">
        <v>0</v>
      </c>
      <c r="K126" s="39" t="n">
        <v>1808</v>
      </c>
      <c r="L126" s="39" t="n">
        <v>1808</v>
      </c>
      <c r="M126" s="39" t="n">
        <v>31352</v>
      </c>
      <c r="N126" s="14" t="inlineStr">
        <is>
          <t>UPI; Recurring Transaction</t>
        </is>
      </c>
      <c r="O126" s="14" t="inlineStr">
        <is>
          <t>Yes</t>
        </is>
      </c>
      <c r="P126" s="14" t="inlineStr">
        <is>
          <t>SURAJDHANOTRAIBL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1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HYPERLINK("#'Transactions'!A143", "View Source Row")</f>
        <v/>
      </c>
    </row>
    <row r="127">
      <c r="A127" s="14" t="n">
        <v>143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46124</v>
      </c>
      <c r="F127" s="40" t="n">
        <v>46124</v>
      </c>
      <c r="G127" s="16" t="inlineStr">
        <is>
          <t>DIGITA-MUMBAI/ NEFT-YESAP61023739033-PhonePe Limited</t>
        </is>
      </c>
      <c r="H127" s="14" t="str"/>
      <c r="I127" s="14" t="inlineStr">
        <is>
          <t>Receipt</t>
        </is>
      </c>
      <c r="J127" s="39" t="n">
        <v>0</v>
      </c>
      <c r="K127" s="39" t="n">
        <v>316091.5</v>
      </c>
      <c r="L127" s="39" t="n">
        <v>316091.5</v>
      </c>
      <c r="M127" s="39" t="n">
        <v>347443.5</v>
      </c>
      <c r="N127" s="14" t="inlineStr">
        <is>
          <t>High Transaction; Recurring Transaction</t>
        </is>
      </c>
      <c r="O127" s="14" t="inlineStr">
        <is>
          <t>Yes</t>
        </is>
      </c>
      <c r="P127" s="14" t="inlineStr">
        <is>
          <t>PHONEPE LIMITED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46124</v>
      </c>
      <c r="AB127" s="42">
        <f>HYPERLINK("#'Transactions'!A144", "View Source Row")</f>
        <v/>
      </c>
    </row>
    <row r="128">
      <c r="A128" s="14" t="n">
        <v>144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46124</v>
      </c>
      <c r="F128" s="40" t="n">
        <v>46124</v>
      </c>
      <c r="G128" s="16" t="inlineStr">
        <is>
          <t>DIGITA-MUMBAI/ NEFT-AXNPN10286711573-PHONEPE LIMITED-PAYMENT AGGR</t>
        </is>
      </c>
      <c r="H128" s="14" t="str"/>
      <c r="I128" s="14" t="inlineStr">
        <is>
          <t>Receipt</t>
        </is>
      </c>
      <c r="J128" s="39" t="n">
        <v>0</v>
      </c>
      <c r="K128" s="39" t="n">
        <v>74921.89</v>
      </c>
      <c r="L128" s="39" t="n">
        <v>74921.89</v>
      </c>
      <c r="M128" s="39" t="n">
        <v>422365.39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PHONEPE LIMITED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46124</v>
      </c>
      <c r="AB128" s="42">
        <f>HYPERLINK("#'Transactions'!A145", "View Source Row")</f>
        <v/>
      </c>
    </row>
    <row r="129">
      <c r="A129" s="14" t="n">
        <v>145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46124</v>
      </c>
      <c r="F129" s="40" t="n">
        <v>46124</v>
      </c>
      <c r="G129" s="16" t="inlineStr">
        <is>
          <t>DIGITA-MUMBAI/ NEFT-AXISCN1309251605-ONE MOBIKWIK SYSTEMS LIMITED</t>
        </is>
      </c>
      <c r="H129" s="14" t="str"/>
      <c r="I129" s="14" t="inlineStr">
        <is>
          <t>Receipt</t>
        </is>
      </c>
      <c r="J129" s="39" t="n">
        <v>0</v>
      </c>
      <c r="K129" s="39" t="n">
        <v>16623</v>
      </c>
      <c r="L129" s="39" t="n">
        <v>16623</v>
      </c>
      <c r="M129" s="39" t="n">
        <v>438988.39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ONE MOBIKWIK SYSTEMS LIMITED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46124</v>
      </c>
      <c r="AB129" s="42">
        <f>HYPERLINK("#'Transactions'!A146", "View Source Row")</f>
        <v/>
      </c>
    </row>
    <row r="130">
      <c r="A130" s="14" t="n">
        <v>146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46124</v>
      </c>
      <c r="F130" s="40" t="n">
        <v>46124</v>
      </c>
      <c r="G130" s="16" t="inlineStr">
        <is>
          <t>DIGITA-MUMBAI/ IMPS/P2A/610211578843/SHREE GANESH EN/billVVS9100</t>
        </is>
      </c>
      <c r="H130" s="14" t="str"/>
      <c r="I130" s="14" t="inlineStr">
        <is>
          <t>Receipt</t>
        </is>
      </c>
      <c r="J130" s="39" t="n">
        <v>0</v>
      </c>
      <c r="K130" s="39" t="n">
        <v>63308</v>
      </c>
      <c r="L130" s="39" t="n">
        <v>63308</v>
      </c>
      <c r="M130" s="39" t="n">
        <v>502296.39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SHREE GANESH EN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46124</v>
      </c>
      <c r="AB130" s="42">
        <f>HYPERLINK("#'Transactions'!A147", "View Source Row")</f>
        <v/>
      </c>
    </row>
    <row r="131">
      <c r="A131" s="14" t="n">
        <v>147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46124</v>
      </c>
      <c r="F131" s="40" t="n">
        <v>46124</v>
      </c>
      <c r="G131" s="16" t="inlineStr">
        <is>
          <t>UPI/8741236018 23601815 UPI/874123601815/12:37:26/UPI/surajdhanotra1@ibl/</t>
        </is>
      </c>
      <c r="H131" s="14" t="str"/>
      <c r="I131" s="14" t="inlineStr">
        <is>
          <t>Receipt</t>
        </is>
      </c>
      <c r="J131" s="39" t="n">
        <v>0</v>
      </c>
      <c r="K131" s="39" t="n">
        <v>1808</v>
      </c>
      <c r="L131" s="39" t="n">
        <v>1808</v>
      </c>
      <c r="M131" s="39" t="n">
        <v>504104.39</v>
      </c>
      <c r="N131" s="14" t="inlineStr">
        <is>
          <t>UPI; Recurring Transaction</t>
        </is>
      </c>
      <c r="O131" s="14" t="inlineStr">
        <is>
          <t>Yes</t>
        </is>
      </c>
      <c r="P131" s="14" t="inlineStr">
        <is>
          <t>SURAJDHANOTRAIBL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1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46124</v>
      </c>
      <c r="AB131" s="42">
        <f>HYPERLINK("#'Transactions'!A148", "View Source Row")</f>
        <v/>
      </c>
    </row>
    <row r="132">
      <c r="A132" s="14" t="n">
        <v>149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46124</v>
      </c>
      <c r="F132" s="40" t="n">
        <v>46124</v>
      </c>
      <c r="G132" s="16" t="inlineStr">
        <is>
          <t>DIGITA-MUMBAI/ NEFT-CNRBH00124891693-QUALITY PLAST INDUSTRIES LIM</t>
        </is>
      </c>
      <c r="H132" s="14" t="str"/>
      <c r="I132" s="14" t="inlineStr">
        <is>
          <t>Receipt</t>
        </is>
      </c>
      <c r="J132" s="39" t="n">
        <v>0</v>
      </c>
      <c r="K132" s="39" t="n">
        <v>9677</v>
      </c>
      <c r="L132" s="39" t="n">
        <v>9677</v>
      </c>
      <c r="M132" s="39" t="n">
        <v>523781.39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QUALITY PLAST INDUSTRIES LIM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46124</v>
      </c>
      <c r="AB132" s="42">
        <f>HYPERLINK("#'Transactions'!A150", "View Source Row")</f>
        <v/>
      </c>
    </row>
    <row r="133">
      <c r="A133" s="14" t="n">
        <v>150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46124</v>
      </c>
      <c r="F133" s="40" t="n">
        <v>46124</v>
      </c>
      <c r="G133" s="16" t="inlineStr">
        <is>
          <t>EBANK:WIB/1503 EBANK:WIB/1503691094/Edfs</t>
        </is>
      </c>
      <c r="H133" s="14" t="str"/>
      <c r="I133" s="14" t="inlineStr">
        <is>
          <t>Payment</t>
        </is>
      </c>
      <c r="J133" s="39" t="n">
        <v>521281.39</v>
      </c>
      <c r="K133" s="39" t="n">
        <v>0</v>
      </c>
      <c r="L133" s="39" t="n">
        <v>521281.39</v>
      </c>
      <c r="M133" s="39" t="n">
        <v>2500</v>
      </c>
      <c r="N133" s="14" t="inlineStr">
        <is>
          <t>High Transaction; Recurring Transaction</t>
        </is>
      </c>
      <c r="O133" s="14" t="inlineStr">
        <is>
          <t>Yes</t>
        </is>
      </c>
      <c r="P133" s="14" t="inlineStr">
        <is>
          <t>EBANKWIB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46124</v>
      </c>
      <c r="AB133" s="42">
        <f>HYPERLINK("#'Transactions'!A151", "View Source Row")</f>
        <v/>
      </c>
    </row>
    <row r="134">
      <c r="A134" s="14" t="n">
        <v>151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46125</v>
      </c>
      <c r="F134" s="40" t="n">
        <v>46125</v>
      </c>
      <c r="G134" s="16" t="inlineStr">
        <is>
          <t>DIGITA-MUMBAI/ NEFT-YESAP61032531277-PhonePe Limited</t>
        </is>
      </c>
      <c r="H134" s="14" t="str"/>
      <c r="I134" s="14" t="inlineStr">
        <is>
          <t>Receipt</t>
        </is>
      </c>
      <c r="J134" s="39" t="n">
        <v>0</v>
      </c>
      <c r="K134" s="39" t="n">
        <v>250095</v>
      </c>
      <c r="L134" s="39" t="n">
        <v>250095</v>
      </c>
      <c r="M134" s="39" t="n">
        <v>252595</v>
      </c>
      <c r="N134" s="14" t="inlineStr">
        <is>
          <t>High Transaction; Recurring Transaction</t>
        </is>
      </c>
      <c r="O134" s="14" t="inlineStr">
        <is>
          <t>Yes</t>
        </is>
      </c>
      <c r="P134" s="14" t="inlineStr">
        <is>
          <t>PHONEPE LIMITED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46125</v>
      </c>
      <c r="AB134" s="42">
        <f>HYPERLINK("#'Transactions'!A152", "View Source Row")</f>
        <v/>
      </c>
    </row>
    <row r="135">
      <c r="A135" s="14" t="n">
        <v>152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46125</v>
      </c>
      <c r="F135" s="40" t="n">
        <v>46125</v>
      </c>
      <c r="G135" s="16" t="inlineStr">
        <is>
          <t>DIGITA-MUMBAI/ NEFT-AXNPN10394764176-PHONEPE LIMITED-PAYMENT AGGR</t>
        </is>
      </c>
      <c r="H135" s="14" t="str"/>
      <c r="I135" s="14" t="inlineStr">
        <is>
          <t>Receipt</t>
        </is>
      </c>
      <c r="J135" s="39" t="n">
        <v>0</v>
      </c>
      <c r="K135" s="39" t="n">
        <v>73380.92999999999</v>
      </c>
      <c r="L135" s="39" t="n">
        <v>73380.92999999999</v>
      </c>
      <c r="M135" s="39" t="n">
        <v>325975.93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PHONEPE LIMITED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46125</v>
      </c>
      <c r="AB135" s="42">
        <f>HYPERLINK("#'Transactions'!A153", "View Source Row")</f>
        <v/>
      </c>
    </row>
    <row r="136">
      <c r="A136" s="14" t="n">
        <v>153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46125</v>
      </c>
      <c r="F136" s="40" t="n">
        <v>46125</v>
      </c>
      <c r="G136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36" s="14" t="str"/>
      <c r="I136" s="14" t="inlineStr">
        <is>
          <t>Receipt</t>
        </is>
      </c>
      <c r="J136" s="39" t="n">
        <v>0</v>
      </c>
      <c r="K136" s="39" t="n">
        <v>13800</v>
      </c>
      <c r="L136" s="39" t="n">
        <v>13800</v>
      </c>
      <c r="M136" s="39" t="n">
        <v>339775.93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ONE MOBIKWIK SYSTEMS LIMITED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46125</v>
      </c>
      <c r="AB136" s="42">
        <f>HYPERLINK("#'Transactions'!A154", "View Source Row")</f>
        <v/>
      </c>
    </row>
    <row r="137">
      <c r="A137" s="14" t="n">
        <v>154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46125</v>
      </c>
      <c r="F137" s="40" t="n">
        <v>46125</v>
      </c>
      <c r="G137" s="16" t="inlineStr">
        <is>
          <t>EBANK:15036990 EBANK:1503699072/Hindustan Petroleum/604137022998</t>
        </is>
      </c>
      <c r="H137" s="14" t="str"/>
      <c r="I137" s="14" t="inlineStr">
        <is>
          <t>Payment</t>
        </is>
      </c>
      <c r="J137" s="39" t="n">
        <v>1000</v>
      </c>
      <c r="K137" s="39" t="n">
        <v>0</v>
      </c>
      <c r="L137" s="39" t="n">
        <v>1000</v>
      </c>
      <c r="M137" s="39" t="n">
        <v>338775.93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EBANK EBANK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46125</v>
      </c>
      <c r="AB137" s="42">
        <f>HYPERLINK("#'Transactions'!A155", "View Source Row")</f>
        <v/>
      </c>
    </row>
    <row r="138">
      <c r="A138" s="14" t="n">
        <v>155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46125</v>
      </c>
      <c r="F138" s="40" t="n">
        <v>46125</v>
      </c>
      <c r="G138" s="16" t="inlineStr">
        <is>
          <t>DIGITA-MUMBAI/ NEFT-AXISCN1309952222-PINE LABS PRIVATE LIMITED-NO</t>
        </is>
      </c>
      <c r="H138" s="14" t="str"/>
      <c r="I138" s="14" t="inlineStr">
        <is>
          <t>Receipt</t>
        </is>
      </c>
      <c r="J138" s="39" t="n">
        <v>0</v>
      </c>
      <c r="K138" s="39" t="n">
        <v>47686</v>
      </c>
      <c r="L138" s="39" t="n">
        <v>47686</v>
      </c>
      <c r="M138" s="39" t="n">
        <v>386461.93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PINE LABS PRIVATE LIMITED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46125</v>
      </c>
      <c r="AB138" s="42">
        <f>HYPERLINK("#'Transactions'!A156", "View Source Row")</f>
        <v/>
      </c>
    </row>
    <row r="139">
      <c r="A139" s="14" t="n">
        <v>156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46125</v>
      </c>
      <c r="F139" s="40" t="n">
        <v>46125</v>
      </c>
      <c r="G139" s="16" t="inlineStr">
        <is>
          <t>UPI/6103246468 24646865 UPI/610324646865/09:30:08/UPI/autofleetpetrolpump</t>
        </is>
      </c>
      <c r="H139" s="14" t="str"/>
      <c r="I139" s="14" t="inlineStr">
        <is>
          <t>Payment</t>
        </is>
      </c>
      <c r="J139" s="39" t="n">
        <v>2000</v>
      </c>
      <c r="K139" s="39" t="n">
        <v>0</v>
      </c>
      <c r="L139" s="39" t="n">
        <v>2000</v>
      </c>
      <c r="M139" s="39" t="n">
        <v>384461.93</v>
      </c>
      <c r="N139" s="14" t="inlineStr">
        <is>
          <t>UPI; Recurring Transaction</t>
        </is>
      </c>
      <c r="O139" s="14" t="inlineStr">
        <is>
          <t>Yes</t>
        </is>
      </c>
      <c r="P139" s="14" t="inlineStr">
        <is>
          <t>AUTOFLEETPETROLPUMP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46125</v>
      </c>
      <c r="AB139" s="42">
        <f>HYPERLINK("#'Transactions'!A157", "View Source Row")</f>
        <v/>
      </c>
    </row>
    <row r="140">
      <c r="A140" s="14" t="n">
        <v>157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46125</v>
      </c>
      <c r="F140" s="40" t="n">
        <v>46125</v>
      </c>
      <c r="G140" s="16" t="inlineStr">
        <is>
          <t>UPI/6103049513 4951307 UPI/610304951307/09:30:56/UPI/autofleetpetrolpump</t>
        </is>
      </c>
      <c r="H140" s="14" t="str"/>
      <c r="I140" s="14" t="inlineStr">
        <is>
          <t>Payment</t>
        </is>
      </c>
      <c r="J140" s="39" t="n">
        <v>1000</v>
      </c>
      <c r="K140" s="39" t="n">
        <v>0</v>
      </c>
      <c r="L140" s="39" t="n">
        <v>1000</v>
      </c>
      <c r="M140" s="39" t="n">
        <v>383461.93</v>
      </c>
      <c r="N140" s="14" t="inlineStr">
        <is>
          <t>UPI; Recurring Transaction</t>
        </is>
      </c>
      <c r="O140" s="14" t="inlineStr">
        <is>
          <t>Yes</t>
        </is>
      </c>
      <c r="P140" s="14" t="inlineStr">
        <is>
          <t>AUTOFLEETPETROLPUMP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46125</v>
      </c>
      <c r="AB140" s="42">
        <f>HYPERLINK("#'Transactions'!A158", "View Source Row")</f>
        <v/>
      </c>
    </row>
    <row r="141">
      <c r="A141" s="14" t="n">
        <v>158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46125</v>
      </c>
      <c r="F141" s="40" t="n">
        <v>46125</v>
      </c>
      <c r="G141" s="16" t="inlineStr">
        <is>
          <t>DIGITA-MUMBAI/ NEFT-AXODH10395993542-GRISHMA METAL TECHNOLOGY</t>
        </is>
      </c>
      <c r="H141" s="14" t="str"/>
      <c r="I141" s="14" t="inlineStr">
        <is>
          <t>Receipt</t>
        </is>
      </c>
      <c r="J141" s="39" t="n">
        <v>0</v>
      </c>
      <c r="K141" s="39" t="n">
        <v>124000</v>
      </c>
      <c r="L141" s="39" t="n">
        <v>124000</v>
      </c>
      <c r="M141" s="39" t="n">
        <v>507461.93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GRISHMA METAL TECHNOLOGY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46125</v>
      </c>
      <c r="AB141" s="42">
        <f>HYPERLINK("#'Transactions'!A159", "View Source Row")</f>
        <v/>
      </c>
    </row>
    <row r="142">
      <c r="A142" s="14" t="n">
        <v>159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46125</v>
      </c>
      <c r="F142" s="40" t="n">
        <v>46125</v>
      </c>
      <c r="G142" s="16" t="inlineStr">
        <is>
          <t>UPI/1265365595 36559565 UPI/126536559565/11:02:55/UPI/surajdhanotra1@ibl/</t>
        </is>
      </c>
      <c r="H142" s="14" t="str"/>
      <c r="I142" s="14" t="inlineStr">
        <is>
          <t>Receipt</t>
        </is>
      </c>
      <c r="J142" s="39" t="n">
        <v>0</v>
      </c>
      <c r="K142" s="39" t="n">
        <v>2261</v>
      </c>
      <c r="L142" s="39" t="n">
        <v>2261</v>
      </c>
      <c r="M142" s="39" t="n">
        <v>509722.93</v>
      </c>
      <c r="N142" s="14" t="inlineStr">
        <is>
          <t>UPI; Recurring Transaction</t>
        </is>
      </c>
      <c r="O142" s="14" t="inlineStr">
        <is>
          <t>Yes</t>
        </is>
      </c>
      <c r="P142" s="14" t="inlineStr">
        <is>
          <t>SURAJDHANOTRAIBL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46125</v>
      </c>
      <c r="AB142" s="42">
        <f>HYPERLINK("#'Transactions'!A160", "View Source Row")</f>
        <v/>
      </c>
    </row>
    <row r="143">
      <c r="A143" s="14" t="n">
        <v>161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46125</v>
      </c>
      <c r="F143" s="40" t="n">
        <v>46125</v>
      </c>
      <c r="G143" s="16" t="inlineStr">
        <is>
          <t>DIGITA-MUMBAI/ NEFT-AXISCN1310059428-PINE LABS PRIVATE LIMITED-NO</t>
        </is>
      </c>
      <c r="H143" s="14" t="str"/>
      <c r="I143" s="14" t="inlineStr">
        <is>
          <t>Receipt</t>
        </is>
      </c>
      <c r="J143" s="39" t="n">
        <v>0</v>
      </c>
      <c r="K143" s="39" t="n">
        <v>102789</v>
      </c>
      <c r="L143" s="39" t="n">
        <v>102789</v>
      </c>
      <c r="M143" s="39" t="n">
        <v>609211.9300000001</v>
      </c>
      <c r="N143" s="14" t="inlineStr">
        <is>
          <t>High Transaction; Recurring Transaction</t>
        </is>
      </c>
      <c r="O143" s="14" t="inlineStr">
        <is>
          <t>Yes</t>
        </is>
      </c>
      <c r="P143" s="14" t="inlineStr">
        <is>
          <t>PINE LABS PRIVATE LIMITED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46125</v>
      </c>
      <c r="AB143" s="42">
        <f>HYPERLINK("#'Transactions'!A162", "View Source Row")</f>
        <v/>
      </c>
    </row>
    <row r="144">
      <c r="A144" s="14" t="n">
        <v>162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46125</v>
      </c>
      <c r="F144" s="40" t="n">
        <v>46125</v>
      </c>
      <c r="G144" s="16" t="inlineStr">
        <is>
          <t>Charges for Charges for PORD Customer Payment :003581616879</t>
        </is>
      </c>
      <c r="H144" s="14" t="str"/>
      <c r="I144" s="14" t="inlineStr">
        <is>
          <t>Payment</t>
        </is>
      </c>
      <c r="J144" s="39" t="n">
        <v>2.65</v>
      </c>
      <c r="K144" s="39" t="n">
        <v>0</v>
      </c>
      <c r="L144" s="39" t="n">
        <v>2.65</v>
      </c>
      <c r="M144" s="39" t="n">
        <v>609209.28</v>
      </c>
      <c r="N144" s="14" t="inlineStr">
        <is>
          <t>Recurring Transaction</t>
        </is>
      </c>
      <c r="O144" s="14" t="inlineStr">
        <is>
          <t>Yes</t>
        </is>
      </c>
      <c r="P144" s="14" t="inlineStr">
        <is>
          <t>CHARGES FOR CHARGES FOR PORD CUSTOMER PA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46125</v>
      </c>
      <c r="AB144" s="42">
        <f>HYPERLINK("#'Transactions'!A163", "View Source Row")</f>
        <v/>
      </c>
    </row>
    <row r="145">
      <c r="A145" s="14" t="n">
        <v>163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46125</v>
      </c>
      <c r="F145" s="40" t="n">
        <v>46125</v>
      </c>
      <c r="G145" s="16" t="inlineStr">
        <is>
          <t>NEFT-BARBV2610 NEFT-BARBV26103046565-ATHARV FIRE AND SAFETY SERVI</t>
        </is>
      </c>
      <c r="H145" s="14" t="str"/>
      <c r="I145" s="14" t="inlineStr">
        <is>
          <t>Payment</t>
        </is>
      </c>
      <c r="J145" s="39" t="n">
        <v>2065</v>
      </c>
      <c r="K145" s="39" t="n">
        <v>0</v>
      </c>
      <c r="L145" s="39" t="n">
        <v>2065</v>
      </c>
      <c r="M145" s="39" t="n">
        <v>607144.28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BARBV NEFT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46125</v>
      </c>
      <c r="AB145" s="42">
        <f>HYPERLINK("#'Transactions'!A164", "View Source Row")</f>
        <v/>
      </c>
    </row>
    <row r="146">
      <c r="A146" s="14" t="n">
        <v>164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46125</v>
      </c>
      <c r="F146" s="40" t="n">
        <v>46125</v>
      </c>
      <c r="G146" s="16" t="inlineStr">
        <is>
          <t>DIGITA-MUMBAI/ NEFT-HDFCH00930723327-KUNDAN QUARRY</t>
        </is>
      </c>
      <c r="H146" s="14" t="str"/>
      <c r="I146" s="14" t="inlineStr">
        <is>
          <t>Receipt</t>
        </is>
      </c>
      <c r="J146" s="39" t="n">
        <v>0</v>
      </c>
      <c r="K146" s="39" t="n">
        <v>5800</v>
      </c>
      <c r="L146" s="39" t="n">
        <v>5800</v>
      </c>
      <c r="M146" s="39" t="n">
        <v>612944.28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KUNDAN QUARRY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46125</v>
      </c>
      <c r="AB146" s="42">
        <f>HYPERLINK("#'Transactions'!A165", "View Source Row")</f>
        <v/>
      </c>
    </row>
    <row r="147">
      <c r="A147" s="14" t="n">
        <v>165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46125</v>
      </c>
      <c r="F147" s="40" t="n">
        <v>46125</v>
      </c>
      <c r="G147" s="16" t="inlineStr">
        <is>
          <t>EBANK:WIB/1503 EBANK:WIB/1503777187/Edfs</t>
        </is>
      </c>
      <c r="H147" s="14" t="str"/>
      <c r="I147" s="14" t="inlineStr">
        <is>
          <t>Payment</t>
        </is>
      </c>
      <c r="J147" s="39" t="n">
        <v>610444.28</v>
      </c>
      <c r="K147" s="39" t="n">
        <v>0</v>
      </c>
      <c r="L147" s="39" t="n">
        <v>610444.28</v>
      </c>
      <c r="M147" s="39" t="n">
        <v>2500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EBANKWIB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46125</v>
      </c>
      <c r="AB147" s="42">
        <f>HYPERLINK("#'Transactions'!A166", "View Source Row")</f>
        <v/>
      </c>
    </row>
    <row r="148">
      <c r="A148" s="14" t="n">
        <v>166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46125</v>
      </c>
      <c r="F148" s="40" t="n">
        <v>46125</v>
      </c>
      <c r="G148" s="16" t="inlineStr">
        <is>
          <t>DIGITA-MUMBAI/ https://cbdrpt101.bankofbaroda.co.in:22000/finbranch/arjspmorph/INFENG/tran_rpt.jsp?... 04-05-2026 NEFT-HDFCH00930605811-Adekar enterprises pvt ltd</t>
        </is>
      </c>
      <c r="H148" s="14" t="str"/>
      <c r="I148" s="14" t="inlineStr">
        <is>
          <t>Receipt</t>
        </is>
      </c>
      <c r="J148" s="39" t="n">
        <v>0</v>
      </c>
      <c r="K148" s="39" t="n">
        <v>128900</v>
      </c>
      <c r="L148" s="39" t="n">
        <v>128900</v>
      </c>
      <c r="M148" s="39" t="n">
        <v>131400</v>
      </c>
      <c r="N148" s="14" t="inlineStr">
        <is>
          <t>High Transaction; Recurring Transaction</t>
        </is>
      </c>
      <c r="O148" s="14" t="inlineStr">
        <is>
          <t>Yes</t>
        </is>
      </c>
      <c r="P148" s="14" t="inlineStr">
        <is>
          <t>CBDRPTBANKOFBARODACOIN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1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46125</v>
      </c>
      <c r="AB148" s="42">
        <f>HYPERLINK("#'Transactions'!A167", "View Source Row")</f>
        <v/>
      </c>
    </row>
    <row r="149">
      <c r="A149" s="14" t="n">
        <v>167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46125</v>
      </c>
      <c r="F149" s="40" t="n">
        <v>46125</v>
      </c>
      <c r="G149" s="16" t="inlineStr">
        <is>
          <t>DIGITA-MUMBAI/ NEFT-NKGSH26103010561-GEBI PRODUCTS PRIVATE LIMITE</t>
        </is>
      </c>
      <c r="H149" s="14" t="str"/>
      <c r="I149" s="14" t="inlineStr">
        <is>
          <t>Receipt</t>
        </is>
      </c>
      <c r="J149" s="39" t="n">
        <v>0</v>
      </c>
      <c r="K149" s="39" t="n">
        <v>4415</v>
      </c>
      <c r="L149" s="39" t="n">
        <v>4415</v>
      </c>
      <c r="M149" s="39" t="n">
        <v>135815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GEBI PRODUCTS PRIVATE LIMITE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46125</v>
      </c>
      <c r="AB149" s="42">
        <f>HYPERLINK("#'Transactions'!A168", "View Source Row")</f>
        <v/>
      </c>
    </row>
    <row r="150">
      <c r="A150" s="14" t="n">
        <v>168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46125</v>
      </c>
      <c r="F150" s="40" t="n">
        <v>46125</v>
      </c>
      <c r="G150" s="16" t="inlineStr">
        <is>
          <t>DIGITA-MUMBAI/ NEFT-IN42610355845941-N R COLOURS LIMITED</t>
        </is>
      </c>
      <c r="H150" s="14" t="str"/>
      <c r="I150" s="14" t="inlineStr">
        <is>
          <t>Receipt</t>
        </is>
      </c>
      <c r="J150" s="39" t="n">
        <v>0</v>
      </c>
      <c r="K150" s="39" t="n">
        <v>12678.78</v>
      </c>
      <c r="L150" s="39" t="n">
        <v>12678.78</v>
      </c>
      <c r="M150" s="39" t="n">
        <v>148493.78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N R COLOURS LIMITED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46125</v>
      </c>
      <c r="AB150" s="42">
        <f>HYPERLINK("#'Transactions'!A169", "View Source Row")</f>
        <v/>
      </c>
    </row>
    <row r="151">
      <c r="A151" s="14" t="n">
        <v>169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46125</v>
      </c>
      <c r="F151" s="40" t="n">
        <v>46125</v>
      </c>
      <c r="G151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51" s="14" t="str"/>
      <c r="I151" s="14" t="inlineStr">
        <is>
          <t>Payment</t>
        </is>
      </c>
      <c r="J151" s="39" t="n">
        <v>107993.78</v>
      </c>
      <c r="K151" s="39" t="n">
        <v>0</v>
      </c>
      <c r="L151" s="39" t="n">
        <v>107993.78</v>
      </c>
      <c r="M151" s="39" t="n">
        <v>40500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46125</v>
      </c>
      <c r="AB151" s="42">
        <f>HYPERLINK("#'Transactions'!A170", "View Source Row")</f>
        <v/>
      </c>
    </row>
    <row r="152">
      <c r="A152" s="14" t="n">
        <v>171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NEFT-IN22610317343563-PELL TECH HEALTH CARE PRIVAT</t>
        </is>
      </c>
      <c r="H152" s="14" t="str"/>
      <c r="I152" s="14" t="inlineStr">
        <is>
          <t>Receipt</t>
        </is>
      </c>
      <c r="J152" s="39" t="n">
        <v>0</v>
      </c>
      <c r="K152" s="39" t="n">
        <v>12343</v>
      </c>
      <c r="L152" s="39" t="n">
        <v>12343</v>
      </c>
      <c r="M152" s="39" t="n">
        <v>36843</v>
      </c>
      <c r="N152" s="14" t="inlineStr">
        <is>
          <t>Recurring Transaction</t>
        </is>
      </c>
      <c r="O152" s="14" t="inlineStr">
        <is>
          <t>Yes</t>
        </is>
      </c>
      <c r="P152" s="14" t="inlineStr">
        <is>
          <t>PELL TECH HEALTH CARE PRIVAT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  <c r="AB152" s="42">
        <f>HYPERLINK("#'Transactions'!A172", "View Source Row")</f>
        <v/>
      </c>
    </row>
    <row r="153">
      <c r="A153" s="14" t="n">
        <v>172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46126</v>
      </c>
      <c r="F153" s="40" t="n">
        <v>46126</v>
      </c>
      <c r="G153" s="16" t="inlineStr">
        <is>
          <t>DIGITA-MUMBAI/ NEFT-HDFCH00932431931-KAVITA ENTERPRISES</t>
        </is>
      </c>
      <c r="H153" s="14" t="str"/>
      <c r="I153" s="14" t="inlineStr">
        <is>
          <t>Receipt</t>
        </is>
      </c>
      <c r="J153" s="39" t="n">
        <v>0</v>
      </c>
      <c r="K153" s="39" t="n">
        <v>110336</v>
      </c>
      <c r="L153" s="39" t="n">
        <v>110336</v>
      </c>
      <c r="M153" s="39" t="n">
        <v>147179</v>
      </c>
      <c r="N153" s="14" t="inlineStr">
        <is>
          <t>High Transaction; Recurring Transaction</t>
        </is>
      </c>
      <c r="O153" s="14" t="inlineStr">
        <is>
          <t>Yes</t>
        </is>
      </c>
      <c r="P153" s="14" t="inlineStr">
        <is>
          <t>KAVITA ENTERPRISES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46126</v>
      </c>
      <c r="AB153" s="42">
        <f>HYPERLINK("#'Transactions'!A173", "View Source Row")</f>
        <v/>
      </c>
    </row>
    <row r="154">
      <c r="A154" s="14" t="n">
        <v>173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46126</v>
      </c>
      <c r="F154" s="40" t="n">
        <v>46126</v>
      </c>
      <c r="G154" s="16" t="inlineStr">
        <is>
          <t>DIGITA-MUMBAI/ NEFT-YESAP61042581238-PhonePe Limited</t>
        </is>
      </c>
      <c r="H154" s="14" t="str"/>
      <c r="I154" s="14" t="inlineStr">
        <is>
          <t>Receipt</t>
        </is>
      </c>
      <c r="J154" s="39" t="n">
        <v>0</v>
      </c>
      <c r="K154" s="39" t="n">
        <v>227801</v>
      </c>
      <c r="L154" s="39" t="n">
        <v>227801</v>
      </c>
      <c r="M154" s="39" t="n">
        <v>374980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PHONEPE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46126</v>
      </c>
      <c r="AB154" s="42">
        <f>HYPERLINK("#'Transactions'!A174", "View Source Row")</f>
        <v/>
      </c>
    </row>
    <row r="155">
      <c r="A155" s="14" t="n">
        <v>174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46126</v>
      </c>
      <c r="F155" s="40" t="n">
        <v>46126</v>
      </c>
      <c r="G155" s="16" t="inlineStr">
        <is>
          <t>DIGITA-MUMBAI/ NEFT-AXNPN10404023106-PHONEPE LIMITED-PAYMENT AGGR</t>
        </is>
      </c>
      <c r="H155" s="14" t="str"/>
      <c r="I155" s="14" t="inlineStr">
        <is>
          <t>Receipt</t>
        </is>
      </c>
      <c r="J155" s="39" t="n">
        <v>0</v>
      </c>
      <c r="K155" s="39" t="n">
        <v>79141.64999999999</v>
      </c>
      <c r="L155" s="39" t="n">
        <v>79141.64999999999</v>
      </c>
      <c r="M155" s="39" t="n">
        <v>454121.65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46126</v>
      </c>
      <c r="AB155" s="42">
        <f>HYPERLINK("#'Transactions'!A175", "View Source Row")</f>
        <v/>
      </c>
    </row>
    <row r="156">
      <c r="A156" s="14" t="n">
        <v>175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46126</v>
      </c>
      <c r="F156" s="40" t="n">
        <v>46126</v>
      </c>
      <c r="G156" s="16" t="inlineStr">
        <is>
          <t>DIGITA-MUMBAI/ NEFT-AXISCN1310804202-ONE MOBIKWIK SYSTEMS LIMITED</t>
        </is>
      </c>
      <c r="H156" s="14" t="str"/>
      <c r="I156" s="14" t="inlineStr">
        <is>
          <t>Receipt</t>
        </is>
      </c>
      <c r="J156" s="39" t="n">
        <v>0</v>
      </c>
      <c r="K156" s="39" t="n">
        <v>17500</v>
      </c>
      <c r="L156" s="39" t="n">
        <v>17500</v>
      </c>
      <c r="M156" s="39" t="n">
        <v>471621.65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ONE MOBIKWIK SYSTEMS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46126</v>
      </c>
      <c r="AB156" s="42">
        <f>HYPERLINK("#'Transactions'!A176", "View Source Row")</f>
        <v/>
      </c>
    </row>
    <row r="157">
      <c r="A157" s="14" t="n">
        <v>176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46126</v>
      </c>
      <c r="F157" s="40" t="n">
        <v>46126</v>
      </c>
      <c r="G157" s="16" t="inlineStr">
        <is>
          <t>EBANK:WIB/1503 EBANK:WIB/1503879023/Edfs</t>
        </is>
      </c>
      <c r="H157" s="14" t="str"/>
      <c r="I157" s="14" t="inlineStr">
        <is>
          <t>Payment</t>
        </is>
      </c>
      <c r="J157" s="39" t="n">
        <v>421121.65</v>
      </c>
      <c r="K157" s="39" t="n">
        <v>0</v>
      </c>
      <c r="L157" s="39" t="n">
        <v>421121.65</v>
      </c>
      <c r="M157" s="39" t="n">
        <v>50500</v>
      </c>
      <c r="N157" s="14" t="inlineStr">
        <is>
          <t>High Transaction; Recurring Transaction</t>
        </is>
      </c>
      <c r="O157" s="14" t="inlineStr">
        <is>
          <t>Yes</t>
        </is>
      </c>
      <c r="P157" s="14" t="inlineStr">
        <is>
          <t>EBANKWIB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46126</v>
      </c>
      <c r="AB157" s="42">
        <f>HYPERLINK("#'Transactions'!A177", "View Source Row")</f>
        <v/>
      </c>
    </row>
    <row r="158">
      <c r="A158" s="14" t="n">
        <v>177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46126</v>
      </c>
      <c r="F158" s="40" t="n">
        <v>46126</v>
      </c>
      <c r="G158" s="16" t="inlineStr">
        <is>
          <t>EBANK:15038806 EBANK:1503880651/MSEDCL-LT Post Paid Energy Bill/</t>
        </is>
      </c>
      <c r="H158" s="14" t="str"/>
      <c r="I158" s="14" t="inlineStr">
        <is>
          <t>Payment</t>
        </is>
      </c>
      <c r="J158" s="39" t="n">
        <v>1950</v>
      </c>
      <c r="K158" s="39" t="n">
        <v>0</v>
      </c>
      <c r="L158" s="39" t="n">
        <v>1950</v>
      </c>
      <c r="M158" s="39" t="n">
        <v>48550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46126</v>
      </c>
      <c r="AB158" s="42">
        <f>HYPERLINK("#'Transactions'!A178", "View Source Row")</f>
        <v/>
      </c>
    </row>
    <row r="159">
      <c r="A159" s="14" t="n">
        <v>178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46126</v>
      </c>
      <c r="F159" s="40" t="n">
        <v>46126</v>
      </c>
      <c r="G159" s="16" t="inlineStr">
        <is>
          <t>DIGITA-MUMBAI/ NEFT-AXISCN1310872121-PINE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181645</v>
      </c>
      <c r="L159" s="39" t="n">
        <v>181645</v>
      </c>
      <c r="M159" s="39" t="n">
        <v>230195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46126</v>
      </c>
      <c r="AB159" s="42">
        <f>HYPERLINK("#'Transactions'!A179", "View Source Row")</f>
        <v/>
      </c>
    </row>
    <row r="160">
      <c r="A160" s="14" t="n">
        <v>179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46126</v>
      </c>
      <c r="F160" s="40" t="n">
        <v>46126</v>
      </c>
      <c r="G160" s="16" t="inlineStr">
        <is>
          <t>DIGITA-MUMBAI/ NEFT-IDIBH10438167138-JAI AMBE TRANSPORT</t>
        </is>
      </c>
      <c r="H160" s="14" t="str"/>
      <c r="I160" s="14" t="inlineStr">
        <is>
          <t>Receipt</t>
        </is>
      </c>
      <c r="J160" s="39" t="n">
        <v>0</v>
      </c>
      <c r="K160" s="39" t="n">
        <v>3660</v>
      </c>
      <c r="L160" s="39" t="n">
        <v>3660</v>
      </c>
      <c r="M160" s="39" t="n">
        <v>233855</v>
      </c>
      <c r="N160" s="14" t="inlineStr">
        <is>
          <t>Recurring Transaction</t>
        </is>
      </c>
      <c r="O160" s="14" t="inlineStr">
        <is>
          <t>Yes</t>
        </is>
      </c>
      <c r="P160" s="14" t="inlineStr">
        <is>
          <t>JAI AMBE TRANSPORT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46126</v>
      </c>
      <c r="AB160" s="42">
        <f>HYPERLINK("#'Transactions'!A180", "View Source Row")</f>
        <v/>
      </c>
    </row>
    <row r="161">
      <c r="A161" s="14" t="n">
        <v>180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46126</v>
      </c>
      <c r="F161" s="40" t="n">
        <v>46126</v>
      </c>
      <c r="G161" s="16" t="inlineStr">
        <is>
          <t>DIGITA-MUMBAI/ NEFT-KKBKH26104944678-ATLAS COMMODITIES PRIVATE LI</t>
        </is>
      </c>
      <c r="H161" s="14" t="str"/>
      <c r="I161" s="14" t="inlineStr">
        <is>
          <t>Receipt</t>
        </is>
      </c>
      <c r="J161" s="39" t="n">
        <v>0</v>
      </c>
      <c r="K161" s="39" t="n">
        <v>8470</v>
      </c>
      <c r="L161" s="39" t="n">
        <v>8470</v>
      </c>
      <c r="M161" s="39" t="n">
        <v>242325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ATLAS COMMODITIES PRIVATE LI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46126</v>
      </c>
      <c r="AB161" s="42">
        <f>HYPERLINK("#'Transactions'!A181", "View Source Row")</f>
        <v/>
      </c>
    </row>
    <row r="162">
      <c r="A162" s="14" t="n">
        <v>181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46126</v>
      </c>
      <c r="F162" s="40" t="n">
        <v>46126</v>
      </c>
      <c r="G162" s="16" t="inlineStr">
        <is>
          <t>EBANK:WIB/1504 EBANK:WIB/1504010401/Edfs</t>
        </is>
      </c>
      <c r="H162" s="14" t="str"/>
      <c r="I162" s="14" t="inlineStr">
        <is>
          <t>Payment</t>
        </is>
      </c>
      <c r="J162" s="39" t="n">
        <v>240000</v>
      </c>
      <c r="K162" s="39" t="n">
        <v>0</v>
      </c>
      <c r="L162" s="39" t="n">
        <v>240000</v>
      </c>
      <c r="M162" s="39" t="n">
        <v>2325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EBANKWIB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46126</v>
      </c>
      <c r="AB162" s="42">
        <f>HYPERLINK("#'Transactions'!A182", "View Source Row")</f>
        <v/>
      </c>
    </row>
    <row r="163">
      <c r="A163" s="14" t="n">
        <v>182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46127</v>
      </c>
      <c r="F163" s="40" t="n">
        <v>46127</v>
      </c>
      <c r="G163" s="16" t="inlineStr">
        <is>
          <t>DIGITA-MUMBAI/ NEFT-YESAP61053875611-PhonePe Limited</t>
        </is>
      </c>
      <c r="H163" s="14" t="str"/>
      <c r="I163" s="14" t="inlineStr">
        <is>
          <t>Receipt</t>
        </is>
      </c>
      <c r="J163" s="39" t="n">
        <v>0</v>
      </c>
      <c r="K163" s="39" t="n">
        <v>289276.57</v>
      </c>
      <c r="L163" s="39" t="n">
        <v>289276.57</v>
      </c>
      <c r="M163" s="39" t="n">
        <v>291601.57</v>
      </c>
      <c r="N163" s="14" t="inlineStr">
        <is>
          <t>High Transaction; Recurring Transaction</t>
        </is>
      </c>
      <c r="O163" s="14" t="inlineStr">
        <is>
          <t>Yes</t>
        </is>
      </c>
      <c r="P163" s="14" t="inlineStr">
        <is>
          <t>PHONEPE LIMITED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1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46127</v>
      </c>
      <c r="AB163" s="42">
        <f>HYPERLINK("#'Transactions'!A183", "View Source Row")</f>
        <v/>
      </c>
    </row>
    <row r="164">
      <c r="A164" s="14" t="n">
        <v>183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46127</v>
      </c>
      <c r="F164" s="40" t="n">
        <v>46127</v>
      </c>
      <c r="G164" s="16" t="inlineStr">
        <is>
          <t>DIGITA-MUMBAI/ NEFT-AXNPN10512169091-PHONEPE LIMITED-PAYMENT AGGR</t>
        </is>
      </c>
      <c r="H164" s="14" t="str"/>
      <c r="I164" s="14" t="inlineStr">
        <is>
          <t>Receipt</t>
        </is>
      </c>
      <c r="J164" s="39" t="n">
        <v>0</v>
      </c>
      <c r="K164" s="39" t="n">
        <v>106410</v>
      </c>
      <c r="L164" s="39" t="n">
        <v>106410</v>
      </c>
      <c r="M164" s="39" t="n">
        <v>398011.57</v>
      </c>
      <c r="N164" s="14" t="inlineStr">
        <is>
          <t>High Transaction; Recurring Transaction</t>
        </is>
      </c>
      <c r="O164" s="14" t="inlineStr">
        <is>
          <t>Yes</t>
        </is>
      </c>
      <c r="P164" s="14" t="inlineStr">
        <is>
          <t>PHONEPE LIMITED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1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46127</v>
      </c>
      <c r="AB164" s="42">
        <f>HYPERLINK("#'Transactions'!A184", "View Source Row")</f>
        <v/>
      </c>
    </row>
    <row r="165">
      <c r="A165" s="14" t="n">
        <v>184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46127</v>
      </c>
      <c r="F165" s="40" t="n">
        <v>46127</v>
      </c>
      <c r="G165" s="16" t="inlineStr">
        <is>
          <t>DIGITA-MUMBAI/ NEFT-AXISCN1311551702-ONE MOBIKWIK SYSTEMS LIMITED</t>
        </is>
      </c>
      <c r="H165" s="14" t="str"/>
      <c r="I165" s="14" t="inlineStr">
        <is>
          <t>Receipt</t>
        </is>
      </c>
      <c r="J165" s="39" t="n">
        <v>0</v>
      </c>
      <c r="K165" s="39" t="n">
        <v>13630</v>
      </c>
      <c r="L165" s="39" t="n">
        <v>13630</v>
      </c>
      <c r="M165" s="39" t="n">
        <v>411641.57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ONE MOBIKWIK SYSTEMS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46127</v>
      </c>
      <c r="AB165" s="42">
        <f>HYPERLINK("#'Transactions'!A185", "View Source Row")</f>
        <v/>
      </c>
    </row>
    <row r="166">
      <c r="A166" s="14" t="n">
        <v>185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46127</v>
      </c>
      <c r="F166" s="40" t="n">
        <v>46127</v>
      </c>
      <c r="G16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66" s="14" t="str"/>
      <c r="I166" s="14" t="inlineStr">
        <is>
          <t>Payment</t>
        </is>
      </c>
      <c r="J166" s="39" t="n">
        <v>401141.57</v>
      </c>
      <c r="K166" s="39" t="n">
        <v>0</v>
      </c>
      <c r="L166" s="39" t="n">
        <v>401141.57</v>
      </c>
      <c r="M166" s="39" t="n">
        <v>10500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46127</v>
      </c>
      <c r="AB166" s="42">
        <f>HYPERLINK("#'Transactions'!A186", "View Source Row")</f>
        <v/>
      </c>
    </row>
    <row r="167">
      <c r="A167" s="14" t="n">
        <v>186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46127</v>
      </c>
      <c r="F167" s="40" t="n">
        <v>46127</v>
      </c>
      <c r="G167" s="16" t="inlineStr">
        <is>
          <t>DIGITA-MUMBAI/ NEFT-AXISCN1311689812-PINE LABS PRIVATE LIMITED-NO</t>
        </is>
      </c>
      <c r="H167" s="14" t="str"/>
      <c r="I167" s="14" t="inlineStr">
        <is>
          <t>Receipt</t>
        </is>
      </c>
      <c r="J167" s="39" t="n">
        <v>0</v>
      </c>
      <c r="K167" s="39" t="n">
        <v>56935</v>
      </c>
      <c r="L167" s="39" t="n">
        <v>56935</v>
      </c>
      <c r="M167" s="39" t="n">
        <v>67435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PINE LABS PRIVATE LIMITED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46127</v>
      </c>
      <c r="AB167" s="42">
        <f>HYPERLINK("#'Transactions'!A187", "View Source Row")</f>
        <v/>
      </c>
    </row>
    <row r="168">
      <c r="A168" s="14" t="n">
        <v>187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46127</v>
      </c>
      <c r="F168" s="40" t="n">
        <v>46127</v>
      </c>
      <c r="G168" s="16" t="inlineStr">
        <is>
          <t>DIGITA-MUMBAI/ Dep-NEFT-IN42610556923441-JERAI FITNESS LIMITED</t>
        </is>
      </c>
      <c r="H168" s="14" t="str"/>
      <c r="I168" s="14" t="inlineStr">
        <is>
          <t>Receipt</t>
        </is>
      </c>
      <c r="J168" s="39" t="n">
        <v>0</v>
      </c>
      <c r="K168" s="39" t="n">
        <v>18357.8</v>
      </c>
      <c r="L168" s="39" t="n">
        <v>18357.8</v>
      </c>
      <c r="M168" s="39" t="n">
        <v>85792.8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JERAI FITNESS LIMITED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46127</v>
      </c>
      <c r="AB168" s="42">
        <f>HYPERLINK("#'Transactions'!A188", "View Source Row")</f>
        <v/>
      </c>
    </row>
    <row r="169">
      <c r="A169" s="14" t="n">
        <v>188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46127</v>
      </c>
      <c r="F169" s="40" t="n">
        <v>46127</v>
      </c>
      <c r="G169" s="16" t="inlineStr">
        <is>
          <t>DIGITA-MUMBAI/ NEFT-KKBKH26105643449-VENKTESHWAR INDUSTRIAL CORPO</t>
        </is>
      </c>
      <c r="H169" s="14" t="str"/>
      <c r="I169" s="14" t="inlineStr">
        <is>
          <t>Receipt</t>
        </is>
      </c>
      <c r="J169" s="39" t="n">
        <v>0</v>
      </c>
      <c r="K169" s="39" t="n">
        <v>28088</v>
      </c>
      <c r="L169" s="39" t="n">
        <v>28088</v>
      </c>
      <c r="M169" s="39" t="n">
        <v>113880.8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VENKTESHWAR INDUSTRIAL CORPO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46127</v>
      </c>
      <c r="AB169" s="42">
        <f>HYPERLINK("#'Transactions'!A189", "View Source Row")</f>
        <v/>
      </c>
    </row>
    <row r="170">
      <c r="A170" s="14" t="n">
        <v>189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46127</v>
      </c>
      <c r="F170" s="40" t="n">
        <v>46127</v>
      </c>
      <c r="G170" s="16" t="inlineStr">
        <is>
          <t>DIGITA-MUMBAI/ NEFT-IN42610557031748-MITA FASTENERS PRIVATE LIMIT</t>
        </is>
      </c>
      <c r="H170" s="14" t="str"/>
      <c r="I170" s="14" t="inlineStr">
        <is>
          <t>Receipt</t>
        </is>
      </c>
      <c r="J170" s="39" t="n">
        <v>0</v>
      </c>
      <c r="K170" s="39" t="n">
        <v>9044</v>
      </c>
      <c r="L170" s="39" t="n">
        <v>9044</v>
      </c>
      <c r="M170" s="39" t="n">
        <v>122924.8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MITA FASTENERS PRIVATE LIMIT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46127</v>
      </c>
      <c r="AB170" s="42">
        <f>HYPERLINK("#'Transactions'!A190", "View Source Row")</f>
        <v/>
      </c>
    </row>
    <row r="171">
      <c r="A171" s="14" t="n">
        <v>190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46127</v>
      </c>
      <c r="F171" s="40" t="n">
        <v>46127</v>
      </c>
      <c r="G171" s="16" t="inlineStr">
        <is>
          <t>DIGITA-MUMBAI/ NEFT-HDFCH00934703842-QUEST ENTERPRISES PVT LTD</t>
        </is>
      </c>
      <c r="H171" s="14" t="str"/>
      <c r="I171" s="14" t="inlineStr">
        <is>
          <t>Receipt</t>
        </is>
      </c>
      <c r="J171" s="39" t="n">
        <v>0</v>
      </c>
      <c r="K171" s="39" t="n">
        <v>5000</v>
      </c>
      <c r="L171" s="39" t="n">
        <v>5000</v>
      </c>
      <c r="M171" s="39" t="n">
        <v>127924.8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QUEST ENTERPRISES PVT LTD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46127</v>
      </c>
      <c r="AB171" s="42">
        <f>HYPERLINK("#'Transactions'!A191", "View Source Row")</f>
        <v/>
      </c>
    </row>
    <row r="172">
      <c r="A172" s="14" t="n">
        <v>191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46127</v>
      </c>
      <c r="F172" s="40" t="n">
        <v>46127</v>
      </c>
      <c r="G172" s="16" t="inlineStr">
        <is>
          <t>EBANK:WIB/1504 EBANK:WIB/1504096201/Edfs</t>
        </is>
      </c>
      <c r="H172" s="14" t="str"/>
      <c r="I172" s="14" t="inlineStr">
        <is>
          <t>Payment</t>
        </is>
      </c>
      <c r="J172" s="39" t="n">
        <v>125424</v>
      </c>
      <c r="K172" s="39" t="n">
        <v>0</v>
      </c>
      <c r="L172" s="39" t="n">
        <v>125424</v>
      </c>
      <c r="M172" s="39" t="n">
        <v>2500.8</v>
      </c>
      <c r="N172" s="14" t="inlineStr">
        <is>
          <t>High Transaction; Recurring Transaction</t>
        </is>
      </c>
      <c r="O172" s="14" t="inlineStr">
        <is>
          <t>Yes</t>
        </is>
      </c>
      <c r="P172" s="14" t="inlineStr">
        <is>
          <t>EBANKWIB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1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46127</v>
      </c>
      <c r="AB172" s="42">
        <f>HYPERLINK("#'Transactions'!A192", "View Source Row")</f>
        <v/>
      </c>
    </row>
    <row r="173">
      <c r="A173" s="14" t="n">
        <v>192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46127</v>
      </c>
      <c r="F173" s="40" t="n">
        <v>46127</v>
      </c>
      <c r="G173" s="16" t="inlineStr">
        <is>
          <t>DIGITA-MUMBAI/ NEFT-NKGSH26105037900-GEBI PRODUCTS PRIVATE LIMITE</t>
        </is>
      </c>
      <c r="H173" s="14" t="str"/>
      <c r="I173" s="14" t="inlineStr">
        <is>
          <t>Receipt</t>
        </is>
      </c>
      <c r="J173" s="39" t="n">
        <v>0</v>
      </c>
      <c r="K173" s="39" t="n">
        <v>10119</v>
      </c>
      <c r="L173" s="39" t="n">
        <v>10119</v>
      </c>
      <c r="M173" s="39" t="n">
        <v>12619.8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GEBI PRODUCTS PRIVATE LIMITE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46127</v>
      </c>
      <c r="AB173" s="42">
        <f>HYPERLINK("#'Transactions'!A193", "View Source Row")</f>
        <v/>
      </c>
    </row>
    <row r="174">
      <c r="A174" s="14" t="n">
        <v>193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46127</v>
      </c>
      <c r="F174" s="40" t="n">
        <v>46127</v>
      </c>
      <c r="G174" s="16" t="inlineStr">
        <is>
          <t>UPI/5133890676 89067648 UPI/513389067648/17:04:34/UPI/surajdhanotra1@ibl/</t>
        </is>
      </c>
      <c r="H174" s="14" t="str"/>
      <c r="I174" s="14" t="inlineStr">
        <is>
          <t>Receipt</t>
        </is>
      </c>
      <c r="J174" s="39" t="n">
        <v>0</v>
      </c>
      <c r="K174" s="39" t="n">
        <v>3617</v>
      </c>
      <c r="L174" s="39" t="n">
        <v>3617</v>
      </c>
      <c r="M174" s="39" t="n">
        <v>16236.8</v>
      </c>
      <c r="N174" s="14" t="inlineStr">
        <is>
          <t>UPI; Recurring Transaction</t>
        </is>
      </c>
      <c r="O174" s="14" t="inlineStr">
        <is>
          <t>Yes</t>
        </is>
      </c>
      <c r="P174" s="14" t="inlineStr">
        <is>
          <t>SURAJDHANOTRAIBL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46127</v>
      </c>
      <c r="AB174" s="42">
        <f>HYPERLINK("#'Transactions'!A194", "View Source Row")</f>
        <v/>
      </c>
    </row>
    <row r="175">
      <c r="A175" s="14" t="n">
        <v>194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46127</v>
      </c>
      <c r="F175" s="40" t="n">
        <v>46127</v>
      </c>
      <c r="G175" s="16" t="inlineStr">
        <is>
          <t>EBANK:WIB/1504 EBANK:WIB/1504156827/Edfs</t>
        </is>
      </c>
      <c r="H175" s="14" t="str"/>
      <c r="I175" s="14" t="inlineStr">
        <is>
          <t>Payment</t>
        </is>
      </c>
      <c r="J175" s="39" t="n">
        <v>13736</v>
      </c>
      <c r="K175" s="39" t="n">
        <v>0</v>
      </c>
      <c r="L175" s="39" t="n">
        <v>13736</v>
      </c>
      <c r="M175" s="39" t="n">
        <v>2500.8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EBANKWIB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46127</v>
      </c>
      <c r="AB175" s="42">
        <f>HYPERLINK("#'Transactions'!A195", "View Source Row")</f>
        <v/>
      </c>
    </row>
    <row r="176">
      <c r="A176" s="14" t="n">
        <v>195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46127</v>
      </c>
      <c r="F176" s="40" t="n">
        <v>46127</v>
      </c>
      <c r="G176" s="16" t="inlineStr">
        <is>
          <t>DIGITA-MUMBAI/ IMPS/P2A/610519636341/VAKAS TEMPO SER/IMPSCNB9199</t>
        </is>
      </c>
      <c r="H176" s="14" t="str"/>
      <c r="I176" s="14" t="inlineStr">
        <is>
          <t>Receipt</t>
        </is>
      </c>
      <c r="J176" s="39" t="n">
        <v>0</v>
      </c>
      <c r="K176" s="39" t="n">
        <v>28766</v>
      </c>
      <c r="L176" s="39" t="n">
        <v>28766</v>
      </c>
      <c r="M176" s="39" t="n">
        <v>31266.8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VAKAS TEMPO SER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46127</v>
      </c>
      <c r="AB176" s="42">
        <f>HYPERLINK("#'Transactions'!A196", "View Source Row")</f>
        <v/>
      </c>
    </row>
    <row r="177">
      <c r="A177" s="14" t="n">
        <v>196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46127</v>
      </c>
      <c r="F177" s="40" t="n">
        <v>46127</v>
      </c>
      <c r="G177" s="16" t="inlineStr">
        <is>
          <t>DIGITA-MUMBAI/ IMPS/P2A/610519636774/VAKAS TEMPO SER/IMPSCNB9199</t>
        </is>
      </c>
      <c r="H177" s="14" t="str"/>
      <c r="I177" s="14" t="inlineStr">
        <is>
          <t>Receipt</t>
        </is>
      </c>
      <c r="J177" s="39" t="n">
        <v>0</v>
      </c>
      <c r="K177" s="39" t="n">
        <v>25486</v>
      </c>
      <c r="L177" s="39" t="n">
        <v>25486</v>
      </c>
      <c r="M177" s="39" t="n">
        <v>56752.8</v>
      </c>
      <c r="N177" s="14" t="inlineStr">
        <is>
          <t>Recurring Transaction</t>
        </is>
      </c>
      <c r="O177" s="14" t="inlineStr">
        <is>
          <t>Yes</t>
        </is>
      </c>
      <c r="P177" s="14" t="inlineStr">
        <is>
          <t>VAKAS TEMPO SER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46127</v>
      </c>
      <c r="AB177" s="42">
        <f>HYPERLINK("#'Transactions'!A197", "View Source Row")</f>
        <v/>
      </c>
    </row>
    <row r="178">
      <c r="A178" s="14" t="n">
        <v>197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46127</v>
      </c>
      <c r="F178" s="40" t="n">
        <v>46127</v>
      </c>
      <c r="G178" s="16" t="inlineStr">
        <is>
          <t>EBANK:WIB/1504 EBANK:WIB/1504160264/Edfs</t>
        </is>
      </c>
      <c r="H178" s="14" t="str"/>
      <c r="I178" s="14" t="inlineStr">
        <is>
          <t>Payment</t>
        </is>
      </c>
      <c r="J178" s="39" t="n">
        <v>54252.8</v>
      </c>
      <c r="K178" s="39" t="n">
        <v>0</v>
      </c>
      <c r="L178" s="39" t="n">
        <v>54252.8</v>
      </c>
      <c r="M178" s="39" t="n">
        <v>2500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EBANKWIB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46127</v>
      </c>
      <c r="AB178" s="42">
        <f>HYPERLINK("#'Transactions'!A198", "View Source Row")</f>
        <v/>
      </c>
    </row>
    <row r="179">
      <c r="A179" s="14" t="n">
        <v>198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46127</v>
      </c>
      <c r="F179" s="40" t="n">
        <v>46127</v>
      </c>
      <c r="G179" s="16" t="inlineStr">
        <is>
          <t>DIGITA-MUMBAI/ NEFT-IN42610557385883-VINAYAK OIL INDUSTRIES</t>
        </is>
      </c>
      <c r="H179" s="14" t="str"/>
      <c r="I179" s="14" t="inlineStr">
        <is>
          <t>Receipt</t>
        </is>
      </c>
      <c r="J179" s="39" t="n">
        <v>0</v>
      </c>
      <c r="K179" s="39" t="n">
        <v>44496</v>
      </c>
      <c r="L179" s="39" t="n">
        <v>44496</v>
      </c>
      <c r="M179" s="39" t="n">
        <v>46996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VINAYAK OIL INDUSTRIES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46127</v>
      </c>
      <c r="AB179" s="42">
        <f>HYPERLINK("#'Transactions'!A199", "View Source Row")</f>
        <v/>
      </c>
    </row>
    <row r="180">
      <c r="A180" s="14" t="n">
        <v>199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46127</v>
      </c>
      <c r="F180" s="40" t="n">
        <v>46127</v>
      </c>
      <c r="G180" s="16" t="inlineStr">
        <is>
          <t>EBANK:WIB/1504 EBANK:WIB/1504165308/Edfs</t>
        </is>
      </c>
      <c r="H180" s="14" t="str"/>
      <c r="I180" s="14" t="inlineStr">
        <is>
          <t>Payment</t>
        </is>
      </c>
      <c r="J180" s="39" t="n">
        <v>44496</v>
      </c>
      <c r="K180" s="39" t="n">
        <v>0</v>
      </c>
      <c r="L180" s="39" t="n">
        <v>44496</v>
      </c>
      <c r="M180" s="39" t="n">
        <v>2500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46127</v>
      </c>
      <c r="AB180" s="42">
        <f>HYPERLINK("#'Transactions'!A200", "View Source Row")</f>
        <v/>
      </c>
    </row>
    <row r="181">
      <c r="A181" s="14" t="n">
        <v>200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46128</v>
      </c>
      <c r="F181" s="40" t="n">
        <v>46128</v>
      </c>
      <c r="G18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181" s="14" t="str"/>
      <c r="I181" s="14" t="inlineStr">
        <is>
          <t>Receipt</t>
        </is>
      </c>
      <c r="J181" s="39" t="n">
        <v>0</v>
      </c>
      <c r="K181" s="39" t="n">
        <v>239756</v>
      </c>
      <c r="L181" s="39" t="n">
        <v>239756</v>
      </c>
      <c r="M181" s="39" t="n">
        <v>242256</v>
      </c>
      <c r="N181" s="14" t="inlineStr">
        <is>
          <t>High Transaction; Recurring Transaction</t>
        </is>
      </c>
      <c r="O181" s="14" t="inlineStr">
        <is>
          <t>Yes</t>
        </is>
      </c>
      <c r="P181" s="14" t="inlineStr">
        <is>
          <t>PHONEPE LIMITED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1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46128</v>
      </c>
      <c r="AB181" s="42">
        <f>HYPERLINK("#'Transactions'!A201", "View Source Row")</f>
        <v/>
      </c>
    </row>
    <row r="182">
      <c r="A182" s="14" t="n">
        <v>201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46128</v>
      </c>
      <c r="F182" s="40" t="n">
        <v>46128</v>
      </c>
      <c r="G182" s="16" t="inlineStr">
        <is>
          <t>DIGITA-MUMBAI/ NEFT-AXNPN10621015464-PHONEPE LIMITED-PAYMENT AGGR</t>
        </is>
      </c>
      <c r="H182" s="14" t="str"/>
      <c r="I182" s="14" t="inlineStr">
        <is>
          <t>Receipt</t>
        </is>
      </c>
      <c r="J182" s="39" t="n">
        <v>0</v>
      </c>
      <c r="K182" s="39" t="n">
        <v>74560.78</v>
      </c>
      <c r="L182" s="39" t="n">
        <v>74560.78</v>
      </c>
      <c r="M182" s="39" t="n">
        <v>316816.78</v>
      </c>
      <c r="N182" s="14" t="inlineStr">
        <is>
          <t>Recurring Transaction</t>
        </is>
      </c>
      <c r="O182" s="14" t="inlineStr">
        <is>
          <t>Yes</t>
        </is>
      </c>
      <c r="P182" s="14" t="inlineStr">
        <is>
          <t>PHONEPE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46128</v>
      </c>
      <c r="AB182" s="42">
        <f>HYPERLINK("#'Transactions'!A202", "View Source Row")</f>
        <v/>
      </c>
    </row>
    <row r="183">
      <c r="A183" s="14" t="n">
        <v>202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46128</v>
      </c>
      <c r="F183" s="40" t="n">
        <v>46128</v>
      </c>
      <c r="G183" s="16" t="inlineStr">
        <is>
          <t>DIGITA-MUMBAI/ NEFT-AXISCN1312951656-ONE MOBIKWIK SYSTEMS LIMITED</t>
        </is>
      </c>
      <c r="H183" s="14" t="str"/>
      <c r="I183" s="14" t="inlineStr">
        <is>
          <t>Receipt</t>
        </is>
      </c>
      <c r="J183" s="39" t="n">
        <v>0</v>
      </c>
      <c r="K183" s="39" t="n">
        <v>1700</v>
      </c>
      <c r="L183" s="39" t="n">
        <v>1700</v>
      </c>
      <c r="M183" s="39" t="n">
        <v>318516.78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ONE MOBIKWIK SYSTEMS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46128</v>
      </c>
      <c r="AB183" s="42">
        <f>HYPERLINK("#'Transactions'!A203", "View Source Row")</f>
        <v/>
      </c>
    </row>
    <row r="184">
      <c r="A184" s="14" t="n">
        <v>203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46128</v>
      </c>
      <c r="F184" s="40" t="n">
        <v>46128</v>
      </c>
      <c r="G184" s="16" t="inlineStr">
        <is>
          <t>DIGITA-MUMBAI/ NEFT-AXISCN1312996692-PINE LABS PRIVATE LIMITED-NO</t>
        </is>
      </c>
      <c r="H184" s="14" t="str"/>
      <c r="I184" s="14" t="inlineStr">
        <is>
          <t>Receipt</t>
        </is>
      </c>
      <c r="J184" s="39" t="n">
        <v>0</v>
      </c>
      <c r="K184" s="39" t="n">
        <v>250421</v>
      </c>
      <c r="L184" s="39" t="n">
        <v>250421</v>
      </c>
      <c r="M184" s="39" t="n">
        <v>568937.78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PINE LABS PRIVATE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46128</v>
      </c>
      <c r="AB184" s="42">
        <f>HYPERLINK("#'Transactions'!A204", "View Source Row")</f>
        <v/>
      </c>
    </row>
    <row r="185">
      <c r="A185" s="14" t="n">
        <v>206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46128</v>
      </c>
      <c r="F185" s="40" t="n">
        <v>46128</v>
      </c>
      <c r="G185" s="16" t="inlineStr">
        <is>
          <t>DIGITA-MUMBAI/ https://cbdrpt101.bankofbaroda.co.in:22000/finbranch/arjspmorph/INFENG/tran_rpt.jsp?... 04-05-2026 NEFT-NKGSH26106053406-GEBI PRODUCTS PRIVATE LIMITE</t>
        </is>
      </c>
      <c r="H185" s="14" t="str"/>
      <c r="I185" s="14" t="inlineStr">
        <is>
          <t>Receipt</t>
        </is>
      </c>
      <c r="J185" s="39" t="n">
        <v>0</v>
      </c>
      <c r="K185" s="39" t="n">
        <v>2407</v>
      </c>
      <c r="L185" s="39" t="n">
        <v>2407</v>
      </c>
      <c r="M185" s="39" t="n">
        <v>837365.78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CBDRPTBANKOFBARODACOIN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46128</v>
      </c>
      <c r="AB185" s="42">
        <f>HYPERLINK("#'Transactions'!A207", "View Source Row")</f>
        <v/>
      </c>
    </row>
    <row r="186">
      <c r="A186" s="14" t="n">
        <v>207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46128</v>
      </c>
      <c r="F186" s="40" t="n">
        <v>46128</v>
      </c>
      <c r="G186" s="16" t="inlineStr">
        <is>
          <t>DIGITA-MUMBAI/ IMPS/P2A/610615582026/SHREE GANESH EN/dieselVVS91</t>
        </is>
      </c>
      <c r="H186" s="14" t="str"/>
      <c r="I186" s="14" t="inlineStr">
        <is>
          <t>Receipt</t>
        </is>
      </c>
      <c r="J186" s="39" t="n">
        <v>0</v>
      </c>
      <c r="K186" s="39" t="n">
        <v>63308</v>
      </c>
      <c r="L186" s="39" t="n">
        <v>63308</v>
      </c>
      <c r="M186" s="39" t="n">
        <v>900673.78</v>
      </c>
      <c r="N186" s="14" t="inlineStr">
        <is>
          <t>Recurring Transaction</t>
        </is>
      </c>
      <c r="O186" s="14" t="inlineStr">
        <is>
          <t>Yes</t>
        </is>
      </c>
      <c r="P186" s="14" t="inlineStr">
        <is>
          <t>SHREE GANESH EN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46128</v>
      </c>
      <c r="AB186" s="42">
        <f>HYPERLINK("#'Transactions'!A208", "View Source Row")</f>
        <v/>
      </c>
    </row>
    <row r="187">
      <c r="A187" s="14" t="n">
        <v>208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46128</v>
      </c>
      <c r="F187" s="40" t="n">
        <v>46128</v>
      </c>
      <c r="G187" s="16" t="inlineStr">
        <is>
          <t>EBANK:WIB/1504 EBANK:WIB/1504268202/Edfs</t>
        </is>
      </c>
      <c r="H187" s="14" t="str"/>
      <c r="I187" s="14" t="inlineStr">
        <is>
          <t>Payment</t>
        </is>
      </c>
      <c r="J187" s="39" t="n">
        <v>898173.78</v>
      </c>
      <c r="K187" s="39" t="n">
        <v>0</v>
      </c>
      <c r="L187" s="39" t="n">
        <v>898173.78</v>
      </c>
      <c r="M187" s="39" t="n">
        <v>2500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EBANKWIB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46128</v>
      </c>
      <c r="AB187" s="42">
        <f>HYPERLINK("#'Transactions'!A209", "View Source Row")</f>
        <v/>
      </c>
    </row>
    <row r="188">
      <c r="A188" s="14" t="n">
        <v>209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46128</v>
      </c>
      <c r="F188" s="40" t="n">
        <v>46128</v>
      </c>
      <c r="G188" s="16" t="inlineStr">
        <is>
          <t>DIGITA-MUMBAI/ NEFT-HDFCH00937546897-KUNDAN QUARRY</t>
        </is>
      </c>
      <c r="H188" s="14" t="str"/>
      <c r="I188" s="14" t="inlineStr">
        <is>
          <t>Receipt</t>
        </is>
      </c>
      <c r="J188" s="39" t="n">
        <v>0</v>
      </c>
      <c r="K188" s="39" t="n">
        <v>6250</v>
      </c>
      <c r="L188" s="39" t="n">
        <v>6250</v>
      </c>
      <c r="M188" s="39" t="n">
        <v>8750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KUNDAN QUARRY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46128</v>
      </c>
      <c r="AB188" s="42">
        <f>HYPERLINK("#'Transactions'!A210", "View Source Row")</f>
        <v/>
      </c>
    </row>
    <row r="189">
      <c r="A189" s="14" t="n">
        <v>210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46129</v>
      </c>
      <c r="F189" s="40" t="n">
        <v>46129</v>
      </c>
      <c r="G189" s="16" t="inlineStr">
        <is>
          <t>DIGITA-MUMBAI/ NEFT-YESAP61072570192-PhonePe Limited</t>
        </is>
      </c>
      <c r="H189" s="14" t="str"/>
      <c r="I189" s="14" t="inlineStr">
        <is>
          <t>Receipt</t>
        </is>
      </c>
      <c r="J189" s="39" t="n">
        <v>0</v>
      </c>
      <c r="K189" s="39" t="n">
        <v>249326.76</v>
      </c>
      <c r="L189" s="39" t="n">
        <v>249326.76</v>
      </c>
      <c r="M189" s="39" t="n">
        <v>258076.76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PHONEPE LIMITED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46129</v>
      </c>
      <c r="AB189" s="42">
        <f>HYPERLINK("#'Transactions'!A211", "View Source Row")</f>
        <v/>
      </c>
    </row>
    <row r="190">
      <c r="A190" s="14" t="n">
        <v>211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46129</v>
      </c>
      <c r="F190" s="40" t="n">
        <v>46129</v>
      </c>
      <c r="G190" s="16" t="inlineStr">
        <is>
          <t>DIGITA-MUMBAI/ NEFT-AXNPN10729450166-PHONEPE LIMITED-PAYMENT AGGR</t>
        </is>
      </c>
      <c r="H190" s="14" t="str"/>
      <c r="I190" s="14" t="inlineStr">
        <is>
          <t>Receipt</t>
        </is>
      </c>
      <c r="J190" s="39" t="n">
        <v>0</v>
      </c>
      <c r="K190" s="39" t="n">
        <v>72938</v>
      </c>
      <c r="L190" s="39" t="n">
        <v>72938</v>
      </c>
      <c r="M190" s="39" t="n">
        <v>331014.76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PHONEPE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46129</v>
      </c>
      <c r="AB190" s="42">
        <f>HYPERLINK("#'Transactions'!A212", "View Source Row")</f>
        <v/>
      </c>
    </row>
    <row r="191">
      <c r="A191" s="14" t="n">
        <v>212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46129</v>
      </c>
      <c r="F191" s="40" t="n">
        <v>46129</v>
      </c>
      <c r="G191" s="16" t="inlineStr">
        <is>
          <t>EBANK:WIB/1504 EBANK:WIB/1504347697/Edfs</t>
        </is>
      </c>
      <c r="H191" s="14" t="str"/>
      <c r="I191" s="14" t="inlineStr">
        <is>
          <t>Payment</t>
        </is>
      </c>
      <c r="J191" s="39" t="n">
        <v>328514.76</v>
      </c>
      <c r="K191" s="39" t="n">
        <v>0</v>
      </c>
      <c r="L191" s="39" t="n">
        <v>328514.76</v>
      </c>
      <c r="M191" s="39" t="n">
        <v>2500</v>
      </c>
      <c r="N191" s="14" t="inlineStr">
        <is>
          <t>High Transaction; Recurring Transaction</t>
        </is>
      </c>
      <c r="O191" s="14" t="inlineStr">
        <is>
          <t>Yes</t>
        </is>
      </c>
      <c r="P191" s="14" t="inlineStr">
        <is>
          <t>EBANKWIB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1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46129</v>
      </c>
      <c r="AB191" s="42">
        <f>HYPERLINK("#'Transactions'!A213", "View Source Row")</f>
        <v/>
      </c>
    </row>
    <row r="192">
      <c r="A192" s="14" t="n">
        <v>213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46129</v>
      </c>
      <c r="F192" s="40" t="n">
        <v>46129</v>
      </c>
      <c r="G192" s="16" t="inlineStr">
        <is>
          <t>DIGITA-MUMBAI/ NEFT-AXISCN1314090244-ONE MOBIKWIK SYSTEMS LIMITED</t>
        </is>
      </c>
      <c r="H192" s="14" t="str"/>
      <c r="I192" s="14" t="inlineStr">
        <is>
          <t>Receipt</t>
        </is>
      </c>
      <c r="J192" s="39" t="n">
        <v>0</v>
      </c>
      <c r="K192" s="39" t="n">
        <v>25410</v>
      </c>
      <c r="L192" s="39" t="n">
        <v>25410</v>
      </c>
      <c r="M192" s="39" t="n">
        <v>27910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ONE MOBIKWIK SYSTEMS LIMITED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46129</v>
      </c>
      <c r="AB192" s="42">
        <f>HYPERLINK("#'Transactions'!A214", "View Source Row")</f>
        <v/>
      </c>
    </row>
    <row r="193">
      <c r="A193" s="14" t="n">
        <v>214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46129</v>
      </c>
      <c r="F193" s="40" t="n">
        <v>46129</v>
      </c>
      <c r="G193" s="16" t="inlineStr">
        <is>
          <t>DIGITA-MUMBAI/ NEFT-AXISCN1314172091-PINE LABS PRIVATE LIMITED-NO</t>
        </is>
      </c>
      <c r="H193" s="14" t="str"/>
      <c r="I193" s="14" t="inlineStr">
        <is>
          <t>Receipt</t>
        </is>
      </c>
      <c r="J193" s="39" t="n">
        <v>0</v>
      </c>
      <c r="K193" s="39" t="n">
        <v>33352</v>
      </c>
      <c r="L193" s="39" t="n">
        <v>33352</v>
      </c>
      <c r="M193" s="39" t="n">
        <v>61262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PINE LABS PRIVATE LIMITED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46129</v>
      </c>
      <c r="AB193" s="42">
        <f>HYPERLINK("#'Transactions'!A215", "View Source Row")</f>
        <v/>
      </c>
    </row>
    <row r="194">
      <c r="A194" s="14" t="n">
        <v>215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46129</v>
      </c>
      <c r="F194" s="40" t="n">
        <v>46129</v>
      </c>
      <c r="G194" s="16" t="inlineStr">
        <is>
          <t>DIGITA-MUMBAI/ IMPS/P2A/610752978132/SAYEDTAHIRUDDIN/IMPS P2A JI</t>
        </is>
      </c>
      <c r="H194" s="14" t="str"/>
      <c r="I194" s="14" t="inlineStr">
        <is>
          <t>Receipt</t>
        </is>
      </c>
      <c r="J194" s="39" t="n">
        <v>0</v>
      </c>
      <c r="K194" s="39" t="n">
        <v>45220</v>
      </c>
      <c r="L194" s="39" t="n">
        <v>45220</v>
      </c>
      <c r="M194" s="39" t="n">
        <v>106482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SAYEDTAHIRUDDIN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46129</v>
      </c>
      <c r="AB194" s="42">
        <f>HYPERLINK("#'Transactions'!A216", "View Source Row")</f>
        <v/>
      </c>
    </row>
    <row r="195">
      <c r="A195" s="14" t="n">
        <v>216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46129</v>
      </c>
      <c r="F195" s="40" t="n">
        <v>46129</v>
      </c>
      <c r="G195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195" s="14" t="str"/>
      <c r="I195" s="14" t="inlineStr">
        <is>
          <t>Receipt</t>
        </is>
      </c>
      <c r="J195" s="39" t="n">
        <v>0</v>
      </c>
      <c r="K195" s="39" t="n">
        <v>48786</v>
      </c>
      <c r="L195" s="39" t="n">
        <v>48786</v>
      </c>
      <c r="M195" s="39" t="n">
        <v>155268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PAGE TOTAL   CR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46129</v>
      </c>
      <c r="AB195" s="42">
        <f>HYPERLINK("#'Transactions'!A217", "View Source Row")</f>
        <v/>
      </c>
    </row>
    <row r="196">
      <c r="A196" s="14" t="n">
        <v>217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46129</v>
      </c>
      <c r="F196" s="40" t="n">
        <v>46129</v>
      </c>
      <c r="G196" s="16" t="inlineStr">
        <is>
          <t>EBANK:WIB/1504 EBANK:WIB/1504424773/Edfs</t>
        </is>
      </c>
      <c r="H196" s="14" t="str"/>
      <c r="I196" s="14" t="inlineStr">
        <is>
          <t>Payment</t>
        </is>
      </c>
      <c r="J196" s="39" t="n">
        <v>150000</v>
      </c>
      <c r="K196" s="39" t="n">
        <v>0</v>
      </c>
      <c r="L196" s="39" t="n">
        <v>150000</v>
      </c>
      <c r="M196" s="39" t="n">
        <v>5268</v>
      </c>
      <c r="N196" s="14" t="inlineStr">
        <is>
          <t>High Transaction; Recurring Transaction</t>
        </is>
      </c>
      <c r="O196" s="14" t="inlineStr">
        <is>
          <t>Yes</t>
        </is>
      </c>
      <c r="P196" s="14" t="inlineStr">
        <is>
          <t>EBANKWIB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1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46129</v>
      </c>
      <c r="AB196" s="42">
        <f>HYPERLINK("#'Transactions'!A218", "View Source Row")</f>
        <v/>
      </c>
    </row>
    <row r="197">
      <c r="A197" s="14" t="n">
        <v>220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46130</v>
      </c>
      <c r="F197" s="40" t="n">
        <v>46130</v>
      </c>
      <c r="G197" s="16" t="inlineStr">
        <is>
          <t>DIGITA-MUMBAI/ NEFT-YESAP61082703898-PhonePe Limited</t>
        </is>
      </c>
      <c r="H197" s="14" t="str"/>
      <c r="I197" s="14" t="inlineStr">
        <is>
          <t>Receipt</t>
        </is>
      </c>
      <c r="J197" s="39" t="n">
        <v>0</v>
      </c>
      <c r="K197" s="39" t="n">
        <v>219193</v>
      </c>
      <c r="L197" s="39" t="n">
        <v>219193</v>
      </c>
      <c r="M197" s="39" t="n">
        <v>283765</v>
      </c>
      <c r="N197" s="14" t="inlineStr">
        <is>
          <t>High Transaction; Recurring Transaction</t>
        </is>
      </c>
      <c r="O197" s="14" t="inlineStr">
        <is>
          <t>Yes</t>
        </is>
      </c>
      <c r="P197" s="14" t="inlineStr">
        <is>
          <t>PHONEPE LIMITED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1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46130</v>
      </c>
      <c r="AB197" s="42">
        <f>HYPERLINK("#'Transactions'!A221", "View Source Row")</f>
        <v/>
      </c>
    </row>
    <row r="198">
      <c r="A198" s="14" t="n">
        <v>221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46130</v>
      </c>
      <c r="F198" s="40" t="n">
        <v>46130</v>
      </c>
      <c r="G198" s="16" t="inlineStr">
        <is>
          <t>DIGITA-MUMBAI/ NEFT-AXNPN10838004592-PHONEPE LIMITED-PAYMENT AGGR</t>
        </is>
      </c>
      <c r="H198" s="14" t="str"/>
      <c r="I198" s="14" t="inlineStr">
        <is>
          <t>Receipt</t>
        </is>
      </c>
      <c r="J198" s="39" t="n">
        <v>0</v>
      </c>
      <c r="K198" s="39" t="n">
        <v>61076.28</v>
      </c>
      <c r="L198" s="39" t="n">
        <v>61076.28</v>
      </c>
      <c r="M198" s="39" t="n">
        <v>344841.28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PHONEPE LIMITED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46130</v>
      </c>
      <c r="AB198" s="42">
        <f>HYPERLINK("#'Transactions'!A222", "View Source Row")</f>
        <v/>
      </c>
    </row>
    <row r="199">
      <c r="A199" s="14" t="n">
        <v>222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46130</v>
      </c>
      <c r="F199" s="40" t="n">
        <v>46130</v>
      </c>
      <c r="G199" s="16" t="inlineStr">
        <is>
          <t>DIGITA-MUMBAI/ NEFT-AXISCN1315312388-ONE MOBIKWIK SYSTEMS LIMITED</t>
        </is>
      </c>
      <c r="H199" s="14" t="str"/>
      <c r="I199" s="14" t="inlineStr">
        <is>
          <t>Receipt</t>
        </is>
      </c>
      <c r="J199" s="39" t="n">
        <v>0</v>
      </c>
      <c r="K199" s="39" t="n">
        <v>15702</v>
      </c>
      <c r="L199" s="39" t="n">
        <v>15702</v>
      </c>
      <c r="M199" s="39" t="n">
        <v>360543.28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ONE MOBIKWIK SYSTEMS LIMITED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46130</v>
      </c>
      <c r="AB199" s="42">
        <f>HYPERLINK("#'Transactions'!A223", "View Source Row")</f>
        <v/>
      </c>
    </row>
    <row r="200">
      <c r="A200" s="14" t="n">
        <v>223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46130</v>
      </c>
      <c r="F200" s="40" t="n">
        <v>46130</v>
      </c>
      <c r="G200" s="16" t="inlineStr">
        <is>
          <t>DIGITA-MUMBAI/ NEFT-AXISCN1315357169-PINE LABS PRIVATE LIMITED-NO</t>
        </is>
      </c>
      <c r="H200" s="14" t="str"/>
      <c r="I200" s="14" t="inlineStr">
        <is>
          <t>Receipt</t>
        </is>
      </c>
      <c r="J200" s="39" t="n">
        <v>0</v>
      </c>
      <c r="K200" s="39" t="n">
        <v>52492</v>
      </c>
      <c r="L200" s="39" t="n">
        <v>52492</v>
      </c>
      <c r="M200" s="39" t="n">
        <v>413035.28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PINE LABS PRIVATE LIMITED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46130</v>
      </c>
      <c r="AB200" s="42">
        <f>HYPERLINK("#'Transactions'!A224", "View Source Row")</f>
        <v/>
      </c>
    </row>
    <row r="201">
      <c r="A201" s="14" t="n">
        <v>224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46130</v>
      </c>
      <c r="F201" s="40" t="n">
        <v>46130</v>
      </c>
      <c r="G201" s="16" t="inlineStr">
        <is>
          <t>UPI/1217782049 78204946 UPI/121778204946/11:06:59/UPI/sureshenterprises15</t>
        </is>
      </c>
      <c r="H201" s="14" t="str"/>
      <c r="I201" s="14" t="inlineStr">
        <is>
          <t>Receipt</t>
        </is>
      </c>
      <c r="J201" s="39" t="n">
        <v>0</v>
      </c>
      <c r="K201" s="39" t="n">
        <v>15000</v>
      </c>
      <c r="L201" s="39" t="n">
        <v>15000</v>
      </c>
      <c r="M201" s="39" t="n">
        <v>428035.28</v>
      </c>
      <c r="N201" s="14" t="inlineStr">
        <is>
          <t>UPI; Recurring Transaction</t>
        </is>
      </c>
      <c r="O201" s="14" t="inlineStr">
        <is>
          <t>Yes</t>
        </is>
      </c>
      <c r="P201" s="14" t="inlineStr">
        <is>
          <t>SURESHENTERPRISES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1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46130</v>
      </c>
      <c r="AB201" s="42">
        <f>HYPERLINK("#'Transactions'!A225", "View Source Row")</f>
        <v/>
      </c>
    </row>
    <row r="202">
      <c r="A202" s="14" t="n">
        <v>226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46130</v>
      </c>
      <c r="F202" s="40" t="n">
        <v>46130</v>
      </c>
      <c r="G202" s="16" t="inlineStr">
        <is>
          <t>DIGITA-MUMBAI/ NEFT-FBPT261087153653-PREMIER CONVEYORS PRIVATE LI</t>
        </is>
      </c>
      <c r="H202" s="14" t="str"/>
      <c r="I202" s="14" t="inlineStr">
        <is>
          <t>Receipt</t>
        </is>
      </c>
      <c r="J202" s="39" t="n">
        <v>0</v>
      </c>
      <c r="K202" s="39" t="n">
        <v>37132</v>
      </c>
      <c r="L202" s="39" t="n">
        <v>37132</v>
      </c>
      <c r="M202" s="39" t="n">
        <v>483167.28</v>
      </c>
      <c r="N202" s="14" t="inlineStr">
        <is>
          <t>EMI; Recurring Transaction</t>
        </is>
      </c>
      <c r="O202" s="14" t="inlineStr">
        <is>
          <t>Yes</t>
        </is>
      </c>
      <c r="P202" s="14" t="inlineStr">
        <is>
          <t>PREMIER CONVEYORS PRIVATE LI</t>
        </is>
      </c>
      <c r="Q202" s="14" t="n">
        <v>0</v>
      </c>
      <c r="R202" s="14" t="n">
        <v>1</v>
      </c>
      <c r="S202" s="14" t="n">
        <v>1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46130</v>
      </c>
      <c r="AB202" s="42">
        <f>HYPERLINK("#'Transactions'!A227", "View Source Row")</f>
        <v/>
      </c>
    </row>
    <row r="203">
      <c r="A203" s="14" t="n">
        <v>227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46130</v>
      </c>
      <c r="F203" s="40" t="n">
        <v>46130</v>
      </c>
      <c r="G203" s="16" t="inlineStr">
        <is>
          <t>EBANK:WIB/1504 EBANK:WIB/1504650433/Edfs</t>
        </is>
      </c>
      <c r="H203" s="14" t="str"/>
      <c r="I203" s="14" t="inlineStr">
        <is>
          <t>Payment</t>
        </is>
      </c>
      <c r="J203" s="39" t="n">
        <v>480667.28</v>
      </c>
      <c r="K203" s="39" t="n">
        <v>0</v>
      </c>
      <c r="L203" s="39" t="n">
        <v>480667.28</v>
      </c>
      <c r="M203" s="39" t="n">
        <v>2500</v>
      </c>
      <c r="N203" s="14" t="inlineStr">
        <is>
          <t>High Transaction; 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46130</v>
      </c>
      <c r="AB203" s="42">
        <f>HYPERLINK("#'Transactions'!A228", "View Source Row")</f>
        <v/>
      </c>
    </row>
    <row r="204">
      <c r="A204" s="14" t="n">
        <v>228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46131</v>
      </c>
      <c r="F204" s="40" t="n">
        <v>46131</v>
      </c>
      <c r="G204" s="16" t="inlineStr">
        <is>
          <t>DIGITA-MUMBAI/ NEFT-AXNPN10949045747-PHONEPE LIMITED-PAYMENT AGGR</t>
        </is>
      </c>
      <c r="H204" s="14" t="str"/>
      <c r="I204" s="14" t="inlineStr">
        <is>
          <t>Receipt</t>
        </is>
      </c>
      <c r="J204" s="39" t="n">
        <v>0</v>
      </c>
      <c r="K204" s="39" t="n">
        <v>66511</v>
      </c>
      <c r="L204" s="39" t="n">
        <v>66511</v>
      </c>
      <c r="M204" s="39" t="n">
        <v>69011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46131</v>
      </c>
      <c r="AB204" s="42">
        <f>HYPERLINK("#'Transactions'!A229", "View Source Row")</f>
        <v/>
      </c>
    </row>
    <row r="205">
      <c r="A205" s="14" t="n">
        <v>230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46131</v>
      </c>
      <c r="F205" s="40" t="n">
        <v>46131</v>
      </c>
      <c r="G205" s="16" t="inlineStr">
        <is>
          <t>DIGITA-MUMBAI/ NEFT-AXISCN1317988876-ONE MOBIKWIK SYSTEMS LIMITED</t>
        </is>
      </c>
      <c r="H205" s="14" t="str"/>
      <c r="I205" s="14" t="inlineStr">
        <is>
          <t>Receipt</t>
        </is>
      </c>
      <c r="J205" s="39" t="n">
        <v>0</v>
      </c>
      <c r="K205" s="39" t="n">
        <v>2500</v>
      </c>
      <c r="L205" s="39" t="n">
        <v>2500</v>
      </c>
      <c r="M205" s="39" t="n">
        <v>289933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ONE MOBIKWIK SYSTEMS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46131</v>
      </c>
      <c r="AB205" s="42">
        <f>HYPERLINK("#'Transactions'!A231", "View Source Row")</f>
        <v/>
      </c>
    </row>
    <row r="206">
      <c r="A206" s="14" t="n">
        <v>231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46131</v>
      </c>
      <c r="F206" s="40" t="n">
        <v>46131</v>
      </c>
      <c r="G206" s="16" t="inlineStr">
        <is>
          <t>EBANK:WIB/1504 EBANK:WIB/1504657570/Edfs</t>
        </is>
      </c>
      <c r="H206" s="14" t="str"/>
      <c r="I206" s="14" t="inlineStr">
        <is>
          <t>Payment</t>
        </is>
      </c>
      <c r="J206" s="39" t="n">
        <v>259433</v>
      </c>
      <c r="K206" s="39" t="n">
        <v>0</v>
      </c>
      <c r="L206" s="39" t="n">
        <v>259433</v>
      </c>
      <c r="M206" s="39" t="n">
        <v>30500</v>
      </c>
      <c r="N206" s="14" t="inlineStr">
        <is>
          <t>High Transaction; Recurring Transaction</t>
        </is>
      </c>
      <c r="O206" s="14" t="inlineStr">
        <is>
          <t>Yes</t>
        </is>
      </c>
      <c r="P206" s="14" t="inlineStr">
        <is>
          <t>EBANKWIB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46131</v>
      </c>
      <c r="AB206" s="42">
        <f>HYPERLINK("#'Transactions'!A232", "View Source Row")</f>
        <v/>
      </c>
    </row>
    <row r="207">
      <c r="A207" s="14" t="n">
        <v>232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46131</v>
      </c>
      <c r="F207" s="40" t="n">
        <v>46131</v>
      </c>
      <c r="G207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07" s="14" t="str"/>
      <c r="I207" s="14" t="inlineStr">
        <is>
          <t>Receipt</t>
        </is>
      </c>
      <c r="J207" s="39" t="n">
        <v>0</v>
      </c>
      <c r="K207" s="39" t="n">
        <v>40698</v>
      </c>
      <c r="L207" s="39" t="n">
        <v>40698</v>
      </c>
      <c r="M207" s="39" t="n">
        <v>71198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PAGE TOTAL   CR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46131</v>
      </c>
      <c r="AB207" s="42">
        <f>HYPERLINK("#'Transactions'!A233", "View Source Row")</f>
        <v/>
      </c>
    </row>
    <row r="208">
      <c r="A208" s="14" t="n">
        <v>234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46131</v>
      </c>
      <c r="F208" s="40" t="n">
        <v>46131</v>
      </c>
      <c r="G208" s="16" t="inlineStr">
        <is>
          <t>DIGITA-MUMBAI/ IMPS/P2A/610911584011/SHREE GANESH EN/diesel VVS9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134505.53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46131</v>
      </c>
      <c r="AB208" s="42">
        <f>HYPERLINK("#'Transactions'!A235", "View Source Row")</f>
        <v/>
      </c>
    </row>
    <row r="209">
      <c r="A209" s="14" t="n">
        <v>235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46131</v>
      </c>
      <c r="F209" s="40" t="n">
        <v>46131</v>
      </c>
      <c r="G209" s="16" t="inlineStr">
        <is>
          <t>UPI/4002793229 79322988 UPI/400279322988/11:44:31/UPI/surajdhanotra1@ibl/</t>
        </is>
      </c>
      <c r="H209" s="14" t="str"/>
      <c r="I209" s="14" t="inlineStr">
        <is>
          <t>Receipt</t>
        </is>
      </c>
      <c r="J209" s="39" t="n">
        <v>0</v>
      </c>
      <c r="K209" s="39" t="n">
        <v>11305</v>
      </c>
      <c r="L209" s="39" t="n">
        <v>11305</v>
      </c>
      <c r="M209" s="39" t="n">
        <v>145810.53</v>
      </c>
      <c r="N209" s="14" t="inlineStr">
        <is>
          <t>UPI; Recurring Transaction</t>
        </is>
      </c>
      <c r="O209" s="14" t="inlineStr">
        <is>
          <t>Yes</t>
        </is>
      </c>
      <c r="P209" s="14" t="inlineStr">
        <is>
          <t>SURAJDHANOTRAIBL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0</v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46131</v>
      </c>
      <c r="AB209" s="42">
        <f>HYPERLINK("#'Transactions'!A236", "View Source Row")</f>
        <v/>
      </c>
    </row>
    <row r="210">
      <c r="A210" s="14" t="n">
        <v>236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46131</v>
      </c>
      <c r="F210" s="40" t="n">
        <v>46131</v>
      </c>
      <c r="G210" s="16" t="inlineStr">
        <is>
          <t>UPI/6109476580 47658049 UPI/610947658049/18:07:36/UPI/akashshelar41-2@oki</t>
        </is>
      </c>
      <c r="H210" s="14" t="str"/>
      <c r="I210" s="14" t="inlineStr">
        <is>
          <t>Receipt</t>
        </is>
      </c>
      <c r="J210" s="39" t="n">
        <v>0</v>
      </c>
      <c r="K210" s="39" t="n">
        <v>58000</v>
      </c>
      <c r="L210" s="39" t="n">
        <v>58000</v>
      </c>
      <c r="M210" s="39" t="n">
        <v>203810.53</v>
      </c>
      <c r="N210" s="14" t="inlineStr">
        <is>
          <t>UPI; Recurring Transaction</t>
        </is>
      </c>
      <c r="O210" s="14" t="inlineStr">
        <is>
          <t>Yes</t>
        </is>
      </c>
      <c r="P210" s="14" t="inlineStr">
        <is>
          <t>AKASHSHELAR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46131</v>
      </c>
      <c r="AB210" s="42">
        <f>HYPERLINK("#'Transactions'!A237", "View Source Row")</f>
        <v/>
      </c>
    </row>
    <row r="211">
      <c r="A211" s="14" t="n">
        <v>238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46131</v>
      </c>
      <c r="F211" s="40" t="n">
        <v>46131</v>
      </c>
      <c r="G211" s="16" t="inlineStr">
        <is>
          <t>EBANK:WIB/1504 EBANK:WIB/1504707135/Edfs</t>
        </is>
      </c>
      <c r="H211" s="14" t="str"/>
      <c r="I211" s="14" t="inlineStr">
        <is>
          <t>Payment</t>
        </is>
      </c>
      <c r="J211" s="39" t="n">
        <v>211310.53</v>
      </c>
      <c r="K211" s="39" t="n">
        <v>0</v>
      </c>
      <c r="L211" s="39" t="n">
        <v>211310.53</v>
      </c>
      <c r="M211" s="39" t="n">
        <v>2500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EBANKWIB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46131</v>
      </c>
      <c r="AB211" s="42">
        <f>HYPERLINK("#'Transactions'!A239", "View Source Row")</f>
        <v/>
      </c>
    </row>
    <row r="212">
      <c r="A212" s="14" t="n">
        <v>239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46132</v>
      </c>
      <c r="F212" s="40" t="n">
        <v>46132</v>
      </c>
      <c r="G212" s="16" t="inlineStr">
        <is>
          <t>DIGITA-MUMBAI/ NEFT-YESAP61103651332-PhonePe Limited</t>
        </is>
      </c>
      <c r="H212" s="14" t="str"/>
      <c r="I212" s="14" t="inlineStr">
        <is>
          <t>Receipt</t>
        </is>
      </c>
      <c r="J212" s="39" t="n">
        <v>0</v>
      </c>
      <c r="K212" s="39" t="n">
        <v>174695.6</v>
      </c>
      <c r="L212" s="39" t="n">
        <v>174695.6</v>
      </c>
      <c r="M212" s="39" t="n">
        <v>177195.6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46132</v>
      </c>
      <c r="AB212" s="42">
        <f>HYPERLINK("#'Transactions'!A240", "View Source Row")</f>
        <v/>
      </c>
    </row>
    <row r="213">
      <c r="A213" s="14" t="n">
        <v>240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46132</v>
      </c>
      <c r="F213" s="40" t="n">
        <v>46132</v>
      </c>
      <c r="G213" s="16" t="inlineStr">
        <is>
          <t>DIGITA-MUMBAI/ NEFT-AXNPN11057011051-PHONEPE LIMITED-PAYMENT AGGR</t>
        </is>
      </c>
      <c r="H213" s="14" t="str"/>
      <c r="I213" s="14" t="inlineStr">
        <is>
          <t>Receipt</t>
        </is>
      </c>
      <c r="J213" s="39" t="n">
        <v>0</v>
      </c>
      <c r="K213" s="39" t="n">
        <v>86876.92</v>
      </c>
      <c r="L213" s="39" t="n">
        <v>86876.92</v>
      </c>
      <c r="M213" s="39" t="n">
        <v>264072.52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PHONEPE LIMITED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46132</v>
      </c>
      <c r="AB213" s="42">
        <f>HYPERLINK("#'Transactions'!A241", "View Source Row")</f>
        <v/>
      </c>
    </row>
    <row r="214">
      <c r="A214" s="14" t="n">
        <v>241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46132</v>
      </c>
      <c r="F214" s="40" t="n">
        <v>46132</v>
      </c>
      <c r="G214" s="16" t="inlineStr">
        <is>
          <t>EBANK:WIB/1504 EBANK:WIB/1504717278/Edfs</t>
        </is>
      </c>
      <c r="H214" s="14" t="str"/>
      <c r="I214" s="14" t="inlineStr">
        <is>
          <t>Payment</t>
        </is>
      </c>
      <c r="J214" s="39" t="n">
        <v>260572.52</v>
      </c>
      <c r="K214" s="39" t="n">
        <v>0</v>
      </c>
      <c r="L214" s="39" t="n">
        <v>260572.52</v>
      </c>
      <c r="M214" s="39" t="n">
        <v>3500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EBANKWIB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46132</v>
      </c>
      <c r="AB214" s="42">
        <f>HYPERLINK("#'Transactions'!A242", "View Source Row")</f>
        <v/>
      </c>
    </row>
    <row r="215">
      <c r="A215" s="14" t="n">
        <v>242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46132</v>
      </c>
      <c r="F215" s="40" t="n">
        <v>46132</v>
      </c>
      <c r="G215" s="16" t="inlineStr">
        <is>
          <t>DIGITA-MUMBAI/ IMPS/P2A/611008018806/VILLAGE STONE L/Diesel paym</t>
        </is>
      </c>
      <c r="H215" s="14" t="str"/>
      <c r="I215" s="14" t="inlineStr">
        <is>
          <t>Receipt</t>
        </is>
      </c>
      <c r="J215" s="39" t="n">
        <v>0</v>
      </c>
      <c r="K215" s="39" t="n">
        <v>16000</v>
      </c>
      <c r="L215" s="39" t="n">
        <v>16000</v>
      </c>
      <c r="M215" s="39" t="n">
        <v>19500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VILLAGE STONE L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46132</v>
      </c>
      <c r="AB215" s="42">
        <f>HYPERLINK("#'Transactions'!A243", "View Source Row")</f>
        <v/>
      </c>
    </row>
    <row r="216">
      <c r="A216" s="14" t="n">
        <v>243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46132</v>
      </c>
      <c r="F216" s="40" t="n">
        <v>46132</v>
      </c>
      <c r="G216" s="16" t="inlineStr">
        <is>
          <t>DIGITA-MUMBAI/ NEFT-AXISCN1318671183-PINE LABS PRIVATE LIMITED-NO</t>
        </is>
      </c>
      <c r="H216" s="14" t="str"/>
      <c r="I216" s="14" t="inlineStr">
        <is>
          <t>Receipt</t>
        </is>
      </c>
      <c r="J216" s="39" t="n">
        <v>0</v>
      </c>
      <c r="K216" s="39" t="n">
        <v>17950</v>
      </c>
      <c r="L216" s="39" t="n">
        <v>17950</v>
      </c>
      <c r="M216" s="39" t="n">
        <v>37450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PINE LABS PRIVATE LIMITED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46132</v>
      </c>
      <c r="AB216" s="42">
        <f>HYPERLINK("#'Transactions'!A244", "View Source Row")</f>
        <v/>
      </c>
    </row>
    <row r="217">
      <c r="A217" s="14" t="n">
        <v>244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46132</v>
      </c>
      <c r="F217" s="40" t="n">
        <v>46132</v>
      </c>
      <c r="G217" s="16" t="inlineStr">
        <is>
          <t>DIGITA-MUMBAI/ NEFT-AXISCN1318760388-PINE LABS PRIVATE LIMITED-NO</t>
        </is>
      </c>
      <c r="H217" s="14" t="str"/>
      <c r="I217" s="14" t="inlineStr">
        <is>
          <t>Receipt</t>
        </is>
      </c>
      <c r="J217" s="39" t="n">
        <v>0</v>
      </c>
      <c r="K217" s="39" t="n">
        <v>56731</v>
      </c>
      <c r="L217" s="39" t="n">
        <v>56731</v>
      </c>
      <c r="M217" s="39" t="n">
        <v>94181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PINE LABS PRIVATE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46132</v>
      </c>
      <c r="AB217" s="42">
        <f>HYPERLINK("#'Transactions'!A245", "View Source Row")</f>
        <v/>
      </c>
    </row>
    <row r="218">
      <c r="A218" s="14" t="n">
        <v>245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46132</v>
      </c>
      <c r="F218" s="40" t="n">
        <v>46132</v>
      </c>
      <c r="G218" s="16" t="inlineStr">
        <is>
          <t>DIGITA-MUMBAI/ NEFT-NKGSH26110097618-GEBI PRODUCTS PRIVATE LIMITE</t>
        </is>
      </c>
      <c r="H218" s="14" t="str"/>
      <c r="I218" s="14" t="inlineStr">
        <is>
          <t>Receipt</t>
        </is>
      </c>
      <c r="J218" s="39" t="n">
        <v>0</v>
      </c>
      <c r="K218" s="39" t="n">
        <v>6226.78</v>
      </c>
      <c r="L218" s="39" t="n">
        <v>6226.78</v>
      </c>
      <c r="M218" s="39" t="n">
        <v>100407.78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GEBI PRODUCTS PRIVATE LIMITE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46132</v>
      </c>
      <c r="AB218" s="42">
        <f>HYPERLINK("#'Transactions'!A246", "View Source Row")</f>
        <v/>
      </c>
    </row>
    <row r="219">
      <c r="A219" s="14" t="n">
        <v>246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46132</v>
      </c>
      <c r="F219" s="40" t="n">
        <v>46132</v>
      </c>
      <c r="G219" s="16" t="inlineStr">
        <is>
          <t>UPI/6476820079 82007940 UPI/647682007940/13:39:58/UPI/patilsojwal855@okax</t>
        </is>
      </c>
      <c r="H219" s="14" t="str"/>
      <c r="I219" s="14" t="inlineStr">
        <is>
          <t>Receipt</t>
        </is>
      </c>
      <c r="J219" s="39" t="n">
        <v>0</v>
      </c>
      <c r="K219" s="39" t="n">
        <v>1</v>
      </c>
      <c r="L219" s="39" t="n">
        <v>1</v>
      </c>
      <c r="M219" s="39" t="n">
        <v>100408.78</v>
      </c>
      <c r="N219" s="14" t="inlineStr">
        <is>
          <t>UPI; Recurring Transaction</t>
        </is>
      </c>
      <c r="O219" s="14" t="inlineStr">
        <is>
          <t>Yes</t>
        </is>
      </c>
      <c r="P219" s="14" t="inlineStr">
        <is>
          <t>PATILSOJWALOKAX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46132</v>
      </c>
      <c r="AB219" s="42">
        <f>HYPERLINK("#'Transactions'!A247", "View Source Row")</f>
        <v/>
      </c>
    </row>
    <row r="220">
      <c r="A220" s="14" t="n">
        <v>247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46132</v>
      </c>
      <c r="F220" s="40" t="n">
        <v>46132</v>
      </c>
      <c r="G220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20" s="14" t="str"/>
      <c r="I220" s="14" t="inlineStr">
        <is>
          <t>Receipt</t>
        </is>
      </c>
      <c r="J220" s="39" t="n">
        <v>0</v>
      </c>
      <c r="K220" s="39" t="n">
        <v>14699</v>
      </c>
      <c r="L220" s="39" t="n">
        <v>14699</v>
      </c>
      <c r="M220" s="39" t="n">
        <v>115107.78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PATILSOJWALOKAX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46132</v>
      </c>
      <c r="AB220" s="42">
        <f>HYPERLINK("#'Transactions'!A248", "View Source Row")</f>
        <v/>
      </c>
    </row>
    <row r="221">
      <c r="A221" s="14" t="n">
        <v>248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46132</v>
      </c>
      <c r="F221" s="40" t="n">
        <v>46132</v>
      </c>
      <c r="G221" s="16" t="inlineStr">
        <is>
          <t>DIGITA-MUMBAI/ NEFT-IDIBH11038876490-JAI AMBE TRANSPORT</t>
        </is>
      </c>
      <c r="H221" s="14" t="str"/>
      <c r="I221" s="14" t="inlineStr">
        <is>
          <t>Receipt</t>
        </is>
      </c>
      <c r="J221" s="39" t="n">
        <v>0</v>
      </c>
      <c r="K221" s="39" t="n">
        <v>2930</v>
      </c>
      <c r="L221" s="39" t="n">
        <v>2930</v>
      </c>
      <c r="M221" s="39" t="n">
        <v>118037.78</v>
      </c>
      <c r="N221" s="14" t="inlineStr">
        <is>
          <t>Recurring Transaction</t>
        </is>
      </c>
      <c r="O221" s="14" t="inlineStr">
        <is>
          <t>Yes</t>
        </is>
      </c>
      <c r="P221" s="14" t="inlineStr">
        <is>
          <t>JAI AMBE TRANSPORT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46132</v>
      </c>
      <c r="AB221" s="42">
        <f>HYPERLINK("#'Transactions'!A249", "View Source Row")</f>
        <v/>
      </c>
    </row>
    <row r="222">
      <c r="A222" s="14" t="n">
        <v>249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46132</v>
      </c>
      <c r="F222" s="40" t="n">
        <v>46132</v>
      </c>
      <c r="G222" s="16" t="inlineStr">
        <is>
          <t>DIGITA-MUMBAI/ NEFT-KKBKH26110838388-ATLAS COMMODITIES PRIVATE LI</t>
        </is>
      </c>
      <c r="H222" s="14" t="str"/>
      <c r="I222" s="14" t="inlineStr">
        <is>
          <t>Receipt</t>
        </is>
      </c>
      <c r="J222" s="39" t="n">
        <v>0</v>
      </c>
      <c r="K222" s="39" t="n">
        <v>8210</v>
      </c>
      <c r="L222" s="39" t="n">
        <v>8210</v>
      </c>
      <c r="M222" s="39" t="n">
        <v>126247.78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ATLAS COMMODITIES PRIVATE LI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46132</v>
      </c>
      <c r="AB222" s="42">
        <f>HYPERLINK("#'Transactions'!A250", "View Source Row")</f>
        <v/>
      </c>
    </row>
    <row r="223">
      <c r="A223" s="14" t="n">
        <v>250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46132</v>
      </c>
      <c r="F223" s="40" t="n">
        <v>46132</v>
      </c>
      <c r="G223" s="16" t="inlineStr">
        <is>
          <t>DIGITA-MUMBAI/ NEFT-IN42611050112752-JERAI FITNESS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163337</v>
      </c>
      <c r="L223" s="39" t="n">
        <v>163337</v>
      </c>
      <c r="M223" s="39" t="n">
        <v>289584.78</v>
      </c>
      <c r="N223" s="14" t="inlineStr">
        <is>
          <t>High Transaction; Recurring Transaction</t>
        </is>
      </c>
      <c r="O223" s="14" t="inlineStr">
        <is>
          <t>Yes</t>
        </is>
      </c>
      <c r="P223" s="14" t="inlineStr">
        <is>
          <t>JERAI FITNESS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1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46132</v>
      </c>
      <c r="AB223" s="42">
        <f>HYPERLINK("#'Transactions'!A251", "View Source Row")</f>
        <v/>
      </c>
    </row>
    <row r="224">
      <c r="A224" s="14" t="n">
        <v>251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46132</v>
      </c>
      <c r="F224" s="40" t="n">
        <v>46132</v>
      </c>
      <c r="G224" s="16" t="inlineStr">
        <is>
          <t>EBANK:WIB/1504 EBANK:WIB/1504868004/Edfs</t>
        </is>
      </c>
      <c r="H224" s="14" t="str"/>
      <c r="I224" s="14" t="inlineStr">
        <is>
          <t>Payment</t>
        </is>
      </c>
      <c r="J224" s="39" t="n">
        <v>287084.78</v>
      </c>
      <c r="K224" s="39" t="n">
        <v>0</v>
      </c>
      <c r="L224" s="39" t="n">
        <v>287084.78</v>
      </c>
      <c r="M224" s="39" t="n">
        <v>2500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EBANKWIB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46132</v>
      </c>
      <c r="AB224" s="42">
        <f>HYPERLINK("#'Transactions'!A252", "View Source Row")</f>
        <v/>
      </c>
    </row>
    <row r="225">
      <c r="A225" s="14" t="n">
        <v>252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46132</v>
      </c>
      <c r="F225" s="40" t="n">
        <v>46132</v>
      </c>
      <c r="G225" s="16" t="inlineStr">
        <is>
          <t>UPI/6476077667 7766718 UPI/647607766718/23:35:11/UPI/sureshenterprises15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10000</v>
      </c>
      <c r="L225" s="39" t="n">
        <v>10000</v>
      </c>
      <c r="M225" s="39" t="n">
        <v>12500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46132</v>
      </c>
      <c r="AB225" s="42">
        <f>HYPERLINK("#'Transactions'!A253", "View Source Row")</f>
        <v/>
      </c>
    </row>
    <row r="226">
      <c r="A226" s="14" t="n">
        <v>253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46133</v>
      </c>
      <c r="F226" s="40" t="n">
        <v>46133</v>
      </c>
      <c r="G226" s="16" t="inlineStr">
        <is>
          <t>DIGITA-MUMBAI/ NEFT-YESAP61112557088-PhonePe Limited</t>
        </is>
      </c>
      <c r="H226" s="14" t="str"/>
      <c r="I226" s="14" t="inlineStr">
        <is>
          <t>Receipt</t>
        </is>
      </c>
      <c r="J226" s="39" t="n">
        <v>0</v>
      </c>
      <c r="K226" s="39" t="n">
        <v>252575.92</v>
      </c>
      <c r="L226" s="39" t="n">
        <v>252575.92</v>
      </c>
      <c r="M226" s="39" t="n">
        <v>265075.92</v>
      </c>
      <c r="N226" s="14" t="inlineStr">
        <is>
          <t>High Transaction; Recurring Transaction</t>
        </is>
      </c>
      <c r="O226" s="14" t="inlineStr">
        <is>
          <t>Yes</t>
        </is>
      </c>
      <c r="P226" s="14" t="inlineStr">
        <is>
          <t>PHONEPE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1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46133</v>
      </c>
      <c r="AB226" s="42">
        <f>HYPERLINK("#'Transactions'!A254", "View Source Row")</f>
        <v/>
      </c>
    </row>
    <row r="227">
      <c r="A227" s="14" t="n">
        <v>254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46133</v>
      </c>
      <c r="F227" s="40" t="n">
        <v>46133</v>
      </c>
      <c r="G227" s="16" t="inlineStr">
        <is>
          <t>DIGITA-MUMBAI/ Dep-NEFT-AXNPN11165247615-PHONEPE LIMITED-PAYMENT</t>
        </is>
      </c>
      <c r="H227" s="14" t="str"/>
      <c r="I227" s="14" t="inlineStr">
        <is>
          <t>Receipt</t>
        </is>
      </c>
      <c r="J227" s="39" t="n">
        <v>0</v>
      </c>
      <c r="K227" s="39" t="n">
        <v>70870</v>
      </c>
      <c r="L227" s="39" t="n">
        <v>70870</v>
      </c>
      <c r="M227" s="39" t="n">
        <v>335945.92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PHONEPE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46133</v>
      </c>
      <c r="AB227" s="42">
        <f>HYPERLINK("#'Transactions'!A255", "View Source Row")</f>
        <v/>
      </c>
    </row>
    <row r="228">
      <c r="A228" s="14" t="n">
        <v>255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46133</v>
      </c>
      <c r="F228" s="40" t="n">
        <v>46133</v>
      </c>
      <c r="G228" s="16" t="inlineStr">
        <is>
          <t>EBANK:WIB/1504 EBANK:WIB/1504892301/Edfs</t>
        </is>
      </c>
      <c r="H228" s="14" t="str"/>
      <c r="I228" s="14" t="inlineStr">
        <is>
          <t>Payment</t>
        </is>
      </c>
      <c r="J228" s="39" t="n">
        <v>333445.92</v>
      </c>
      <c r="K228" s="39" t="n">
        <v>0</v>
      </c>
      <c r="L228" s="39" t="n">
        <v>333445.92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46133</v>
      </c>
      <c r="AB228" s="42">
        <f>HYPERLINK("#'Transactions'!A256", "View Source Row")</f>
        <v/>
      </c>
    </row>
    <row r="229">
      <c r="A229" s="14" t="n">
        <v>256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46133</v>
      </c>
      <c r="F229" s="40" t="n">
        <v>46133</v>
      </c>
      <c r="G229" s="16" t="inlineStr">
        <is>
          <t>DIGITA-MUMBAI/ NEFT-AXISCN1319524277-ONE MOBIKWIK SYSTEMS LIMITED</t>
        </is>
      </c>
      <c r="H229" s="14" t="str"/>
      <c r="I229" s="14" t="inlineStr">
        <is>
          <t>Receipt</t>
        </is>
      </c>
      <c r="J229" s="39" t="n">
        <v>0</v>
      </c>
      <c r="K229" s="39" t="n">
        <v>4510</v>
      </c>
      <c r="L229" s="39" t="n">
        <v>4510</v>
      </c>
      <c r="M229" s="39" t="n">
        <v>7010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ONE MOBIKWIK SYSTEMS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46133</v>
      </c>
      <c r="AB229" s="42">
        <f>HYPERLINK("#'Transactions'!A257", "View Source Row")</f>
        <v/>
      </c>
    </row>
    <row r="230">
      <c r="A230" s="14" t="n">
        <v>257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46133</v>
      </c>
      <c r="F230" s="40" t="n">
        <v>46133</v>
      </c>
      <c r="G230" s="16" t="inlineStr">
        <is>
          <t>DIGITA-MUMBAI/ NEFT-AXISCN1319563932-PINE LABS PRIVATE LIMITED-NO</t>
        </is>
      </c>
      <c r="H230" s="14" t="str"/>
      <c r="I230" s="14" t="inlineStr">
        <is>
          <t>Receipt</t>
        </is>
      </c>
      <c r="J230" s="39" t="n">
        <v>0</v>
      </c>
      <c r="K230" s="39" t="n">
        <v>9630</v>
      </c>
      <c r="L230" s="39" t="n">
        <v>9630</v>
      </c>
      <c r="M230" s="39" t="n">
        <v>16640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PINE LABS PRIVATE LIMITED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46133</v>
      </c>
      <c r="AB230" s="42">
        <f>HYPERLINK("#'Transactions'!A258", "View Source Row")</f>
        <v/>
      </c>
    </row>
    <row r="231">
      <c r="A231" s="14" t="n">
        <v>258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46133</v>
      </c>
      <c r="F231" s="40" t="n">
        <v>46133</v>
      </c>
      <c r="G231" s="16" t="inlineStr">
        <is>
          <t>DIGITA-MUMBAI/ NEFT-HDFCH00946369304-MOHANJI BHARAT WELFARE FOUND</t>
        </is>
      </c>
      <c r="H231" s="14" t="str"/>
      <c r="I231" s="14" t="inlineStr">
        <is>
          <t>Receipt</t>
        </is>
      </c>
      <c r="J231" s="39" t="n">
        <v>0</v>
      </c>
      <c r="K231" s="39" t="n">
        <v>14200</v>
      </c>
      <c r="L231" s="39" t="n">
        <v>14200</v>
      </c>
      <c r="M231" s="39" t="n">
        <v>30840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MOHANJI BHARAT WELFARE FOUND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46133</v>
      </c>
      <c r="AB231" s="42">
        <f>HYPERLINK("#'Transactions'!A259", "View Source Row")</f>
        <v/>
      </c>
    </row>
    <row r="232">
      <c r="A232" s="14" t="n">
        <v>260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46133</v>
      </c>
      <c r="F232" s="40" t="n">
        <v>46133</v>
      </c>
      <c r="G232" s="16" t="inlineStr">
        <is>
          <t>DIGITA-MUMBAI/ NEFT-NKGSH26111112804-GEBI PRODUCTS PRIVATE LIMITE</t>
        </is>
      </c>
      <c r="H232" s="14" t="str"/>
      <c r="I232" s="14" t="inlineStr">
        <is>
          <t>Receipt</t>
        </is>
      </c>
      <c r="J232" s="39" t="n">
        <v>0</v>
      </c>
      <c r="K232" s="39" t="n">
        <v>4874.7</v>
      </c>
      <c r="L232" s="39" t="n">
        <v>4874.7</v>
      </c>
      <c r="M232" s="39" t="n">
        <v>53802.7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GEBI PRODUCTS PRIVATE LIMITE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46133</v>
      </c>
      <c r="AB232" s="42">
        <f>HYPERLINK("#'Transactions'!A261", "View Source Row")</f>
        <v/>
      </c>
    </row>
    <row r="233">
      <c r="A233" s="14" t="n">
        <v>263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46133</v>
      </c>
      <c r="F233" s="40" t="n">
        <v>46133</v>
      </c>
      <c r="G233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33" s="14" t="str"/>
      <c r="I233" s="14" t="inlineStr">
        <is>
          <t>Payment</t>
        </is>
      </c>
      <c r="J233" s="39" t="n">
        <v>108963.7</v>
      </c>
      <c r="K233" s="39" t="n">
        <v>0</v>
      </c>
      <c r="L233" s="39" t="n">
        <v>108963.7</v>
      </c>
      <c r="M233" s="39" t="n">
        <v>2500</v>
      </c>
      <c r="N233" s="14" t="inlineStr">
        <is>
          <t>High Transaction; Recurring Transaction</t>
        </is>
      </c>
      <c r="O233" s="14" t="inlineStr">
        <is>
          <t>Yes</t>
        </is>
      </c>
      <c r="P233" s="14" t="inlineStr">
        <is>
          <t>EBANKWIB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46133</v>
      </c>
      <c r="AB233" s="42">
        <f>HYPERLINK("#'Transactions'!A264", "View Source Row")</f>
        <v/>
      </c>
    </row>
    <row r="234">
      <c r="A234" s="14" t="n">
        <v>264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46133</v>
      </c>
      <c r="F234" s="40" t="n">
        <v>46133</v>
      </c>
      <c r="G234" s="16" t="inlineStr">
        <is>
          <t>DIGITA-MUMBAI/ NEFT-HDFCH00948007276-QUEST ENTERPRISES PVT LTD</t>
        </is>
      </c>
      <c r="H234" s="14" t="str"/>
      <c r="I234" s="14" t="inlineStr">
        <is>
          <t>Receipt</t>
        </is>
      </c>
      <c r="J234" s="39" t="n">
        <v>0</v>
      </c>
      <c r="K234" s="39" t="n">
        <v>5000</v>
      </c>
      <c r="L234" s="39" t="n">
        <v>5000</v>
      </c>
      <c r="M234" s="39" t="n">
        <v>7500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QUEST ENTERPRISES PVT LTD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46133</v>
      </c>
      <c r="AB234" s="42">
        <f>HYPERLINK("#'Transactions'!A265", "View Source Row")</f>
        <v/>
      </c>
    </row>
    <row r="235">
      <c r="A235" s="14" t="n">
        <v>265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46134</v>
      </c>
      <c r="F235" s="40" t="n">
        <v>46134</v>
      </c>
      <c r="G235" s="16" t="inlineStr">
        <is>
          <t>DIGITA-MUMBAI/ NEFT-YESAP61123591632-PhonePe Limited</t>
        </is>
      </c>
      <c r="H235" s="14" t="str"/>
      <c r="I235" s="14" t="inlineStr">
        <is>
          <t>Receipt</t>
        </is>
      </c>
      <c r="J235" s="39" t="n">
        <v>0</v>
      </c>
      <c r="K235" s="39" t="n">
        <v>195840</v>
      </c>
      <c r="L235" s="39" t="n">
        <v>195840</v>
      </c>
      <c r="M235" s="39" t="n">
        <v>203340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PHONEPE LIMITED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46134</v>
      </c>
      <c r="AB235" s="42">
        <f>HYPERLINK("#'Transactions'!A266", "View Source Row")</f>
        <v/>
      </c>
    </row>
    <row r="236">
      <c r="A236" s="14" t="n">
        <v>266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46134</v>
      </c>
      <c r="F236" s="40" t="n">
        <v>46134</v>
      </c>
      <c r="G236" s="16" t="inlineStr">
        <is>
          <t>DIGITA-MUMBAI/ NEFT-AXNPN11273516230-PHONEPE LIMITED-PAYMENT AGGR</t>
        </is>
      </c>
      <c r="H236" s="14" t="str"/>
      <c r="I236" s="14" t="inlineStr">
        <is>
          <t>Receipt</t>
        </is>
      </c>
      <c r="J236" s="39" t="n">
        <v>0</v>
      </c>
      <c r="K236" s="39" t="n">
        <v>73388.24000000001</v>
      </c>
      <c r="L236" s="39" t="n">
        <v>73388.24000000001</v>
      </c>
      <c r="M236" s="39" t="n">
        <v>276728.24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PHONEPE LIMITED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46134</v>
      </c>
      <c r="AB236" s="42">
        <f>HYPERLINK("#'Transactions'!A267", "View Source Row")</f>
        <v/>
      </c>
    </row>
    <row r="237">
      <c r="A237" s="14" t="n">
        <v>267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46134</v>
      </c>
      <c r="F237" s="40" t="n">
        <v>46134</v>
      </c>
      <c r="G237" s="16" t="inlineStr">
        <is>
          <t>DIGITA-MUMBAI/ NEFT-AXISCN1320689816-ONE MOBIKWIK SYSTEMS LIMITED</t>
        </is>
      </c>
      <c r="H237" s="14" t="str"/>
      <c r="I237" s="14" t="inlineStr">
        <is>
          <t>Receipt</t>
        </is>
      </c>
      <c r="J237" s="39" t="n">
        <v>0</v>
      </c>
      <c r="K237" s="39" t="n">
        <v>3079</v>
      </c>
      <c r="L237" s="39" t="n">
        <v>3079</v>
      </c>
      <c r="M237" s="39" t="n">
        <v>279807.24</v>
      </c>
      <c r="N237" s="14" t="inlineStr">
        <is>
          <t>Recurring Transaction</t>
        </is>
      </c>
      <c r="O237" s="14" t="inlineStr">
        <is>
          <t>Yes</t>
        </is>
      </c>
      <c r="P237" s="14" t="inlineStr">
        <is>
          <t>ONE MOBIKWIK SYSTEMS LIMITED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46134</v>
      </c>
      <c r="AB237" s="42">
        <f>HYPERLINK("#'Transactions'!A268", "View Source Row")</f>
        <v/>
      </c>
    </row>
    <row r="238">
      <c r="A238" s="14" t="n">
        <v>268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46134</v>
      </c>
      <c r="F238" s="40" t="n">
        <v>46134</v>
      </c>
      <c r="G238" s="16" t="inlineStr">
        <is>
          <t>EBANK:WIB/1505 EBANK:WIB/1505048812/Edfs</t>
        </is>
      </c>
      <c r="H238" s="14" t="str"/>
      <c r="I238" s="14" t="inlineStr">
        <is>
          <t>Payment</t>
        </is>
      </c>
      <c r="J238" s="39" t="n">
        <v>259307.24</v>
      </c>
      <c r="K238" s="39" t="n">
        <v>0</v>
      </c>
      <c r="L238" s="39" t="n">
        <v>259307.24</v>
      </c>
      <c r="M238" s="39" t="n">
        <v>20500</v>
      </c>
      <c r="N238" s="14" t="inlineStr">
        <is>
          <t>High Transaction; Recurring Transaction</t>
        </is>
      </c>
      <c r="O238" s="14" t="inlineStr">
        <is>
          <t>Yes</t>
        </is>
      </c>
      <c r="P238" s="14" t="inlineStr">
        <is>
          <t>EBANKWIB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1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46134</v>
      </c>
      <c r="AB238" s="42">
        <f>HYPERLINK("#'Transactions'!A269", "View Source Row")</f>
        <v/>
      </c>
    </row>
    <row r="239">
      <c r="A239" s="14" t="n">
        <v>269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46134</v>
      </c>
      <c r="F239" s="40" t="n">
        <v>46134</v>
      </c>
      <c r="G239" s="16" t="inlineStr">
        <is>
          <t>DIGITA-MUMBAI/ https://cbdrpt101.bankofbaroda.co.in:22000/finbranch/arjspmorph/INFENG/tran_rpt.jsp?... 04-05-2026 IMPS/P2A/611209124412/VAKAS TEMPO SER/IMPSCNB9199</t>
        </is>
      </c>
      <c r="H239" s="14" t="str"/>
      <c r="I239" s="14" t="inlineStr">
        <is>
          <t>Receipt</t>
        </is>
      </c>
      <c r="J239" s="39" t="n">
        <v>0</v>
      </c>
      <c r="K239" s="39" t="n">
        <v>15047</v>
      </c>
      <c r="L239" s="39" t="n">
        <v>15047</v>
      </c>
      <c r="M239" s="39" t="n">
        <v>35547</v>
      </c>
      <c r="N239" s="14" t="inlineStr">
        <is>
          <t>Recurring Transaction</t>
        </is>
      </c>
      <c r="O239" s="14" t="inlineStr">
        <is>
          <t>Yes</t>
        </is>
      </c>
      <c r="P239" s="14" t="inlineStr">
        <is>
          <t>CBDRPTBANKOFBARODACOIN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46134</v>
      </c>
      <c r="AB239" s="42">
        <f>HYPERLINK("#'Transactions'!A270", "View Source Row")</f>
        <v/>
      </c>
    </row>
    <row r="240">
      <c r="A240" s="14" t="n">
        <v>270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46134</v>
      </c>
      <c r="F240" s="40" t="n">
        <v>46134</v>
      </c>
      <c r="G240" s="16" t="inlineStr">
        <is>
          <t>DIGITA-MUMBAI/ NEFT-AXISCN1320801214-PINE LABS PRIVATE LIMITED-NO</t>
        </is>
      </c>
      <c r="H240" s="14" t="str"/>
      <c r="I240" s="14" t="inlineStr">
        <is>
          <t>Receipt</t>
        </is>
      </c>
      <c r="J240" s="39" t="n">
        <v>0</v>
      </c>
      <c r="K240" s="39" t="n">
        <v>43401</v>
      </c>
      <c r="L240" s="39" t="n">
        <v>43401</v>
      </c>
      <c r="M240" s="39" t="n">
        <v>78948</v>
      </c>
      <c r="N240" s="14" t="inlineStr">
        <is>
          <t>Recurring Transaction</t>
        </is>
      </c>
      <c r="O240" s="14" t="inlineStr">
        <is>
          <t>Yes</t>
        </is>
      </c>
      <c r="P240" s="14" t="inlineStr">
        <is>
          <t>PINE LABS PRIVATE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46134</v>
      </c>
      <c r="AB240" s="42">
        <f>HYPERLINK("#'Transactions'!A271", "View Source Row")</f>
        <v/>
      </c>
    </row>
    <row r="241">
      <c r="A241" s="14" t="n">
        <v>271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46134</v>
      </c>
      <c r="F241" s="40" t="n">
        <v>46134</v>
      </c>
      <c r="G241" s="16" t="inlineStr">
        <is>
          <t>DIGITA-MUMBAI/ IMPS/P2A/611210623841/OMSANITRANSPORT/Diesel Bill</t>
        </is>
      </c>
      <c r="H241" s="14" t="str"/>
      <c r="I241" s="14" t="inlineStr">
        <is>
          <t>Receipt</t>
        </is>
      </c>
      <c r="J241" s="39" t="n">
        <v>0</v>
      </c>
      <c r="K241" s="39" t="n">
        <v>37750</v>
      </c>
      <c r="L241" s="39" t="n">
        <v>37750</v>
      </c>
      <c r="M241" s="39" t="n">
        <v>116698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OMSANITRANSPORT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46134</v>
      </c>
      <c r="AB241" s="42">
        <f>HYPERLINK("#'Transactions'!A272", "View Source Row")</f>
        <v/>
      </c>
    </row>
    <row r="242">
      <c r="A242" s="14" t="n">
        <v>273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46134</v>
      </c>
      <c r="F242" s="40" t="n">
        <v>46134</v>
      </c>
      <c r="G242" s="16" t="inlineStr">
        <is>
          <t>DIGITA-MUMBAI/ NEFT-NKGSH26112125723-GEBI PRODUCTS PRIVATE LIMITE</t>
        </is>
      </c>
      <c r="H242" s="14" t="str"/>
      <c r="I242" s="14" t="inlineStr">
        <is>
          <t>Receipt</t>
        </is>
      </c>
      <c r="J242" s="39" t="n">
        <v>0</v>
      </c>
      <c r="K242" s="39" t="n">
        <v>7484.8</v>
      </c>
      <c r="L242" s="39" t="n">
        <v>7484.8</v>
      </c>
      <c r="M242" s="39" t="n">
        <v>224182.8</v>
      </c>
      <c r="N242" s="14" t="inlineStr">
        <is>
          <t>Recurring Transaction</t>
        </is>
      </c>
      <c r="O242" s="14" t="inlineStr">
        <is>
          <t>Yes</t>
        </is>
      </c>
      <c r="P242" s="14" t="inlineStr">
        <is>
          <t>GEBI PRODUCTS PRIVATE LIMITE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46134</v>
      </c>
      <c r="AB242" s="42">
        <f>HYPERLINK("#'Transactions'!A274", "View Source Row")</f>
        <v/>
      </c>
    </row>
    <row r="243">
      <c r="A243" s="14" t="n">
        <v>274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46134</v>
      </c>
      <c r="F243" s="40" t="n">
        <v>46134</v>
      </c>
      <c r="G243" s="16" t="inlineStr">
        <is>
          <t>DIGITA-MUMBAI/ NEFT-IN42611251127313-MITA FASTENERS PRIVATE LIMIT</t>
        </is>
      </c>
      <c r="H243" s="14" t="str"/>
      <c r="I243" s="14" t="inlineStr">
        <is>
          <t>Receipt</t>
        </is>
      </c>
      <c r="J243" s="39" t="n">
        <v>0</v>
      </c>
      <c r="K243" s="39" t="n">
        <v>9044</v>
      </c>
      <c r="L243" s="39" t="n">
        <v>9044</v>
      </c>
      <c r="M243" s="39" t="n">
        <v>233226.8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MITA FASTENERS PRIVATE LIMIT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46134</v>
      </c>
      <c r="AB243" s="42">
        <f>HYPERLINK("#'Transactions'!A275", "View Source Row")</f>
        <v/>
      </c>
    </row>
    <row r="244">
      <c r="A244" s="14" t="n">
        <v>275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46134</v>
      </c>
      <c r="F244" s="40" t="n">
        <v>46134</v>
      </c>
      <c r="G244" s="16" t="inlineStr">
        <is>
          <t>DIGITA-MUMBAI/ IMPS/P2A/611218586331/SHREE GANESH EN/diselVVS910</t>
        </is>
      </c>
      <c r="H244" s="14" t="str"/>
      <c r="I244" s="14" t="inlineStr">
        <is>
          <t>Receipt</t>
        </is>
      </c>
      <c r="J244" s="39" t="n">
        <v>0</v>
      </c>
      <c r="K244" s="39" t="n">
        <v>63308</v>
      </c>
      <c r="L244" s="39" t="n">
        <v>63308</v>
      </c>
      <c r="M244" s="39" t="n">
        <v>296534.8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SHREE GANESH EN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46134</v>
      </c>
      <c r="AB244" s="42">
        <f>HYPERLINK("#'Transactions'!A276", "View Source Row")</f>
        <v/>
      </c>
    </row>
    <row r="245">
      <c r="A245" s="14" t="n">
        <v>276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46134</v>
      </c>
      <c r="F245" s="40" t="n">
        <v>46134</v>
      </c>
      <c r="G245" s="16" t="inlineStr">
        <is>
          <t>DIGITA-MUMBAI/ NEFT-IN42611251256831-VINAYAK OIL INDUSTRIES</t>
        </is>
      </c>
      <c r="H245" s="14" t="str"/>
      <c r="I245" s="14" t="inlineStr">
        <is>
          <t>Receipt</t>
        </is>
      </c>
      <c r="J245" s="39" t="n">
        <v>0</v>
      </c>
      <c r="K245" s="39" t="n">
        <v>62222</v>
      </c>
      <c r="L245" s="39" t="n">
        <v>62222</v>
      </c>
      <c r="M245" s="39" t="n">
        <v>358756.8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VINAYAK OIL INDUSTRIES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46134</v>
      </c>
      <c r="AB245" s="42">
        <f>HYPERLINK("#'Transactions'!A277", "View Source Row")</f>
        <v/>
      </c>
    </row>
    <row r="246">
      <c r="A246" s="14" t="n">
        <v>277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46134</v>
      </c>
      <c r="F246" s="40" t="n">
        <v>46134</v>
      </c>
      <c r="G246" s="16" t="inlineStr">
        <is>
          <t>EBANK:WIB/1505 EBANK:WIB/1505171210/Edfs</t>
        </is>
      </c>
      <c r="H246" s="14" t="str"/>
      <c r="I246" s="14" t="inlineStr">
        <is>
          <t>Payment</t>
        </is>
      </c>
      <c r="J246" s="39" t="n">
        <v>356256.8</v>
      </c>
      <c r="K246" s="39" t="n">
        <v>0</v>
      </c>
      <c r="L246" s="39" t="n">
        <v>356256.8</v>
      </c>
      <c r="M246" s="39" t="n">
        <v>2500</v>
      </c>
      <c r="N246" s="14" t="inlineStr">
        <is>
          <t>High Transaction; Recurring Transaction</t>
        </is>
      </c>
      <c r="O246" s="14" t="inlineStr">
        <is>
          <t>Yes</t>
        </is>
      </c>
      <c r="P246" s="14" t="inlineStr">
        <is>
          <t>EBANKWIB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1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46134</v>
      </c>
      <c r="AB246" s="42">
        <f>HYPERLINK("#'Transactions'!A278", "View Source Row")</f>
        <v/>
      </c>
    </row>
    <row r="247">
      <c r="A247" s="14" t="n">
        <v>279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46134</v>
      </c>
      <c r="F247" s="40" t="n">
        <v>46134</v>
      </c>
      <c r="G247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47" s="14" t="str"/>
      <c r="I247" s="14" t="inlineStr">
        <is>
          <t>Payment</t>
        </is>
      </c>
      <c r="J247" s="39" t="n">
        <v>50000</v>
      </c>
      <c r="K247" s="39" t="n">
        <v>0</v>
      </c>
      <c r="L247" s="39" t="n">
        <v>50000</v>
      </c>
      <c r="M247" s="39" t="n">
        <v>2500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EBANKWIB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46134</v>
      </c>
      <c r="AB247" s="42">
        <f>HYPERLINK("#'Transactions'!A280", "View Source Row")</f>
        <v/>
      </c>
    </row>
    <row r="248">
      <c r="A248" s="14" t="n">
        <v>280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46135</v>
      </c>
      <c r="F248" s="40" t="n">
        <v>46135</v>
      </c>
      <c r="G248" s="16" t="inlineStr">
        <is>
          <t>DIGITA-MUMBAI/ NEFT-YESAP61133866852-PhonePe Limited</t>
        </is>
      </c>
      <c r="H248" s="14" t="str"/>
      <c r="I248" s="14" t="inlineStr">
        <is>
          <t>Receipt</t>
        </is>
      </c>
      <c r="J248" s="39" t="n">
        <v>0</v>
      </c>
      <c r="K248" s="39" t="n">
        <v>224683</v>
      </c>
      <c r="L248" s="39" t="n">
        <v>224683</v>
      </c>
      <c r="M248" s="39" t="n">
        <v>227183</v>
      </c>
      <c r="N248" s="14" t="inlineStr">
        <is>
          <t>High Transaction; Recurring Transaction</t>
        </is>
      </c>
      <c r="O248" s="14" t="inlineStr">
        <is>
          <t>Yes</t>
        </is>
      </c>
      <c r="P248" s="14" t="inlineStr">
        <is>
          <t>PHONEPE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46135</v>
      </c>
      <c r="AB248" s="42">
        <f>HYPERLINK("#'Transactions'!A281", "View Source Row")</f>
        <v/>
      </c>
    </row>
    <row r="249">
      <c r="A249" s="14" t="n">
        <v>281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46135</v>
      </c>
      <c r="F249" s="40" t="n">
        <v>46135</v>
      </c>
      <c r="G249" s="16" t="inlineStr">
        <is>
          <t>EBANK:WIB/1505 EBANK:WIB/1505193929/Edfs</t>
        </is>
      </c>
      <c r="H249" s="14" t="str"/>
      <c r="I249" s="14" t="inlineStr">
        <is>
          <t>Payment</t>
        </is>
      </c>
      <c r="J249" s="39" t="n">
        <v>224683</v>
      </c>
      <c r="K249" s="39" t="n">
        <v>0</v>
      </c>
      <c r="L249" s="39" t="n">
        <v>224683</v>
      </c>
      <c r="M249" s="39" t="n">
        <v>2500</v>
      </c>
      <c r="N249" s="14" t="inlineStr">
        <is>
          <t>High Transaction; Recurring Transaction</t>
        </is>
      </c>
      <c r="O249" s="14" t="inlineStr">
        <is>
          <t>Yes</t>
        </is>
      </c>
      <c r="P249" s="14" t="inlineStr">
        <is>
          <t>EBANKWIB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1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46135</v>
      </c>
      <c r="AB249" s="42">
        <f>HYPERLINK("#'Transactions'!A282", "View Source Row")</f>
        <v/>
      </c>
    </row>
    <row r="250">
      <c r="A250" s="14" t="n">
        <v>282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46135</v>
      </c>
      <c r="F250" s="40" t="n">
        <v>46135</v>
      </c>
      <c r="G250" s="16" t="inlineStr">
        <is>
          <t>DIGITA-MUMBAI/ NEFT-AXNPN11382060759-PHONEPE LIMITED-PAYMENT AGGR</t>
        </is>
      </c>
      <c r="H250" s="14" t="str"/>
      <c r="I250" s="14" t="inlineStr">
        <is>
          <t>Receipt</t>
        </is>
      </c>
      <c r="J250" s="39" t="n">
        <v>0</v>
      </c>
      <c r="K250" s="39" t="n">
        <v>82795.52</v>
      </c>
      <c r="L250" s="39" t="n">
        <v>82795.52</v>
      </c>
      <c r="M250" s="39" t="n">
        <v>85295.52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PHONEPE LIMITED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46135</v>
      </c>
      <c r="AB250" s="42">
        <f>HYPERLINK("#'Transactions'!A283", "View Source Row")</f>
        <v/>
      </c>
    </row>
    <row r="251">
      <c r="A251" s="14" t="n">
        <v>283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46135</v>
      </c>
      <c r="F251" s="40" t="n">
        <v>46135</v>
      </c>
      <c r="G251" s="16" t="inlineStr">
        <is>
          <t>EBANK:WIB/1505 EBANK:WIB/1505194002/Edfs</t>
        </is>
      </c>
      <c r="H251" s="14" t="str"/>
      <c r="I251" s="14" t="inlineStr">
        <is>
          <t>Payment</t>
        </is>
      </c>
      <c r="J251" s="39" t="n">
        <v>82795.52</v>
      </c>
      <c r="K251" s="39" t="n">
        <v>0</v>
      </c>
      <c r="L251" s="39" t="n">
        <v>82795.52</v>
      </c>
      <c r="M251" s="39" t="n">
        <v>2500</v>
      </c>
      <c r="N251" s="14" t="inlineStr">
        <is>
          <t>Recurring Transaction</t>
        </is>
      </c>
      <c r="O251" s="14" t="inlineStr">
        <is>
          <t>Yes</t>
        </is>
      </c>
      <c r="P251" s="14" t="inlineStr">
        <is>
          <t>EBANKWIB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46135</v>
      </c>
      <c r="AB251" s="42">
        <f>HYPERLINK("#'Transactions'!A284", "View Source Row")</f>
        <v/>
      </c>
    </row>
    <row r="252">
      <c r="A252" s="14" t="n">
        <v>284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46135</v>
      </c>
      <c r="F252" s="40" t="n">
        <v>46135</v>
      </c>
      <c r="G252" s="16" t="inlineStr">
        <is>
          <t>DIGITA-MUMBAI/ NEFT-AXISCN1321967431-ONE MOBIKWIK SYSTEMS LIMITED</t>
        </is>
      </c>
      <c r="H252" s="14" t="str"/>
      <c r="I252" s="14" t="inlineStr">
        <is>
          <t>Receipt</t>
        </is>
      </c>
      <c r="J252" s="39" t="n">
        <v>0</v>
      </c>
      <c r="K252" s="39" t="n">
        <v>9330</v>
      </c>
      <c r="L252" s="39" t="n">
        <v>9330</v>
      </c>
      <c r="M252" s="39" t="n">
        <v>11830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ONE MOBIKWIK SYSTEMS LIMITED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46135</v>
      </c>
      <c r="AB252" s="42">
        <f>HYPERLINK("#'Transactions'!A285", "View Source Row")</f>
        <v/>
      </c>
    </row>
    <row r="253">
      <c r="A253" s="14" t="n">
        <v>285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46135</v>
      </c>
      <c r="F253" s="40" t="n">
        <v>46135</v>
      </c>
      <c r="G253" s="16" t="inlineStr">
        <is>
          <t>DIGITA-MUMBAI/ NEFT-AXISCN1322079433-PINE LABS PRIVATE LIMITED-NO</t>
        </is>
      </c>
      <c r="H253" s="14" t="str"/>
      <c r="I253" s="14" t="inlineStr">
        <is>
          <t>Receipt</t>
        </is>
      </c>
      <c r="J253" s="39" t="n">
        <v>0</v>
      </c>
      <c r="K253" s="39" t="n">
        <v>214974</v>
      </c>
      <c r="L253" s="39" t="n">
        <v>214974</v>
      </c>
      <c r="M253" s="39" t="n">
        <v>226804</v>
      </c>
      <c r="N253" s="14" t="inlineStr">
        <is>
          <t>High Transaction; Recurring Transaction</t>
        </is>
      </c>
      <c r="O253" s="14" t="inlineStr">
        <is>
          <t>Yes</t>
        </is>
      </c>
      <c r="P253" s="14" t="inlineStr">
        <is>
          <t>PINE LABS PRIVATE LIMITED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1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46135</v>
      </c>
      <c r="AB253" s="42">
        <f>HYPERLINK("#'Transactions'!A286", "View Source Row")</f>
        <v/>
      </c>
    </row>
    <row r="254">
      <c r="A254" s="14" t="n">
        <v>287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46135</v>
      </c>
      <c r="F254" s="40" t="n">
        <v>46135</v>
      </c>
      <c r="G254" s="16" t="inlineStr">
        <is>
          <t>EBANK:WIB/1505 EBANK:WIB/1505205959/Edfs</t>
        </is>
      </c>
      <c r="H254" s="14" t="str"/>
      <c r="I254" s="14" t="inlineStr">
        <is>
          <t>Payment</t>
        </is>
      </c>
      <c r="J254" s="39" t="n">
        <v>269000</v>
      </c>
      <c r="K254" s="39" t="n">
        <v>0</v>
      </c>
      <c r="L254" s="39" t="n">
        <v>269000</v>
      </c>
      <c r="M254" s="39" t="n">
        <v>3024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EBANKWIB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46135</v>
      </c>
      <c r="AB254" s="42">
        <f>HYPERLINK("#'Transactions'!A288", "View Source Row")</f>
        <v/>
      </c>
    </row>
    <row r="255">
      <c r="A255" s="14" t="n">
        <v>288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46135</v>
      </c>
      <c r="F255" s="40" t="n">
        <v>46135</v>
      </c>
      <c r="G255" s="16" t="inlineStr">
        <is>
          <t>Charges for Charges for PORD Customer Payment :003606420745</t>
        </is>
      </c>
      <c r="H255" s="14" t="str"/>
      <c r="I255" s="14" t="inlineStr">
        <is>
          <t>Payment</t>
        </is>
      </c>
      <c r="J255" s="39" t="n">
        <v>2.65</v>
      </c>
      <c r="K255" s="39" t="n">
        <v>0</v>
      </c>
      <c r="L255" s="39" t="n">
        <v>2.65</v>
      </c>
      <c r="M255" s="39" t="n">
        <v>3021.35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CHARGES FOR CHARGES FOR PORD CUSTOMER PA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46135</v>
      </c>
      <c r="AB255" s="42">
        <f>HYPERLINK("#'Transactions'!A289", "View Source Row")</f>
        <v/>
      </c>
    </row>
    <row r="256">
      <c r="A256" s="14" t="n">
        <v>289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46135</v>
      </c>
      <c r="F256" s="40" t="n">
        <v>46135</v>
      </c>
      <c r="G256" s="16" t="inlineStr">
        <is>
          <t>NEFT-BARBV2611 NEFT-BARBV26113832164-RAMZAN HASNANI-CENTRAL BANK</t>
        </is>
      </c>
      <c r="H256" s="14" t="str"/>
      <c r="I256" s="14" t="inlineStr">
        <is>
          <t>Payment</t>
        </is>
      </c>
      <c r="J256" s="39" t="n">
        <v>1000</v>
      </c>
      <c r="K256" s="39" t="n">
        <v>0</v>
      </c>
      <c r="L256" s="39" t="n">
        <v>1000</v>
      </c>
      <c r="M256" s="39" t="n">
        <v>2021.35</v>
      </c>
      <c r="N256" s="14" t="inlineStr">
        <is>
          <t>Recurring Transaction</t>
        </is>
      </c>
      <c r="O256" s="14" t="inlineStr">
        <is>
          <t>Yes</t>
        </is>
      </c>
      <c r="P256" s="14" t="inlineStr">
        <is>
          <t>BARBV NEFT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46135</v>
      </c>
      <c r="AB256" s="42">
        <f>HYPERLINK("#'Transactions'!A290", "View Source Row")</f>
        <v/>
      </c>
    </row>
    <row r="257">
      <c r="A257" s="14" t="n">
        <v>290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46135</v>
      </c>
      <c r="F257" s="40" t="n">
        <v>46135</v>
      </c>
      <c r="G257" s="16" t="inlineStr">
        <is>
          <t>DIGITA-MUMBAI/ NEFT-AXODH11383366299-GRISHMA METAL TECHNOLOGY</t>
        </is>
      </c>
      <c r="H257" s="14" t="str"/>
      <c r="I257" s="14" t="inlineStr">
        <is>
          <t>Receipt</t>
        </is>
      </c>
      <c r="J257" s="39" t="n">
        <v>0</v>
      </c>
      <c r="K257" s="39" t="n">
        <v>124000</v>
      </c>
      <c r="L257" s="39" t="n">
        <v>124000</v>
      </c>
      <c r="M257" s="39" t="n">
        <v>126021.35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GRISHMA METAL TECHNOLOGY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46135</v>
      </c>
      <c r="AB257" s="42">
        <f>HYPERLINK("#'Transactions'!A291", "View Source Row")</f>
        <v/>
      </c>
    </row>
    <row r="258">
      <c r="A258" s="14" t="n">
        <v>292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46135</v>
      </c>
      <c r="F258" s="40" t="n">
        <v>46135</v>
      </c>
      <c r="G258" s="16" t="inlineStr">
        <is>
          <t>DIGITA-MUMBAI/ NEFT-KKBKH26113992510-ATLAS COMMODITIES PRIVATE LI</t>
        </is>
      </c>
      <c r="H258" s="14" t="str"/>
      <c r="I258" s="14" t="inlineStr">
        <is>
          <t>Receipt</t>
        </is>
      </c>
      <c r="J258" s="39" t="n">
        <v>0</v>
      </c>
      <c r="K258" s="39" t="n">
        <v>4796</v>
      </c>
      <c r="L258" s="39" t="n">
        <v>4796</v>
      </c>
      <c r="M258" s="39" t="n">
        <v>134817.35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ATLAS COMMODITIES PRIVATE LI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46135</v>
      </c>
      <c r="AB258" s="42">
        <f>HYPERLINK("#'Transactions'!A293", "View Source Row")</f>
        <v/>
      </c>
    </row>
    <row r="259">
      <c r="A259" s="14" t="n">
        <v>293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46135</v>
      </c>
      <c r="F259" s="40" t="n">
        <v>46135</v>
      </c>
      <c r="G259" s="16" t="inlineStr">
        <is>
          <t>DIGITA-MUMBAI/ https://cbdrpt101.bankofbaroda.co.in:22000/finbranch/arjspmorph/INFENG/tran_rpt.jsp?... 04-05-2026 NEFT-NKGSH26113138754-GEBI PRODUCTS PRIVATE LIMITE</t>
        </is>
      </c>
      <c r="H259" s="14" t="str"/>
      <c r="I259" s="14" t="inlineStr">
        <is>
          <t>Receipt</t>
        </is>
      </c>
      <c r="J259" s="39" t="n">
        <v>0</v>
      </c>
      <c r="K259" s="39" t="n">
        <v>4400</v>
      </c>
      <c r="L259" s="39" t="n">
        <v>4400</v>
      </c>
      <c r="M259" s="39" t="n">
        <v>139217.35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CBDRPTBANKOFBARODACOIN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46135</v>
      </c>
      <c r="AB259" s="42">
        <f>HYPERLINK("#'Transactions'!A294", "View Source Row")</f>
        <v/>
      </c>
    </row>
    <row r="260">
      <c r="A260" s="14" t="n">
        <v>296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46135</v>
      </c>
      <c r="F260" s="40" t="n">
        <v>46135</v>
      </c>
      <c r="G260" s="16" t="inlineStr">
        <is>
          <t>EBANK:WIB/1505 EBANK:WIB/1505315722/Edfs</t>
        </is>
      </c>
      <c r="H260" s="14" t="str"/>
      <c r="I260" s="14" t="inlineStr">
        <is>
          <t>Payment</t>
        </is>
      </c>
      <c r="J260" s="39" t="n">
        <v>222635.35</v>
      </c>
      <c r="K260" s="39" t="n">
        <v>0</v>
      </c>
      <c r="L260" s="39" t="n">
        <v>222635.35</v>
      </c>
      <c r="M260" s="39" t="n">
        <v>2500</v>
      </c>
      <c r="N260" s="14" t="inlineStr">
        <is>
          <t>High Transaction; Recurring Transaction</t>
        </is>
      </c>
      <c r="O260" s="14" t="inlineStr">
        <is>
          <t>Yes</t>
        </is>
      </c>
      <c r="P260" s="14" t="inlineStr">
        <is>
          <t>EBANKWIB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1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46135</v>
      </c>
      <c r="AB260" s="42">
        <f>HYPERLINK("#'Transactions'!A297", "View Source Row")</f>
        <v/>
      </c>
    </row>
    <row r="261">
      <c r="A261" s="14" t="n">
        <v>297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46136</v>
      </c>
      <c r="F261" s="40" t="n">
        <v>46136</v>
      </c>
      <c r="G261" s="16" t="inlineStr">
        <is>
          <t>DIGITA-MUMBAI/ NEFT-YESAP61143829163-PhonePe Limited</t>
        </is>
      </c>
      <c r="H261" s="14" t="str"/>
      <c r="I261" s="14" t="inlineStr">
        <is>
          <t>Receipt</t>
        </is>
      </c>
      <c r="J261" s="39" t="n">
        <v>0</v>
      </c>
      <c r="K261" s="39" t="n">
        <v>234281</v>
      </c>
      <c r="L261" s="39" t="n">
        <v>234281</v>
      </c>
      <c r="M261" s="39" t="n">
        <v>236781</v>
      </c>
      <c r="N261" s="14" t="inlineStr">
        <is>
          <t>High Transaction; Recurring Transaction</t>
        </is>
      </c>
      <c r="O261" s="14" t="inlineStr">
        <is>
          <t>Yes</t>
        </is>
      </c>
      <c r="P261" s="14" t="inlineStr">
        <is>
          <t>PHONEPE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1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46136</v>
      </c>
      <c r="AB261" s="42">
        <f>HYPERLINK("#'Transactions'!A298", "View Source Row")</f>
        <v/>
      </c>
    </row>
    <row r="262">
      <c r="A262" s="14" t="n">
        <v>298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46136</v>
      </c>
      <c r="F262" s="40" t="n">
        <v>46136</v>
      </c>
      <c r="G262" s="16" t="inlineStr">
        <is>
          <t>DIGITA-MUMBAI/ NEFT-AXNPN11490153195-PHONEPE LIMITED-PAYMENT AGGR</t>
        </is>
      </c>
      <c r="H262" s="14" t="str"/>
      <c r="I262" s="14" t="inlineStr">
        <is>
          <t>Receipt</t>
        </is>
      </c>
      <c r="J262" s="39" t="n">
        <v>0</v>
      </c>
      <c r="K262" s="39" t="n">
        <v>81529</v>
      </c>
      <c r="L262" s="39" t="n">
        <v>81529</v>
      </c>
      <c r="M262" s="39" t="n">
        <v>318310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PHONEPE LIMITED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46136</v>
      </c>
      <c r="AB262" s="42">
        <f>HYPERLINK("#'Transactions'!A299", "View Source Row")</f>
        <v/>
      </c>
    </row>
    <row r="263">
      <c r="A263" s="14" t="n">
        <v>299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46136</v>
      </c>
      <c r="F263" s="40" t="n">
        <v>46136</v>
      </c>
      <c r="G263" s="16" t="inlineStr">
        <is>
          <t>DIGITA-MUMBAI/ NEFT-AXISCN1322890868-ONE MOBIKWIK SYSTEMS LIMITED</t>
        </is>
      </c>
      <c r="H263" s="14" t="str"/>
      <c r="I263" s="14" t="inlineStr">
        <is>
          <t>Receipt</t>
        </is>
      </c>
      <c r="J263" s="39" t="n">
        <v>0</v>
      </c>
      <c r="K263" s="39" t="n">
        <v>3100</v>
      </c>
      <c r="L263" s="39" t="n">
        <v>3100</v>
      </c>
      <c r="M263" s="39" t="n">
        <v>321410</v>
      </c>
      <c r="N263" s="14" t="inlineStr">
        <is>
          <t>Recurring Transaction</t>
        </is>
      </c>
      <c r="O263" s="14" t="inlineStr">
        <is>
          <t>Yes</t>
        </is>
      </c>
      <c r="P263" s="14" t="inlineStr">
        <is>
          <t>ONE MOBIKWIK SYSTEMS LIMITED</t>
        </is>
      </c>
      <c r="Q263" s="14" t="n">
        <v>0</v>
      </c>
      <c r="R263" s="14" t="n">
        <v>1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46136</v>
      </c>
      <c r="AB263" s="42">
        <f>HYPERLINK("#'Transactions'!A300", "View Source Row")</f>
        <v/>
      </c>
    </row>
    <row r="264">
      <c r="A264" s="14" t="n">
        <v>300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46136</v>
      </c>
      <c r="F264" s="40" t="n">
        <v>46136</v>
      </c>
      <c r="G264" s="16" t="inlineStr">
        <is>
          <t>DIGITA-MUMBAI/ NEFT-AXISCN1322996900-PINE LABS PRIVATE LIMITED-NO</t>
        </is>
      </c>
      <c r="H264" s="14" t="str"/>
      <c r="I264" s="14" t="inlineStr">
        <is>
          <t>Receipt</t>
        </is>
      </c>
      <c r="J264" s="39" t="n">
        <v>0</v>
      </c>
      <c r="K264" s="39" t="n">
        <v>90493</v>
      </c>
      <c r="L264" s="39" t="n">
        <v>90493</v>
      </c>
      <c r="M264" s="39" t="n">
        <v>411903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PINE LABS PRIVATE LIMITED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46136</v>
      </c>
      <c r="AB264" s="42">
        <f>HYPERLINK("#'Transactions'!A301", "View Source Row")</f>
        <v/>
      </c>
    </row>
    <row r="265">
      <c r="A265" s="14" t="n">
        <v>301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46136</v>
      </c>
      <c r="F265" s="40" t="n">
        <v>46136</v>
      </c>
      <c r="G265" s="16" t="inlineStr">
        <is>
          <t>EBANK:WIB/1505 EBANK:WIB/1505337172/Edfs</t>
        </is>
      </c>
      <c r="H265" s="14" t="str"/>
      <c r="I265" s="14" t="inlineStr">
        <is>
          <t>Payment</t>
        </is>
      </c>
      <c r="J265" s="39" t="n">
        <v>400403</v>
      </c>
      <c r="K265" s="39" t="n">
        <v>0</v>
      </c>
      <c r="L265" s="39" t="n">
        <v>400403</v>
      </c>
      <c r="M265" s="39" t="n">
        <v>11500</v>
      </c>
      <c r="N265" s="14" t="inlineStr">
        <is>
          <t>High Transaction; Recurring Transaction</t>
        </is>
      </c>
      <c r="O265" s="14" t="inlineStr">
        <is>
          <t>Yes</t>
        </is>
      </c>
      <c r="P265" s="14" t="inlineStr">
        <is>
          <t>EBANKWIB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1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46136</v>
      </c>
      <c r="AB265" s="42">
        <f>HYPERLINK("#'Transactions'!A302", "View Source Row")</f>
        <v/>
      </c>
    </row>
    <row r="266">
      <c r="A266" s="14" t="n">
        <v>302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46136</v>
      </c>
      <c r="F266" s="40" t="n">
        <v>46136</v>
      </c>
      <c r="G266" s="16" t="inlineStr">
        <is>
          <t>DIGITA-MUMBAI/ NEFT-NKGSH26114148361-GEBI PRODUCTS PRIVATE LIMITE</t>
        </is>
      </c>
      <c r="H266" s="14" t="str"/>
      <c r="I266" s="14" t="inlineStr">
        <is>
          <t>Receipt</t>
        </is>
      </c>
      <c r="J266" s="39" t="n">
        <v>0</v>
      </c>
      <c r="K266" s="39" t="n">
        <v>2710</v>
      </c>
      <c r="L266" s="39" t="n">
        <v>2710</v>
      </c>
      <c r="M266" s="39" t="n">
        <v>14210</v>
      </c>
      <c r="N266" s="14" t="inlineStr">
        <is>
          <t>Recurring Transaction</t>
        </is>
      </c>
      <c r="O266" s="14" t="inlineStr">
        <is>
          <t>Yes</t>
        </is>
      </c>
      <c r="P266" s="14" t="inlineStr">
        <is>
          <t>GEBI PRODUCTS PRIVATE LIMITE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46136</v>
      </c>
      <c r="AB266" s="42">
        <f>HYPERLINK("#'Transactions'!A303", "View Source Row")</f>
        <v/>
      </c>
    </row>
    <row r="267">
      <c r="A267" s="14" t="n">
        <v>303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46136</v>
      </c>
      <c r="F267" s="40" t="n">
        <v>46136</v>
      </c>
      <c r="G267" s="16" t="inlineStr">
        <is>
          <t>DIGITA-MUMBAI/ NEFT-IN42611452122935-N R COLOURS LIMITED</t>
        </is>
      </c>
      <c r="H267" s="14" t="str"/>
      <c r="I267" s="14" t="inlineStr">
        <is>
          <t>Receipt</t>
        </is>
      </c>
      <c r="J267" s="39" t="n">
        <v>0</v>
      </c>
      <c r="K267" s="39" t="n">
        <v>20000</v>
      </c>
      <c r="L267" s="39" t="n">
        <v>20000</v>
      </c>
      <c r="M267" s="39" t="n">
        <v>34210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N R COLOURS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46136</v>
      </c>
      <c r="AB267" s="42">
        <f>HYPERLINK("#'Transactions'!A304", "View Source Row")</f>
        <v/>
      </c>
    </row>
    <row r="268">
      <c r="A268" s="14" t="n">
        <v>304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46136</v>
      </c>
      <c r="F268" s="40" t="n">
        <v>46136</v>
      </c>
      <c r="G268" s="16" t="inlineStr">
        <is>
          <t>DIGITA-MUMBAI/ NEFT-IDIBH11439372913-JAI AMBE TRANSPORT</t>
        </is>
      </c>
      <c r="H268" s="14" t="str"/>
      <c r="I268" s="14" t="inlineStr">
        <is>
          <t>Receipt</t>
        </is>
      </c>
      <c r="J268" s="39" t="n">
        <v>0</v>
      </c>
      <c r="K268" s="39" t="n">
        <v>4545</v>
      </c>
      <c r="L268" s="39" t="n">
        <v>4545</v>
      </c>
      <c r="M268" s="39" t="n">
        <v>38755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JAI AMBE TRANSPORT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46136</v>
      </c>
      <c r="AB268" s="42">
        <f>HYPERLINK("#'Transactions'!A305", "View Source Row")</f>
        <v/>
      </c>
    </row>
    <row r="269">
      <c r="A269" s="14" t="n">
        <v>305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46136</v>
      </c>
      <c r="F269" s="40" t="n">
        <v>46136</v>
      </c>
      <c r="G269" s="16" t="inlineStr">
        <is>
          <t>EBANK:15054403 EBANK:1505440385/icicibank/114463157029/AVENUES I</t>
        </is>
      </c>
      <c r="H269" s="14" t="str"/>
      <c r="I269" s="14" t="inlineStr">
        <is>
          <t>Payment</t>
        </is>
      </c>
      <c r="J269" s="39" t="n">
        <v>13249</v>
      </c>
      <c r="K269" s="39" t="n">
        <v>0</v>
      </c>
      <c r="L269" s="39" t="n">
        <v>13249</v>
      </c>
      <c r="M269" s="39" t="n">
        <v>25506</v>
      </c>
      <c r="N269" s="14" t="inlineStr">
        <is>
          <t>Recurring Transaction</t>
        </is>
      </c>
      <c r="O269" s="14" t="inlineStr">
        <is>
          <t>Yes</t>
        </is>
      </c>
      <c r="P269" s="14" t="inlineStr">
        <is>
          <t>EBANK EBANK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46136</v>
      </c>
      <c r="AB269" s="42">
        <f>HYPERLINK("#'Transactions'!A306", "View Source Row")</f>
        <v/>
      </c>
    </row>
    <row r="270">
      <c r="A270" s="14" t="n">
        <v>306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46136</v>
      </c>
      <c r="F270" s="40" t="n">
        <v>46136</v>
      </c>
      <c r="G270" s="16" t="inlineStr">
        <is>
          <t>DIGITA-MUMBAI/ NEFT-IN22611428762276-PELL TECH HEALTH CARE PRIVAT</t>
        </is>
      </c>
      <c r="H270" s="14" t="str"/>
      <c r="I270" s="14" t="inlineStr">
        <is>
          <t>Receipt</t>
        </is>
      </c>
      <c r="J270" s="39" t="n">
        <v>0</v>
      </c>
      <c r="K270" s="39" t="n">
        <v>12063</v>
      </c>
      <c r="L270" s="39" t="n">
        <v>12063</v>
      </c>
      <c r="M270" s="39" t="n">
        <v>37569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PELL TECH HEALTH CARE PRIVAT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46136</v>
      </c>
      <c r="AB270" s="42">
        <f>HYPERLINK("#'Transactions'!A307", "View Source Row")</f>
        <v/>
      </c>
    </row>
    <row r="271">
      <c r="A271" s="14" t="n">
        <v>308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46136</v>
      </c>
      <c r="F271" s="40" t="n">
        <v>46136</v>
      </c>
      <c r="G271" s="16" t="inlineStr">
        <is>
          <t>EBANK:WIB/1505 EBANK:WIB/1505452714/Edfs</t>
        </is>
      </c>
      <c r="H271" s="14" t="str"/>
      <c r="I271" s="14" t="inlineStr">
        <is>
          <t>Payment</t>
        </is>
      </c>
      <c r="J271" s="39" t="n">
        <v>115069</v>
      </c>
      <c r="K271" s="39" t="n">
        <v>0</v>
      </c>
      <c r="L271" s="39" t="n">
        <v>115069</v>
      </c>
      <c r="M271" s="39" t="n">
        <v>2500</v>
      </c>
      <c r="N271" s="14" t="inlineStr">
        <is>
          <t>High Transaction; Recurring Transaction</t>
        </is>
      </c>
      <c r="O271" s="14" t="inlineStr">
        <is>
          <t>Yes</t>
        </is>
      </c>
      <c r="P271" s="14" t="inlineStr">
        <is>
          <t>EBANKWIB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1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46136</v>
      </c>
      <c r="AB271" s="42">
        <f>HYPERLINK("#'Transactions'!A309", "View Source Row")</f>
        <v/>
      </c>
    </row>
    <row r="272">
      <c r="A272" s="14" t="n">
        <v>309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46137</v>
      </c>
      <c r="F272" s="40" t="n">
        <v>46137</v>
      </c>
      <c r="G272" s="16" t="inlineStr">
        <is>
          <t>DIGITA-MUMBAI/ NEFT-YESAP61152331743-PhonePe Limited</t>
        </is>
      </c>
      <c r="H272" s="14" t="str"/>
      <c r="I272" s="14" t="inlineStr">
        <is>
          <t>Receipt</t>
        </is>
      </c>
      <c r="J272" s="39" t="n">
        <v>0</v>
      </c>
      <c r="K272" s="39" t="n">
        <v>273418</v>
      </c>
      <c r="L272" s="39" t="n">
        <v>273418</v>
      </c>
      <c r="M272" s="39" t="n">
        <v>275918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PHONEPE LIMITED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46137</v>
      </c>
      <c r="AB272" s="42">
        <f>HYPERLINK("#'Transactions'!A310", "View Source Row")</f>
        <v/>
      </c>
    </row>
    <row r="273">
      <c r="A273" s="14" t="n">
        <v>310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46137</v>
      </c>
      <c r="F273" s="40" t="n">
        <v>46137</v>
      </c>
      <c r="G273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73" s="14" t="str"/>
      <c r="I273" s="14" t="inlineStr">
        <is>
          <t>Payment</t>
        </is>
      </c>
      <c r="J273" s="39" t="n">
        <v>273418</v>
      </c>
      <c r="K273" s="39" t="n">
        <v>0</v>
      </c>
      <c r="L273" s="39" t="n">
        <v>273418</v>
      </c>
      <c r="M273" s="39" t="n">
        <v>2500</v>
      </c>
      <c r="N273" s="14" t="inlineStr">
        <is>
          <t>High Transaction; Recurring Transaction</t>
        </is>
      </c>
      <c r="O273" s="14" t="inlineStr">
        <is>
          <t>Yes</t>
        </is>
      </c>
      <c r="P273" s="14" t="inlineStr">
        <is>
          <t>EBANKWIB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46137</v>
      </c>
      <c r="AB273" s="42">
        <f>HYPERLINK("#'Transactions'!A311", "View Source Row")</f>
        <v/>
      </c>
    </row>
    <row r="274">
      <c r="A274" s="14" t="n">
        <v>311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46137</v>
      </c>
      <c r="F274" s="40" t="n">
        <v>46137</v>
      </c>
      <c r="G274" s="16" t="inlineStr">
        <is>
          <t>DIGITA-MUMBAI/ NEFT-AXNPN11598935300-PHONEPE LIMITED-PAYMENT AGGR</t>
        </is>
      </c>
      <c r="H274" s="14" t="str"/>
      <c r="I274" s="14" t="inlineStr">
        <is>
          <t>Receipt</t>
        </is>
      </c>
      <c r="J274" s="39" t="n">
        <v>0</v>
      </c>
      <c r="K274" s="39" t="n">
        <v>72545.92999999999</v>
      </c>
      <c r="L274" s="39" t="n">
        <v>72545.92999999999</v>
      </c>
      <c r="M274" s="39" t="n">
        <v>75045.92999999999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PHONEPE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46137</v>
      </c>
      <c r="AB274" s="42">
        <f>HYPERLINK("#'Transactions'!A312", "View Source Row")</f>
        <v/>
      </c>
    </row>
    <row r="275">
      <c r="A275" s="14" t="n">
        <v>312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46137</v>
      </c>
      <c r="F275" s="40" t="n">
        <v>46137</v>
      </c>
      <c r="G275" s="16" t="inlineStr">
        <is>
          <t>EBANK:WIB/1505 EBANK:WIB/1505471386/Edfs</t>
        </is>
      </c>
      <c r="H275" s="14" t="str"/>
      <c r="I275" s="14" t="inlineStr">
        <is>
          <t>Payment</t>
        </is>
      </c>
      <c r="J275" s="39" t="n">
        <v>72545.92999999999</v>
      </c>
      <c r="K275" s="39" t="n">
        <v>0</v>
      </c>
      <c r="L275" s="39" t="n">
        <v>72545.92999999999</v>
      </c>
      <c r="M275" s="39" t="n">
        <v>2500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EBANKWIB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46137</v>
      </c>
      <c r="AB275" s="42">
        <f>HYPERLINK("#'Transactions'!A313", "View Source Row")</f>
        <v/>
      </c>
    </row>
    <row r="276">
      <c r="A276" s="14" t="n">
        <v>313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46137</v>
      </c>
      <c r="F276" s="40" t="n">
        <v>46137</v>
      </c>
      <c r="G276" s="16" t="inlineStr">
        <is>
          <t>DIGITA-MUMBAI/ NEFT-AXISCN1323965473-ONE MOBIKWIK SYSTEMS LIMITED</t>
        </is>
      </c>
      <c r="H276" s="14" t="str"/>
      <c r="I276" s="14" t="inlineStr">
        <is>
          <t>Receipt</t>
        </is>
      </c>
      <c r="J276" s="39" t="n">
        <v>0</v>
      </c>
      <c r="K276" s="39" t="n">
        <v>1000</v>
      </c>
      <c r="L276" s="39" t="n">
        <v>1000</v>
      </c>
      <c r="M276" s="39" t="n">
        <v>3500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ONE MOBIKWIK SYSTEMS LIMITED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46137</v>
      </c>
      <c r="AB276" s="42">
        <f>HYPERLINK("#'Transactions'!A314", "View Source Row")</f>
        <v/>
      </c>
    </row>
    <row r="277">
      <c r="A277" s="14" t="n">
        <v>314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46137</v>
      </c>
      <c r="F277" s="40" t="n">
        <v>46137</v>
      </c>
      <c r="G277" s="16" t="inlineStr">
        <is>
          <t>DIGITA-MUMBAI/ NEFT-AXISCN1324050087-PINE LABS PRIVATE LIMITED-NO</t>
        </is>
      </c>
      <c r="H277" s="14" t="str"/>
      <c r="I277" s="14" t="inlineStr">
        <is>
          <t>Receipt</t>
        </is>
      </c>
      <c r="J277" s="39" t="n">
        <v>0</v>
      </c>
      <c r="K277" s="39" t="n">
        <v>29350</v>
      </c>
      <c r="L277" s="39" t="n">
        <v>29350</v>
      </c>
      <c r="M277" s="39" t="n">
        <v>32850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PINE LABS PRIVATE LIMITED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46137</v>
      </c>
      <c r="AB277" s="42">
        <f>HYPERLINK("#'Transactions'!A315", "View Source Row")</f>
        <v/>
      </c>
    </row>
    <row r="278">
      <c r="A278" s="14" t="n">
        <v>315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46137</v>
      </c>
      <c r="F278" s="40" t="n">
        <v>46137</v>
      </c>
      <c r="G278" s="16" t="inlineStr">
        <is>
          <t>Charges for Charges for PORD Customer Payment :003610812913</t>
        </is>
      </c>
      <c r="H278" s="14" t="str"/>
      <c r="I278" s="14" t="inlineStr">
        <is>
          <t>Payment</t>
        </is>
      </c>
      <c r="J278" s="39" t="n">
        <v>5.6</v>
      </c>
      <c r="K278" s="39" t="n">
        <v>0</v>
      </c>
      <c r="L278" s="39" t="n">
        <v>5.6</v>
      </c>
      <c r="M278" s="39" t="n">
        <v>32844.4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CHARGES FOR CHARGES FOR PORD CUSTOMER PA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46137</v>
      </c>
      <c r="AB278" s="42">
        <f>HYPERLINK("#'Transactions'!A316", "View Source Row")</f>
        <v/>
      </c>
    </row>
    <row r="279">
      <c r="A279" s="14" t="n">
        <v>318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46137</v>
      </c>
      <c r="F279" s="40" t="n">
        <v>46137</v>
      </c>
      <c r="G279" s="16" t="inlineStr">
        <is>
          <t>DIGITA-MUMBAI/ IMPS/P2A/611513033420/VILLAGE STONE L/Diesel paym</t>
        </is>
      </c>
      <c r="H279" s="14" t="str"/>
      <c r="I279" s="14" t="inlineStr">
        <is>
          <t>Receipt</t>
        </is>
      </c>
      <c r="J279" s="39" t="n">
        <v>0</v>
      </c>
      <c r="K279" s="39" t="n">
        <v>100000</v>
      </c>
      <c r="L279" s="39" t="n">
        <v>100000</v>
      </c>
      <c r="M279" s="39" t="n">
        <v>138944.05</v>
      </c>
      <c r="N279" s="14" t="inlineStr">
        <is>
          <t>High Transaction; Recurring Transaction</t>
        </is>
      </c>
      <c r="O279" s="14" t="inlineStr">
        <is>
          <t>Yes</t>
        </is>
      </c>
      <c r="P279" s="14" t="inlineStr">
        <is>
          <t>VILLAGE STONE L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1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46137</v>
      </c>
      <c r="AB279" s="42">
        <f>HYPERLINK("#'Transactions'!A319", "View Source Row")</f>
        <v/>
      </c>
    </row>
    <row r="280">
      <c r="A280" s="14" t="n">
        <v>319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46137</v>
      </c>
      <c r="F280" s="40" t="n">
        <v>46137</v>
      </c>
      <c r="G280" s="16" t="inlineStr">
        <is>
          <t>DIGITA-MUMBAI/ NEFT-KKBKH26115923099-ATLAS COMMODITIES PRIVATE LI</t>
        </is>
      </c>
      <c r="H280" s="14" t="str"/>
      <c r="I280" s="14" t="inlineStr">
        <is>
          <t>Receipt</t>
        </is>
      </c>
      <c r="J280" s="39" t="n">
        <v>0</v>
      </c>
      <c r="K280" s="39" t="n">
        <v>7389</v>
      </c>
      <c r="L280" s="39" t="n">
        <v>7389</v>
      </c>
      <c r="M280" s="39" t="n">
        <v>146333.05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ATLAS COMMODITIES PRIVATE LI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46137</v>
      </c>
      <c r="AB280" s="42">
        <f>HYPERLINK("#'Transactions'!A320", "View Source Row")</f>
        <v/>
      </c>
    </row>
    <row r="281">
      <c r="A281" s="14" t="n">
        <v>321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46137</v>
      </c>
      <c r="F281" s="40" t="n">
        <v>46137</v>
      </c>
      <c r="G281" s="16" t="inlineStr">
        <is>
          <t>DIGITA-MUMBAI/ IMPS/P2A/611516181925/S TRANS 14851/Mh04ju3738I</t>
        </is>
      </c>
      <c r="H281" s="14" t="str"/>
      <c r="I281" s="14" t="inlineStr">
        <is>
          <t>Receipt</t>
        </is>
      </c>
      <c r="J281" s="39" t="n">
        <v>0</v>
      </c>
      <c r="K281" s="39" t="n">
        <v>9400</v>
      </c>
      <c r="L281" s="39" t="n">
        <v>9400</v>
      </c>
      <c r="M281" s="39" t="n">
        <v>174747.15</v>
      </c>
      <c r="N281" s="14" t="inlineStr">
        <is>
          <t>Recurring Transaction</t>
        </is>
      </c>
      <c r="O281" s="14" t="inlineStr">
        <is>
          <t>Yes</t>
        </is>
      </c>
      <c r="P281" s="14" t="inlineStr">
        <is>
          <t>DIGITA-MUMBAI/ IMPS/P#A/#/S TRANS #/MH#JU#I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46137</v>
      </c>
      <c r="AB281" s="42">
        <f>HYPERLINK("#'Transactions'!A322", "View Source Row")</f>
        <v/>
      </c>
    </row>
    <row r="282">
      <c r="A282" s="14" t="n">
        <v>322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46137</v>
      </c>
      <c r="F282" s="40" t="n">
        <v>46137</v>
      </c>
      <c r="G282" s="16" t="inlineStr">
        <is>
          <t>EBANK:WIB/1505 EBANK:WIB/1505585919/Edfs</t>
        </is>
      </c>
      <c r="H282" s="14" t="str"/>
      <c r="I282" s="14" t="inlineStr">
        <is>
          <t>Payment</t>
        </is>
      </c>
      <c r="J282" s="39" t="n">
        <v>172247.15</v>
      </c>
      <c r="K282" s="39" t="n">
        <v>0</v>
      </c>
      <c r="L282" s="39" t="n">
        <v>172247.15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46137</v>
      </c>
      <c r="AB282" s="42">
        <f>HYPERLINK("#'Transactions'!A323", "View Source Row")</f>
        <v/>
      </c>
    </row>
    <row r="283">
      <c r="A283" s="14" t="n">
        <v>323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46138</v>
      </c>
      <c r="F283" s="40" t="n">
        <v>46138</v>
      </c>
      <c r="G283" s="16" t="inlineStr">
        <is>
          <t>DIGITA-MUMBAI/ NEFT-YESAP61163896825-PhonePe Limited</t>
        </is>
      </c>
      <c r="H283" s="14" t="str"/>
      <c r="I283" s="14" t="inlineStr">
        <is>
          <t>Receipt</t>
        </is>
      </c>
      <c r="J283" s="39" t="n">
        <v>0</v>
      </c>
      <c r="K283" s="39" t="n">
        <v>244934</v>
      </c>
      <c r="L283" s="39" t="n">
        <v>244934</v>
      </c>
      <c r="M283" s="39" t="n">
        <v>247434</v>
      </c>
      <c r="N283" s="14" t="inlineStr">
        <is>
          <t>High Transaction; 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1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46138</v>
      </c>
      <c r="AB283" s="42">
        <f>HYPERLINK("#'Transactions'!A324", "View Source Row")</f>
        <v/>
      </c>
    </row>
    <row r="284">
      <c r="A284" s="14" t="n">
        <v>324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46138</v>
      </c>
      <c r="F284" s="40" t="n">
        <v>46138</v>
      </c>
      <c r="G284" s="16" t="inlineStr">
        <is>
          <t>DIGITA-MUMBAI/ NEFT-AXNPN11607066053-PHONEPE LIMITED-PAYMENT AGGR</t>
        </is>
      </c>
      <c r="H284" s="14" t="str"/>
      <c r="I284" s="14" t="inlineStr">
        <is>
          <t>Receipt</t>
        </is>
      </c>
      <c r="J284" s="39" t="n">
        <v>0</v>
      </c>
      <c r="K284" s="39" t="n">
        <v>100291.79</v>
      </c>
      <c r="L284" s="39" t="n">
        <v>100291.79</v>
      </c>
      <c r="M284" s="39" t="n">
        <v>347725.79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46138</v>
      </c>
      <c r="AB284" s="42">
        <f>HYPERLINK("#'Transactions'!A325", "View Source Row")</f>
        <v/>
      </c>
    </row>
    <row r="285">
      <c r="A285" s="14" t="n">
        <v>325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46138</v>
      </c>
      <c r="F285" s="40" t="n">
        <v>46138</v>
      </c>
      <c r="G285" s="16" t="inlineStr">
        <is>
          <t>DIGITA-MUMBAI/ NEFT-AXISCN1324632883-ONE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3765</v>
      </c>
      <c r="L285" s="39" t="n">
        <v>3765</v>
      </c>
      <c r="M285" s="39" t="n">
        <v>351490.79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46138</v>
      </c>
      <c r="AB285" s="42">
        <f>HYPERLINK("#'Transactions'!A326", "View Source Row")</f>
        <v/>
      </c>
    </row>
    <row r="286">
      <c r="A286" s="14" t="n">
        <v>326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46138</v>
      </c>
      <c r="F286" s="40" t="n">
        <v>46138</v>
      </c>
      <c r="G28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86" s="14" t="str"/>
      <c r="I286" s="14" t="inlineStr">
        <is>
          <t>Payment</t>
        </is>
      </c>
      <c r="J286" s="39" t="n">
        <v>300990.79</v>
      </c>
      <c r="K286" s="39" t="n">
        <v>0</v>
      </c>
      <c r="L286" s="39" t="n">
        <v>300990.79</v>
      </c>
      <c r="M286" s="39" t="n">
        <v>50500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EBANKWIB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46138</v>
      </c>
      <c r="AB286" s="42">
        <f>HYPERLINK("#'Transactions'!A327", "View Source Row")</f>
        <v/>
      </c>
    </row>
    <row r="287">
      <c r="A287" s="14" t="n">
        <v>327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46138</v>
      </c>
      <c r="F287" s="40" t="n">
        <v>46138</v>
      </c>
      <c r="G287" s="16" t="inlineStr">
        <is>
          <t>DIGITA-MUMBAI/ IMPS/P2A/611609588661/SHREE GANESH EN/billVVS9100</t>
        </is>
      </c>
      <c r="H287" s="14" t="str"/>
      <c r="I287" s="14" t="inlineStr">
        <is>
          <t>Receipt</t>
        </is>
      </c>
      <c r="J287" s="39" t="n">
        <v>0</v>
      </c>
      <c r="K287" s="39" t="n">
        <v>63308</v>
      </c>
      <c r="L287" s="39" t="n">
        <v>63308</v>
      </c>
      <c r="M287" s="39" t="n">
        <v>113808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SHREE GANESH EN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46138</v>
      </c>
      <c r="AB287" s="42">
        <f>HYPERLINK("#'Transactions'!A328", "View Source Row")</f>
        <v/>
      </c>
    </row>
    <row r="288">
      <c r="A288" s="14" t="n">
        <v>328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46138</v>
      </c>
      <c r="F288" s="40" t="n">
        <v>46138</v>
      </c>
      <c r="G288" s="16" t="inlineStr">
        <is>
          <t>DIGITA-MUMBAI/ NEFT-HDFCH00955439283-MARK LUBES PRIVATE LIMITED</t>
        </is>
      </c>
      <c r="H288" s="14" t="str"/>
      <c r="I288" s="14" t="inlineStr">
        <is>
          <t>Receipt</t>
        </is>
      </c>
      <c r="J288" s="39" t="n">
        <v>0</v>
      </c>
      <c r="K288" s="39" t="n">
        <v>3420</v>
      </c>
      <c r="L288" s="39" t="n">
        <v>3420</v>
      </c>
      <c r="M288" s="39" t="n">
        <v>117228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MARK LUBES PRIVATE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46138</v>
      </c>
      <c r="AB288" s="42">
        <f>HYPERLINK("#'Transactions'!A329", "View Source Row")</f>
        <v/>
      </c>
    </row>
    <row r="289">
      <c r="A289" s="14" t="n">
        <v>329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46138</v>
      </c>
      <c r="F289" s="40" t="n">
        <v>46138</v>
      </c>
      <c r="G289" s="16" t="inlineStr">
        <is>
          <t>EBANK:WIB/1505 EBANK:WIB/1505633295/Edfs</t>
        </is>
      </c>
      <c r="H289" s="14" t="str"/>
      <c r="I289" s="14" t="inlineStr">
        <is>
          <t>Payment</t>
        </is>
      </c>
      <c r="J289" s="39" t="n">
        <v>114728</v>
      </c>
      <c r="K289" s="39" t="n">
        <v>0</v>
      </c>
      <c r="L289" s="39" t="n">
        <v>114728</v>
      </c>
      <c r="M289" s="39" t="n">
        <v>2500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EBANKWIB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46138</v>
      </c>
      <c r="AB289" s="42">
        <f>HYPERLINK("#'Transactions'!A330", "View Source Row")</f>
        <v/>
      </c>
    </row>
    <row r="290">
      <c r="A290" s="14" t="n">
        <v>330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46139</v>
      </c>
      <c r="F290" s="40" t="n">
        <v>46139</v>
      </c>
      <c r="G290" s="16" t="inlineStr">
        <is>
          <t>DIGITA-MUMBAI/ NEFT-YESAP61174218113-PhonePe Limited</t>
        </is>
      </c>
      <c r="H290" s="14" t="str"/>
      <c r="I290" s="14" t="inlineStr">
        <is>
          <t>Receipt</t>
        </is>
      </c>
      <c r="J290" s="39" t="n">
        <v>0</v>
      </c>
      <c r="K290" s="39" t="n">
        <v>243320.8</v>
      </c>
      <c r="L290" s="39" t="n">
        <v>243320.8</v>
      </c>
      <c r="M290" s="39" t="n">
        <v>245820.8</v>
      </c>
      <c r="N290" s="14" t="inlineStr">
        <is>
          <t>High Transaction; Recurring Transaction</t>
        </is>
      </c>
      <c r="O290" s="14" t="inlineStr">
        <is>
          <t>Yes</t>
        </is>
      </c>
      <c r="P290" s="14" t="inlineStr">
        <is>
          <t>PHONEPE LIMITED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1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46139</v>
      </c>
      <c r="AB290" s="42">
        <f>HYPERLINK("#'Transactions'!A331", "View Source Row")</f>
        <v/>
      </c>
    </row>
    <row r="291">
      <c r="A291" s="14" t="n">
        <v>331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46139</v>
      </c>
      <c r="F291" s="40" t="n">
        <v>46139</v>
      </c>
      <c r="G291" s="16" t="inlineStr">
        <is>
          <t>DIGITA-MUMBAI/ NEFT-AXNPN11714754008-PHONEPE LIMITED-PAYMENT AGGR</t>
        </is>
      </c>
      <c r="H291" s="14" t="str"/>
      <c r="I291" s="14" t="inlineStr">
        <is>
          <t>Receipt</t>
        </is>
      </c>
      <c r="J291" s="39" t="n">
        <v>0</v>
      </c>
      <c r="K291" s="39" t="n">
        <v>109488</v>
      </c>
      <c r="L291" s="39" t="n">
        <v>109488</v>
      </c>
      <c r="M291" s="39" t="n">
        <v>355308.8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PHONEPE LIMITED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46139</v>
      </c>
      <c r="AB291" s="42">
        <f>HYPERLINK("#'Transactions'!A332", "View Source Row")</f>
        <v/>
      </c>
    </row>
    <row r="292">
      <c r="A292" s="14" t="n">
        <v>332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46139</v>
      </c>
      <c r="F292" s="40" t="n">
        <v>46139</v>
      </c>
      <c r="G292" s="16" t="inlineStr">
        <is>
          <t>DIGITA-MUMBAI/ NEFT-AXISCN1325294472-ONE MOBIKWIK SYSTEMS LIMITED https://cbdrpt101.bankofbaroda.co.in:22000/finbranch/arjspmorph/INFENG/tran_rpt.jsp?... 04-05-2026</t>
        </is>
      </c>
      <c r="H292" s="14" t="str"/>
      <c r="I292" s="14" t="inlineStr">
        <is>
          <t>Receipt</t>
        </is>
      </c>
      <c r="J292" s="39" t="n">
        <v>0</v>
      </c>
      <c r="K292" s="39" t="n">
        <v>1900</v>
      </c>
      <c r="L292" s="39" t="n">
        <v>1900</v>
      </c>
      <c r="M292" s="39" t="n">
        <v>357208.8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ONE MOBIKWIK SYSTEMS LIMITED HTTPS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46139</v>
      </c>
      <c r="AB292" s="42">
        <f>HYPERLINK("#'Transactions'!A333", "View Source Row")</f>
        <v/>
      </c>
    </row>
    <row r="293">
      <c r="A293" s="14" t="n">
        <v>333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46139</v>
      </c>
      <c r="F293" s="40" t="n">
        <v>46139</v>
      </c>
      <c r="G293" s="16" t="inlineStr">
        <is>
          <t>DIGITA-MUMBAI/ NEFT-AXISCN1325402930-PINE LABS PRIVATE LIMITED-NO</t>
        </is>
      </c>
      <c r="H293" s="14" t="str"/>
      <c r="I293" s="14" t="inlineStr">
        <is>
          <t>Receipt</t>
        </is>
      </c>
      <c r="J293" s="39" t="n">
        <v>0</v>
      </c>
      <c r="K293" s="39" t="n">
        <v>73824</v>
      </c>
      <c r="L293" s="39" t="n">
        <v>73824</v>
      </c>
      <c r="M293" s="39" t="n">
        <v>431032.8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PINE LABS PRIVATE LIMITED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46139</v>
      </c>
      <c r="AB293" s="42">
        <f>HYPERLINK("#'Transactions'!A334", "View Source Row")</f>
        <v/>
      </c>
    </row>
    <row r="294">
      <c r="A294" s="14" t="n">
        <v>334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46139</v>
      </c>
      <c r="F294" s="40" t="n">
        <v>46139</v>
      </c>
      <c r="G294" s="16" t="inlineStr">
        <is>
          <t>DIGITA-MUMBAI/ NEFT-AXISCN1325456778-PINE LABS PRIVATE LIMITED-NO</t>
        </is>
      </c>
      <c r="H294" s="14" t="str"/>
      <c r="I294" s="14" t="inlineStr">
        <is>
          <t>Receipt</t>
        </is>
      </c>
      <c r="J294" s="39" t="n">
        <v>0</v>
      </c>
      <c r="K294" s="39" t="n">
        <v>31285</v>
      </c>
      <c r="L294" s="39" t="n">
        <v>31285</v>
      </c>
      <c r="M294" s="39" t="n">
        <v>462317.8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PINE LABS PRIVATE LIMITED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46139</v>
      </c>
      <c r="AB294" s="42">
        <f>HYPERLINK("#'Transactions'!A335", "View Source Row")</f>
        <v/>
      </c>
    </row>
    <row r="295">
      <c r="A295" s="14" t="n">
        <v>335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46139</v>
      </c>
      <c r="F295" s="40" t="n">
        <v>46139</v>
      </c>
      <c r="G295" s="16" t="inlineStr">
        <is>
          <t>EBANK:WIB/1505 EBANK:WIB/1505672686/Edfs</t>
        </is>
      </c>
      <c r="H295" s="14" t="str"/>
      <c r="I295" s="14" t="inlineStr">
        <is>
          <t>Payment</t>
        </is>
      </c>
      <c r="J295" s="39" t="n">
        <v>460000.8</v>
      </c>
      <c r="K295" s="39" t="n">
        <v>0</v>
      </c>
      <c r="L295" s="39" t="n">
        <v>460000.8</v>
      </c>
      <c r="M295" s="39" t="n">
        <v>2317</v>
      </c>
      <c r="N295" s="14" t="inlineStr">
        <is>
          <t>High Transaction; Recurring Transaction</t>
        </is>
      </c>
      <c r="O295" s="14" t="inlineStr">
        <is>
          <t>Yes</t>
        </is>
      </c>
      <c r="P295" s="14" t="inlineStr">
        <is>
          <t>EBANKWIB</t>
        </is>
      </c>
      <c r="Q295" s="14" t="n">
        <v>0</v>
      </c>
      <c r="R295" s="14" t="n">
        <v>1</v>
      </c>
      <c r="S295" s="14" t="n">
        <v>0</v>
      </c>
      <c r="T295" s="14" t="n">
        <v>0</v>
      </c>
      <c r="U295" s="14" t="n">
        <v>1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46139</v>
      </c>
      <c r="AB295" s="42">
        <f>HYPERLINK("#'Transactions'!A336", "View Source Row")</f>
        <v/>
      </c>
    </row>
    <row r="296">
      <c r="A296" s="14" t="n">
        <v>339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46139</v>
      </c>
      <c r="F296" s="40" t="n">
        <v>46139</v>
      </c>
      <c r="G296" s="16" t="inlineStr">
        <is>
          <t>DIGITA-MUMBAI/ NEFT-HDFCH00956609022-SL CORBOX PRIVATE LIMITED</t>
        </is>
      </c>
      <c r="H296" s="14" t="str"/>
      <c r="I296" s="14" t="inlineStr">
        <is>
          <t>Receipt</t>
        </is>
      </c>
      <c r="J296" s="39" t="n">
        <v>0</v>
      </c>
      <c r="K296" s="39" t="n">
        <v>24058</v>
      </c>
      <c r="L296" s="39" t="n">
        <v>24058</v>
      </c>
      <c r="M296" s="39" t="n">
        <v>161816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SL CORBOX PRIVATE LIMITED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46139</v>
      </c>
      <c r="AB296" s="42">
        <f>HYPERLINK("#'Transactions'!A340", "View Source Row")</f>
        <v/>
      </c>
    </row>
    <row r="297">
      <c r="A297" s="14" t="n">
        <v>341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46139</v>
      </c>
      <c r="F297" s="40" t="n">
        <v>46139</v>
      </c>
      <c r="G297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297" s="14" t="str"/>
      <c r="I297" s="14" t="inlineStr">
        <is>
          <t>Receipt</t>
        </is>
      </c>
      <c r="J297" s="39" t="n">
        <v>0</v>
      </c>
      <c r="K297" s="39" t="n">
        <v>5189</v>
      </c>
      <c r="L297" s="39" t="n">
        <v>5189</v>
      </c>
      <c r="M297" s="39" t="n">
        <v>317005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GEBI PRODUCTS PRIVATE LIMITE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46139</v>
      </c>
      <c r="AB297" s="42">
        <f>HYPERLINK("#'Transactions'!A342", "View Source Row")</f>
        <v/>
      </c>
    </row>
    <row r="298">
      <c r="A298" s="14" t="n">
        <v>342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46139</v>
      </c>
      <c r="F298" s="40" t="n">
        <v>46139</v>
      </c>
      <c r="G298" s="16" t="inlineStr">
        <is>
          <t>DIGITA-MUMBAI/ NEFT-TDCBH26117000588-V C ENTERPRISES</t>
        </is>
      </c>
      <c r="H298" s="14" t="str"/>
      <c r="I298" s="14" t="inlineStr">
        <is>
          <t>Receipt</t>
        </is>
      </c>
      <c r="J298" s="39" t="n">
        <v>0</v>
      </c>
      <c r="K298" s="39" t="n">
        <v>50000</v>
      </c>
      <c r="L298" s="39" t="n">
        <v>50000</v>
      </c>
      <c r="M298" s="39" t="n">
        <v>367005</v>
      </c>
      <c r="N298" s="14" t="inlineStr">
        <is>
          <t>Recurring Transaction</t>
        </is>
      </c>
      <c r="O298" s="14" t="inlineStr">
        <is>
          <t>Yes</t>
        </is>
      </c>
      <c r="P298" s="14" t="inlineStr">
        <is>
          <t>V C ENTERPRISES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46139</v>
      </c>
      <c r="AB298" s="42">
        <f>HYPERLINK("#'Transactions'!A343", "View Source Row")</f>
        <v/>
      </c>
    </row>
    <row r="299">
      <c r="A299" s="14" t="n">
        <v>343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46139</v>
      </c>
      <c r="F299" s="40" t="n">
        <v>46139</v>
      </c>
      <c r="G299" s="16" t="inlineStr">
        <is>
          <t>EBANK:WIB/1505 EBANK:WIB/1505752441/Edfs</t>
        </is>
      </c>
      <c r="H299" s="14" t="str"/>
      <c r="I299" s="14" t="inlineStr">
        <is>
          <t>Payment</t>
        </is>
      </c>
      <c r="J299" s="39" t="n">
        <v>365005</v>
      </c>
      <c r="K299" s="39" t="n">
        <v>0</v>
      </c>
      <c r="L299" s="39" t="n">
        <v>365005</v>
      </c>
      <c r="M299" s="39" t="n">
        <v>2000</v>
      </c>
      <c r="N299" s="14" t="inlineStr">
        <is>
          <t>High Transaction; Recurring Transaction</t>
        </is>
      </c>
      <c r="O299" s="14" t="inlineStr">
        <is>
          <t>Yes</t>
        </is>
      </c>
      <c r="P299" s="14" t="inlineStr">
        <is>
          <t>EBANKWIB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1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46139</v>
      </c>
      <c r="AB299" s="42">
        <f>HYPERLINK("#'Transactions'!A344", "View Source Row")</f>
        <v/>
      </c>
    </row>
    <row r="300">
      <c r="A300" s="14" t="n">
        <v>345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46140</v>
      </c>
      <c r="F300" s="40" t="n">
        <v>46140</v>
      </c>
      <c r="G300" s="16" t="inlineStr">
        <is>
          <t>DIGITA-MUMBAI/ NEFT-YESAP61183745951-PhonePe Limited</t>
        </is>
      </c>
      <c r="H300" s="14" t="str"/>
      <c r="I300" s="14" t="inlineStr">
        <is>
          <t>Receipt</t>
        </is>
      </c>
      <c r="J300" s="39" t="n">
        <v>0</v>
      </c>
      <c r="K300" s="39" t="n">
        <v>213696</v>
      </c>
      <c r="L300" s="39" t="n">
        <v>213696</v>
      </c>
      <c r="M300" s="39" t="n">
        <v>215996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PHONEPE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46140</v>
      </c>
      <c r="AB300" s="42">
        <f>HYPERLINK("#'Transactions'!A346", "View Source Row")</f>
        <v/>
      </c>
    </row>
    <row r="301">
      <c r="A301" s="14" t="n">
        <v>346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46140</v>
      </c>
      <c r="F301" s="40" t="n">
        <v>46140</v>
      </c>
      <c r="G301" s="16" t="inlineStr">
        <is>
          <t>DIGITA-MUMBAI/ NEFT-AXNPN11823277068-PHONEPE LIMITED-PAYMENT AGGR</t>
        </is>
      </c>
      <c r="H301" s="14" t="str"/>
      <c r="I301" s="14" t="inlineStr">
        <is>
          <t>Receipt</t>
        </is>
      </c>
      <c r="J301" s="39" t="n">
        <v>0</v>
      </c>
      <c r="K301" s="39" t="n">
        <v>51517.6</v>
      </c>
      <c r="L301" s="39" t="n">
        <v>51517.6</v>
      </c>
      <c r="M301" s="39" t="n">
        <v>267513.6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46140</v>
      </c>
      <c r="AB301" s="42">
        <f>HYPERLINK("#'Transactions'!A347", "View Source Row")</f>
        <v/>
      </c>
    </row>
    <row r="302">
      <c r="A302" s="14" t="n">
        <v>347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46140</v>
      </c>
      <c r="F302" s="40" t="n">
        <v>46140</v>
      </c>
      <c r="G302" s="16" t="inlineStr">
        <is>
          <t>DIGITA-MUMBAI/ NEFT-AXISCN1326481885-PINE LABS PRIVATE LIMITED-NO</t>
        </is>
      </c>
      <c r="H302" s="14" t="str"/>
      <c r="I302" s="14" t="inlineStr">
        <is>
          <t>Receipt</t>
        </is>
      </c>
      <c r="J302" s="39" t="n">
        <v>0</v>
      </c>
      <c r="K302" s="39" t="n">
        <v>23786</v>
      </c>
      <c r="L302" s="39" t="n">
        <v>23786</v>
      </c>
      <c r="M302" s="39" t="n">
        <v>291299.6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PINE LABS PRIVATE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46140</v>
      </c>
      <c r="AB302" s="42">
        <f>HYPERLINK("#'Transactions'!A348", "View Source Row")</f>
        <v/>
      </c>
    </row>
    <row r="303">
      <c r="A303" s="14" t="n">
        <v>349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46140</v>
      </c>
      <c r="F303" s="40" t="n">
        <v>46140</v>
      </c>
      <c r="G303" s="16" t="inlineStr">
        <is>
          <t>UPI/6118698401 69840157 UPI/611869840157/10:49:20/UPI/akashshelar41-2@oki</t>
        </is>
      </c>
      <c r="H303" s="14" t="str"/>
      <c r="I303" s="14" t="inlineStr">
        <is>
          <t>Receipt</t>
        </is>
      </c>
      <c r="J303" s="39" t="n">
        <v>0</v>
      </c>
      <c r="K303" s="39" t="n">
        <v>4200</v>
      </c>
      <c r="L303" s="39" t="n">
        <v>4200</v>
      </c>
      <c r="M303" s="39" t="n">
        <v>347949.6</v>
      </c>
      <c r="N303" s="14" t="inlineStr">
        <is>
          <t>UPI; Recurring Transaction</t>
        </is>
      </c>
      <c r="O303" s="14" t="inlineStr">
        <is>
          <t>Yes</t>
        </is>
      </c>
      <c r="P303" s="14" t="inlineStr">
        <is>
          <t>AKASHSHELAR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1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46140</v>
      </c>
      <c r="AB303" s="42">
        <f>HYPERLINK("#'Transactions'!A350", "View Source Row")</f>
        <v/>
      </c>
    </row>
    <row r="304">
      <c r="A304" s="14" t="n">
        <v>350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46140</v>
      </c>
      <c r="F304" s="40" t="n">
        <v>46140</v>
      </c>
      <c r="G304" s="16" t="inlineStr">
        <is>
          <t>DIGITA-MUMBAI/ IMPS/P2A/611855252288/SAYEDTAHIRUDDIN/IMPS P2A JI</t>
        </is>
      </c>
      <c r="H304" s="14" t="str"/>
      <c r="I304" s="14" t="inlineStr">
        <is>
          <t>Receipt</t>
        </is>
      </c>
      <c r="J304" s="39" t="n">
        <v>0</v>
      </c>
      <c r="K304" s="39" t="n">
        <v>1</v>
      </c>
      <c r="L304" s="39" t="n">
        <v>1</v>
      </c>
      <c r="M304" s="39" t="n">
        <v>347950.6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SAYEDTAHIRUDDIN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46140</v>
      </c>
      <c r="AB304" s="42">
        <f>HYPERLINK("#'Transactions'!A351", "View Source Row")</f>
        <v/>
      </c>
    </row>
    <row r="305">
      <c r="A305" s="14" t="n">
        <v>351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46140</v>
      </c>
      <c r="F305" s="40" t="n">
        <v>46140</v>
      </c>
      <c r="G305" s="16" t="inlineStr">
        <is>
          <t>DIGITA-MUMBAI/ IMPS/P2A/611855252655/SAYEDTAHIRUDDIN/IMPS P2A JI</t>
        </is>
      </c>
      <c r="H305" s="14" t="str"/>
      <c r="I305" s="14" t="inlineStr">
        <is>
          <t>Receipt</t>
        </is>
      </c>
      <c r="J305" s="39" t="n">
        <v>0</v>
      </c>
      <c r="K305" s="39" t="n">
        <v>45220</v>
      </c>
      <c r="L305" s="39" t="n">
        <v>45220</v>
      </c>
      <c r="M305" s="39" t="n">
        <v>393170.6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SAYEDTAHIRUDDIN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46140</v>
      </c>
      <c r="AB305" s="42">
        <f>HYPERLINK("#'Transactions'!A352", "View Source Row")</f>
        <v/>
      </c>
    </row>
    <row r="306">
      <c r="A306" s="14" t="n">
        <v>352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46140</v>
      </c>
      <c r="F306" s="40" t="n">
        <v>46140</v>
      </c>
      <c r="G306" s="16" t="inlineStr">
        <is>
          <t>DIGITA-MUMBAI/ NEFT-IDIBH11839674549-JAI AMBE TRANSPORT</t>
        </is>
      </c>
      <c r="H306" s="14" t="str"/>
      <c r="I306" s="14" t="inlineStr">
        <is>
          <t>Receipt</t>
        </is>
      </c>
      <c r="J306" s="39" t="n">
        <v>0</v>
      </c>
      <c r="K306" s="39" t="n">
        <v>5500</v>
      </c>
      <c r="L306" s="39" t="n">
        <v>5500</v>
      </c>
      <c r="M306" s="39" t="n">
        <v>398670.6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JAI AMBE TRANSPORT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46140</v>
      </c>
      <c r="AB306" s="42">
        <f>HYPERLINK("#'Transactions'!A353", "View Source Row")</f>
        <v/>
      </c>
    </row>
    <row r="307">
      <c r="A307" s="14" t="n">
        <v>353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46140</v>
      </c>
      <c r="F307" s="40" t="n">
        <v>46140</v>
      </c>
      <c r="G307" s="16" t="inlineStr">
        <is>
          <t>DIGITA-MUMBAI/ IMPS/P2A/611812542007/VAKAS TEMPO SER/IMPSCNB9199</t>
        </is>
      </c>
      <c r="H307" s="14" t="str"/>
      <c r="I307" s="14" t="inlineStr">
        <is>
          <t>Receipt</t>
        </is>
      </c>
      <c r="J307" s="39" t="n">
        <v>0</v>
      </c>
      <c r="K307" s="39" t="n">
        <v>20049</v>
      </c>
      <c r="L307" s="39" t="n">
        <v>20049</v>
      </c>
      <c r="M307" s="39" t="n">
        <v>418719.6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VAKAS TEMPO SER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46140</v>
      </c>
      <c r="AB307" s="42">
        <f>HYPERLINK("#'Transactions'!A354", "View Source Row")</f>
        <v/>
      </c>
    </row>
    <row r="308">
      <c r="A308" s="14" t="n">
        <v>354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46140</v>
      </c>
      <c r="F308" s="40" t="n">
        <v>46140</v>
      </c>
      <c r="G308" s="16" t="inlineStr">
        <is>
          <t>DIGITA-MUMBAI/ NEFT-NKGSH26118186705-GEBI PRODUCTS PRIVATE LIMITE</t>
        </is>
      </c>
      <c r="H308" s="14" t="str"/>
      <c r="I308" s="14" t="inlineStr">
        <is>
          <t>Receipt</t>
        </is>
      </c>
      <c r="J308" s="39" t="n">
        <v>0</v>
      </c>
      <c r="K308" s="39" t="n">
        <v>4579</v>
      </c>
      <c r="L308" s="39" t="n">
        <v>4579</v>
      </c>
      <c r="M308" s="39" t="n">
        <v>423298.6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GEBI PRODUCTS PRIVATE LIMITE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46140</v>
      </c>
      <c r="AB308" s="42">
        <f>HYPERLINK("#'Transactions'!A355", "View Source Row")</f>
        <v/>
      </c>
    </row>
    <row r="309">
      <c r="A309" s="14" t="n">
        <v>355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46140</v>
      </c>
      <c r="F309" s="40" t="n">
        <v>46140</v>
      </c>
      <c r="G309" s="16" t="inlineStr">
        <is>
          <t>EBANK:WIB/1505 EBANK:WIB/1505883831/Edfs</t>
        </is>
      </c>
      <c r="H309" s="14" t="str"/>
      <c r="I309" s="14" t="inlineStr">
        <is>
          <t>Payment</t>
        </is>
      </c>
      <c r="J309" s="39" t="n">
        <v>402798.6</v>
      </c>
      <c r="K309" s="39" t="n">
        <v>0</v>
      </c>
      <c r="L309" s="39" t="n">
        <v>402798.6</v>
      </c>
      <c r="M309" s="39" t="n">
        <v>20500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46140</v>
      </c>
      <c r="AB309" s="42">
        <f>HYPERLINK("#'Transactions'!A356", "View Source Row")</f>
        <v/>
      </c>
    </row>
    <row r="310">
      <c r="A310" s="14" t="n">
        <v>356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46140</v>
      </c>
      <c r="F310" s="40" t="n">
        <v>46140</v>
      </c>
      <c r="G310" s="16" t="inlineStr">
        <is>
          <t>DIGITA-MUMBAI/ https://cbdrpt101.bankofbaroda.co.in:22000/finbranch/arjspmorph/INFENG/tran_rpt.jsp?... 04-05-2026 NEFT-KKBKH26118959856-ATLAS COMMODITIES PRIVATE LI</t>
        </is>
      </c>
      <c r="H310" s="14" t="str"/>
      <c r="I310" s="14" t="inlineStr">
        <is>
          <t>Receipt</t>
        </is>
      </c>
      <c r="J310" s="39" t="n">
        <v>0</v>
      </c>
      <c r="K310" s="39" t="n">
        <v>4741</v>
      </c>
      <c r="L310" s="39" t="n">
        <v>4741</v>
      </c>
      <c r="M310" s="39" t="n">
        <v>25241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CBDRPTBANKOFBARODACOIN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46140</v>
      </c>
      <c r="AB310" s="42">
        <f>HYPERLINK("#'Transactions'!A357", "View Source Row")</f>
        <v/>
      </c>
    </row>
    <row r="311">
      <c r="A311" s="14" t="n">
        <v>357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46140</v>
      </c>
      <c r="F311" s="40" t="n">
        <v>46140</v>
      </c>
      <c r="G31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11" s="14" t="str"/>
      <c r="I311" s="14" t="inlineStr">
        <is>
          <t>Receipt</t>
        </is>
      </c>
      <c r="J311" s="39" t="n">
        <v>0</v>
      </c>
      <c r="K311" s="39" t="n">
        <v>106203</v>
      </c>
      <c r="L311" s="39" t="n">
        <v>106203</v>
      </c>
      <c r="M311" s="39" t="n">
        <v>131444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PAGE TOTAL   CR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46140</v>
      </c>
      <c r="AB311" s="42">
        <f>HYPERLINK("#'Transactions'!A358", "View Source Row")</f>
        <v/>
      </c>
    </row>
    <row r="312">
      <c r="A312" s="14" t="n">
        <v>358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46140</v>
      </c>
      <c r="F312" s="40" t="n">
        <v>46140</v>
      </c>
      <c r="G312" s="16" t="inlineStr">
        <is>
          <t>DIGITA-MUMBAI/ IMPS/P2A/611819590384/SHREE GANESH EN/diselVVS910</t>
        </is>
      </c>
      <c r="H312" s="14" t="str"/>
      <c r="I312" s="14" t="inlineStr">
        <is>
          <t>Receipt</t>
        </is>
      </c>
      <c r="J312" s="39" t="n">
        <v>0</v>
      </c>
      <c r="K312" s="39" t="n">
        <v>45155.79</v>
      </c>
      <c r="L312" s="39" t="n">
        <v>45155.79</v>
      </c>
      <c r="M312" s="39" t="n">
        <v>176599.79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SHREE GANESH EN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46140</v>
      </c>
      <c r="AB312" s="42">
        <f>HYPERLINK("#'Transactions'!A359", "View Source Row")</f>
        <v/>
      </c>
    </row>
    <row r="313">
      <c r="A313" s="14" t="n">
        <v>359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46140</v>
      </c>
      <c r="F313" s="40" t="n">
        <v>46140</v>
      </c>
      <c r="G313" s="16" t="inlineStr">
        <is>
          <t>DIGITA-MUMBAI/ IMPS/P2A/611820590404/SHREE GANESH EN/d billVVS91</t>
        </is>
      </c>
      <c r="H313" s="14" t="str"/>
      <c r="I313" s="14" t="inlineStr">
        <is>
          <t>Receipt</t>
        </is>
      </c>
      <c r="J313" s="39" t="n">
        <v>0</v>
      </c>
      <c r="K313" s="39" t="n">
        <v>18152</v>
      </c>
      <c r="L313" s="39" t="n">
        <v>18152</v>
      </c>
      <c r="M313" s="39" t="n">
        <v>194751.79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SHREE GANESH EN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46140</v>
      </c>
      <c r="AB313" s="42">
        <f>HYPERLINK("#'Transactions'!A360", "View Source Row")</f>
        <v/>
      </c>
    </row>
    <row r="314">
      <c r="A314" s="14" t="n">
        <v>360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46140</v>
      </c>
      <c r="F314" s="40" t="n">
        <v>46140</v>
      </c>
      <c r="G314" s="16" t="inlineStr">
        <is>
          <t>EBANK:WIB/1505 EBANK:WIB/1505948506/Edfs</t>
        </is>
      </c>
      <c r="H314" s="14" t="str"/>
      <c r="I314" s="14" t="inlineStr">
        <is>
          <t>Payment</t>
        </is>
      </c>
      <c r="J314" s="39" t="n">
        <v>192251.79</v>
      </c>
      <c r="K314" s="39" t="n">
        <v>0</v>
      </c>
      <c r="L314" s="39" t="n">
        <v>192251.79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46140</v>
      </c>
      <c r="AB314" s="42">
        <f>HYPERLINK("#'Transactions'!A361", "View Source Row")</f>
        <v/>
      </c>
    </row>
    <row r="315">
      <c r="A315" s="14" t="n">
        <v>361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46141</v>
      </c>
      <c r="F315" s="40" t="n">
        <v>46141</v>
      </c>
      <c r="G315" s="16" t="inlineStr">
        <is>
          <t>DIGITA-MUMBAI/ NEFT-YESAP61192379931-PhonePe Limited</t>
        </is>
      </c>
      <c r="H315" s="14" t="str"/>
      <c r="I315" s="14" t="inlineStr">
        <is>
          <t>Receipt</t>
        </is>
      </c>
      <c r="J315" s="39" t="n">
        <v>0</v>
      </c>
      <c r="K315" s="39" t="n">
        <v>300724.33</v>
      </c>
      <c r="L315" s="39" t="n">
        <v>300724.33</v>
      </c>
      <c r="M315" s="39" t="n">
        <v>303224.33</v>
      </c>
      <c r="N315" s="14" t="inlineStr">
        <is>
          <t>High Transaction; 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46141</v>
      </c>
      <c r="AB315" s="42">
        <f>HYPERLINK("#'Transactions'!A362", "View Source Row")</f>
        <v/>
      </c>
    </row>
    <row r="316">
      <c r="A316" s="14" t="n">
        <v>362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46141</v>
      </c>
      <c r="F316" s="40" t="n">
        <v>46141</v>
      </c>
      <c r="G316" s="16" t="inlineStr">
        <is>
          <t>DIGITA-MUMBAI/ NEFT-AXNPN11931554437-PHONEPE LIMITED-PAYMENT AGGR</t>
        </is>
      </c>
      <c r="H316" s="14" t="str"/>
      <c r="I316" s="14" t="inlineStr">
        <is>
          <t>Receipt</t>
        </is>
      </c>
      <c r="J316" s="39" t="n">
        <v>0</v>
      </c>
      <c r="K316" s="39" t="n">
        <v>80141</v>
      </c>
      <c r="L316" s="39" t="n">
        <v>80141</v>
      </c>
      <c r="M316" s="39" t="n">
        <v>383365.33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PHONEPE LIMITED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46141</v>
      </c>
      <c r="AB316" s="42">
        <f>HYPERLINK("#'Transactions'!A363", "View Source Row")</f>
        <v/>
      </c>
    </row>
    <row r="317">
      <c r="A317" s="14" t="n">
        <v>363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46141</v>
      </c>
      <c r="F317" s="40" t="n">
        <v>46141</v>
      </c>
      <c r="G317" s="16" t="inlineStr">
        <is>
          <t>DIGITA-MUMBAI/ NEFT-AXISCN1327518007-ONE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2500</v>
      </c>
      <c r="L317" s="39" t="n">
        <v>2500</v>
      </c>
      <c r="M317" s="39" t="n">
        <v>385865.33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46141</v>
      </c>
      <c r="AB317" s="42">
        <f>HYPERLINK("#'Transactions'!A364", "View Source Row")</f>
        <v/>
      </c>
    </row>
    <row r="318">
      <c r="A318" s="14" t="n">
        <v>364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46141</v>
      </c>
      <c r="F318" s="40" t="n">
        <v>46141</v>
      </c>
      <c r="G318" s="16" t="inlineStr">
        <is>
          <t>EBANK:WIB/1505 EBANK:WIB/1505959390/Edfs</t>
        </is>
      </c>
      <c r="H318" s="14" t="str"/>
      <c r="I318" s="14" t="inlineStr">
        <is>
          <t>Payment</t>
        </is>
      </c>
      <c r="J318" s="39" t="n">
        <v>383365.33</v>
      </c>
      <c r="K318" s="39" t="n">
        <v>0</v>
      </c>
      <c r="L318" s="39" t="n">
        <v>383365.33</v>
      </c>
      <c r="M318" s="39" t="n">
        <v>2500</v>
      </c>
      <c r="N318" s="14" t="inlineStr">
        <is>
          <t>High Transaction; Recurring Transaction</t>
        </is>
      </c>
      <c r="O318" s="14" t="inlineStr">
        <is>
          <t>Yes</t>
        </is>
      </c>
      <c r="P318" s="14" t="inlineStr">
        <is>
          <t>EBANKWIB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1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46141</v>
      </c>
      <c r="AB318" s="42">
        <f>HYPERLINK("#'Transactions'!A365", "View Source Row")</f>
        <v/>
      </c>
    </row>
    <row r="319">
      <c r="A319" s="14" t="n">
        <v>365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46141</v>
      </c>
      <c r="F319" s="40" t="n">
        <v>46141</v>
      </c>
      <c r="G319" s="16" t="inlineStr">
        <is>
          <t>DIGITA-MUMBAI/ NEFT-AXISCN1327725971-PINE LABS PRIVATE LIMITED-NO</t>
        </is>
      </c>
      <c r="H319" s="14" t="str"/>
      <c r="I319" s="14" t="inlineStr">
        <is>
          <t>Receipt</t>
        </is>
      </c>
      <c r="J319" s="39" t="n">
        <v>0</v>
      </c>
      <c r="K319" s="39" t="n">
        <v>161953</v>
      </c>
      <c r="L319" s="39" t="n">
        <v>161953</v>
      </c>
      <c r="M319" s="39" t="n">
        <v>164453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PINE LABS PRIVATE LIMITED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46141</v>
      </c>
      <c r="AB319" s="42">
        <f>HYPERLINK("#'Transactions'!A366", "View Source Row")</f>
        <v/>
      </c>
    </row>
    <row r="320">
      <c r="A320" s="14" t="n">
        <v>366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46141</v>
      </c>
      <c r="F320" s="40" t="n">
        <v>46141</v>
      </c>
      <c r="G320" s="16" t="inlineStr">
        <is>
          <t>EBANK:WIB/1505 EBANK:WIB/1505997293/Edfs</t>
        </is>
      </c>
      <c r="H320" s="14" t="str"/>
      <c r="I320" s="14" t="inlineStr">
        <is>
          <t>Payment</t>
        </is>
      </c>
      <c r="J320" s="39" t="n">
        <v>161953</v>
      </c>
      <c r="K320" s="39" t="n">
        <v>0</v>
      </c>
      <c r="L320" s="39" t="n">
        <v>161953</v>
      </c>
      <c r="M320" s="39" t="n">
        <v>2500</v>
      </c>
      <c r="N320" s="14" t="inlineStr">
        <is>
          <t>High Transaction; Recurring Transaction</t>
        </is>
      </c>
      <c r="O320" s="14" t="inlineStr">
        <is>
          <t>Yes</t>
        </is>
      </c>
      <c r="P320" s="14" t="inlineStr">
        <is>
          <t>EBANKWIB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46141</v>
      </c>
      <c r="AB320" s="42">
        <f>HYPERLINK("#'Transactions'!A367", "View Source Row")</f>
        <v/>
      </c>
    </row>
    <row r="321">
      <c r="A321" s="14" t="n">
        <v>367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46141</v>
      </c>
      <c r="F321" s="40" t="n">
        <v>46141</v>
      </c>
      <c r="G321" s="16" t="inlineStr">
        <is>
          <t>UPI/6485981469 98146908 UPI/648598146908/13:51:58/UPI/akashshelar41-2@oki</t>
        </is>
      </c>
      <c r="H321" s="14" t="str"/>
      <c r="I321" s="14" t="inlineStr">
        <is>
          <t>Receipt</t>
        </is>
      </c>
      <c r="J321" s="39" t="n">
        <v>0</v>
      </c>
      <c r="K321" s="39" t="n">
        <v>4000</v>
      </c>
      <c r="L321" s="39" t="n">
        <v>4000</v>
      </c>
      <c r="M321" s="39" t="n">
        <v>6500</v>
      </c>
      <c r="N321" s="14" t="inlineStr">
        <is>
          <t>UPI; Recurring Transaction</t>
        </is>
      </c>
      <c r="O321" s="14" t="inlineStr">
        <is>
          <t>Yes</t>
        </is>
      </c>
      <c r="P321" s="14" t="inlineStr">
        <is>
          <t>AKASHSHELAR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0</v>
      </c>
      <c r="V321" s="14" t="n">
        <v>1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46141</v>
      </c>
      <c r="AB321" s="42">
        <f>HYPERLINK("#'Transactions'!A368", "View Source Row")</f>
        <v/>
      </c>
    </row>
    <row r="322">
      <c r="A322" s="14" t="n">
        <v>368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46141</v>
      </c>
      <c r="F322" s="40" t="n">
        <v>46141</v>
      </c>
      <c r="G322" s="16" t="inlineStr">
        <is>
          <t>DIGITA-MUMBAI/ NEFT-IN42611955128051-N R COLOURS LIMITED</t>
        </is>
      </c>
      <c r="H322" s="14" t="str"/>
      <c r="I322" s="14" t="inlineStr">
        <is>
          <t>Receipt</t>
        </is>
      </c>
      <c r="J322" s="39" t="n">
        <v>0</v>
      </c>
      <c r="K322" s="39" t="n">
        <v>20000</v>
      </c>
      <c r="L322" s="39" t="n">
        <v>20000</v>
      </c>
      <c r="M322" s="39" t="n">
        <v>26500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N R COLOURS LIMITED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46141</v>
      </c>
      <c r="AB322" s="42">
        <f>HYPERLINK("#'Transactions'!A369", "View Source Row")</f>
        <v/>
      </c>
    </row>
    <row r="323">
      <c r="A323" s="14" t="n">
        <v>369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46141</v>
      </c>
      <c r="F323" s="40" t="n">
        <v>46141</v>
      </c>
      <c r="G323" s="16" t="inlineStr">
        <is>
          <t>DIGITA-MUMBAI/ IMPS/P2A/611916141538/S TRANS 14851/Mh04ju3738I</t>
        </is>
      </c>
      <c r="H323" s="14" t="str"/>
      <c r="I323" s="14" t="inlineStr">
        <is>
          <t>Receipt</t>
        </is>
      </c>
      <c r="J323" s="39" t="n">
        <v>0</v>
      </c>
      <c r="K323" s="39" t="n">
        <v>13500</v>
      </c>
      <c r="L323" s="39" t="n">
        <v>13500</v>
      </c>
      <c r="M323" s="39" t="n">
        <v>40000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DIGITA-MUMBAI/ IMPS/P#A/#/S TRANS #/MH#JU#I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46141</v>
      </c>
      <c r="AB323" s="42">
        <f>HYPERLINK("#'Transactions'!A370", "View Source Row")</f>
        <v/>
      </c>
    </row>
    <row r="324">
      <c r="A324" s="14" t="n">
        <v>370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46141</v>
      </c>
      <c r="F324" s="40" t="n">
        <v>46141</v>
      </c>
      <c r="G324" s="16" t="inlineStr">
        <is>
          <t>DIGITA-MUMBAI/ NEFT-NKGSH26119201393-GEBI PRODUCTS PRIVATE LIMITE</t>
        </is>
      </c>
      <c r="H324" s="14" t="str"/>
      <c r="I324" s="14" t="inlineStr">
        <is>
          <t>Receipt</t>
        </is>
      </c>
      <c r="J324" s="39" t="n">
        <v>0</v>
      </c>
      <c r="K324" s="39" t="n">
        <v>4372</v>
      </c>
      <c r="L324" s="39" t="n">
        <v>4372</v>
      </c>
      <c r="M324" s="39" t="n">
        <v>44372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GEBI PRODUCTS PRIVATE LIMITE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46141</v>
      </c>
      <c r="AB324" s="42">
        <f>HYPERLINK("#'Transactions'!A371", "View Source Row")</f>
        <v/>
      </c>
    </row>
    <row r="325">
      <c r="A325" s="14" t="n">
        <v>371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46141</v>
      </c>
      <c r="F325" s="40" t="n">
        <v>46141</v>
      </c>
      <c r="G325" s="16" t="inlineStr">
        <is>
          <t>DIGITA-MUMBAI/ NEFT-HDFCH00961650004-SL CORBOX PRIVATE LIMITED</t>
        </is>
      </c>
      <c r="H325" s="14" t="str"/>
      <c r="I325" s="14" t="inlineStr">
        <is>
          <t>Receipt</t>
        </is>
      </c>
      <c r="J325" s="39" t="n">
        <v>0</v>
      </c>
      <c r="K325" s="39" t="n">
        <v>42165</v>
      </c>
      <c r="L325" s="39" t="n">
        <v>42165</v>
      </c>
      <c r="M325" s="39" t="n">
        <v>86537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SL CORBOX PRIVATE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46141</v>
      </c>
      <c r="AB325" s="42">
        <f>HYPERLINK("#'Transactions'!A372", "View Source Row")</f>
        <v/>
      </c>
    </row>
    <row r="326">
      <c r="A326" s="14" t="n">
        <v>372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46141</v>
      </c>
      <c r="F326" s="40" t="n">
        <v>46141</v>
      </c>
      <c r="G326" s="16" t="inlineStr">
        <is>
          <t>DIGITA-MUMBAI/ NEFT-HDFCH00961665348-CORPAK</t>
        </is>
      </c>
      <c r="H326" s="14" t="str"/>
      <c r="I326" s="14" t="inlineStr">
        <is>
          <t>Receipt</t>
        </is>
      </c>
      <c r="J326" s="39" t="n">
        <v>0</v>
      </c>
      <c r="K326" s="39" t="n">
        <v>9227</v>
      </c>
      <c r="L326" s="39" t="n">
        <v>9227</v>
      </c>
      <c r="M326" s="39" t="n">
        <v>95764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DIGITA-MUMBAI/ NEFT-HDFCH#-CORPAK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46141</v>
      </c>
      <c r="AB326" s="42">
        <f>HYPERLINK("#'Transactions'!A373", "View Source Row")</f>
        <v/>
      </c>
    </row>
    <row r="327">
      <c r="A327" s="14" t="n">
        <v>373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46141</v>
      </c>
      <c r="F327" s="40" t="n">
        <v>46141</v>
      </c>
      <c r="G32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27" s="14" t="str"/>
      <c r="I327" s="14" t="inlineStr">
        <is>
          <t>Payment</t>
        </is>
      </c>
      <c r="J327" s="39" t="n">
        <v>93264</v>
      </c>
      <c r="K327" s="39" t="n">
        <v>0</v>
      </c>
      <c r="L327" s="39" t="n">
        <v>93264</v>
      </c>
      <c r="M327" s="39" t="n">
        <v>2500</v>
      </c>
      <c r="N327" s="14" t="inlineStr">
        <is>
          <t>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46141</v>
      </c>
      <c r="AB327" s="42">
        <f>HYPERLINK("#'Transactions'!A374", "View Source Row")</f>
        <v/>
      </c>
    </row>
    <row r="328">
      <c r="A328" s="14" t="n">
        <v>374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46141</v>
      </c>
      <c r="F328" s="40" t="n">
        <v>46141</v>
      </c>
      <c r="G328" s="16" t="inlineStr">
        <is>
          <t>DIGITA-MUMBAI/ IMPS/P2A/611920044748/VILLAGE STONE L/Diesel paym</t>
        </is>
      </c>
      <c r="H328" s="14" t="str"/>
      <c r="I328" s="14" t="inlineStr">
        <is>
          <t>Receipt</t>
        </is>
      </c>
      <c r="J328" s="39" t="n">
        <v>0</v>
      </c>
      <c r="K328" s="39" t="n">
        <v>47933</v>
      </c>
      <c r="L328" s="39" t="n">
        <v>47933</v>
      </c>
      <c r="M328" s="39" t="n">
        <v>50433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VILLAGE STONE L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46141</v>
      </c>
      <c r="AB328" s="42">
        <f>HYPERLINK("#'Transactions'!A375", "View Source Row")</f>
        <v/>
      </c>
    </row>
    <row r="329">
      <c r="A329" s="14" t="n">
        <v>375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46141</v>
      </c>
      <c r="F329" s="40" t="n">
        <v>46141</v>
      </c>
      <c r="G329" s="16" t="inlineStr">
        <is>
          <t>DIGITA-MUMBAI/ NEFT-IN42611955380476-VINAYAK OIL INDUSTRIES</t>
        </is>
      </c>
      <c r="H329" s="14" t="str"/>
      <c r="I329" s="14" t="inlineStr">
        <is>
          <t>Receipt</t>
        </is>
      </c>
      <c r="J329" s="39" t="n">
        <v>0</v>
      </c>
      <c r="K329" s="39" t="n">
        <v>44307</v>
      </c>
      <c r="L329" s="39" t="n">
        <v>44307</v>
      </c>
      <c r="M329" s="39" t="n">
        <v>94740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VINAYAK OIL INDUSTRIES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46141</v>
      </c>
      <c r="AB329" s="42">
        <f>HYPERLINK("#'Transactions'!A376", "View Source Row")</f>
        <v/>
      </c>
    </row>
    <row r="330">
      <c r="A330" s="14" t="n">
        <v>376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46141</v>
      </c>
      <c r="F330" s="40" t="n">
        <v>46141</v>
      </c>
      <c r="G330" s="16" t="inlineStr">
        <is>
          <t>EBANK:WIB/1506 EBANK:WIB/1506102762/Edfs</t>
        </is>
      </c>
      <c r="H330" s="14" t="str"/>
      <c r="I330" s="14" t="inlineStr">
        <is>
          <t>Payment</t>
        </is>
      </c>
      <c r="J330" s="39" t="n">
        <v>92240</v>
      </c>
      <c r="K330" s="39" t="n">
        <v>0</v>
      </c>
      <c r="L330" s="39" t="n">
        <v>92240</v>
      </c>
      <c r="M330" s="39" t="n">
        <v>2500</v>
      </c>
      <c r="N330" s="14" t="inlineStr">
        <is>
          <t>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46141</v>
      </c>
      <c r="AB330" s="42">
        <f>HYPERLINK("#'Transactions'!A377", "View Source Row")</f>
        <v/>
      </c>
    </row>
    <row r="331">
      <c r="A331" s="14" t="n">
        <v>377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46141</v>
      </c>
      <c r="F331" s="40" t="n">
        <v>46141</v>
      </c>
      <c r="G331" s="16" t="inlineStr">
        <is>
          <t>DIGITA-MUMBAI/ IMPS/P2A/611922088049/OMSANITRANSPORT/Diesel Bill</t>
        </is>
      </c>
      <c r="H331" s="14" t="str"/>
      <c r="I331" s="14" t="inlineStr">
        <is>
          <t>Receipt</t>
        </is>
      </c>
      <c r="J331" s="39" t="n">
        <v>0</v>
      </c>
      <c r="K331" s="39" t="n">
        <v>44070</v>
      </c>
      <c r="L331" s="39" t="n">
        <v>44070</v>
      </c>
      <c r="M331" s="39" t="n">
        <v>46570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OMSANITRANSPORT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46141</v>
      </c>
      <c r="AB331" s="42">
        <f>HYPERLINK("#'Transactions'!A378", "View Source Row")</f>
        <v/>
      </c>
    </row>
    <row r="332">
      <c r="A332" s="14" t="n">
        <v>378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46142</v>
      </c>
      <c r="F332" s="40" t="n">
        <v>46142</v>
      </c>
      <c r="G332" s="16" t="inlineStr">
        <is>
          <t>EBANK:WIB/1506 EBANK:WIB/1506112730/Edfs</t>
        </is>
      </c>
      <c r="H332" s="14" t="str"/>
      <c r="I332" s="14" t="inlineStr">
        <is>
          <t>Payment</t>
        </is>
      </c>
      <c r="J332" s="39" t="n">
        <v>44070</v>
      </c>
      <c r="K332" s="39" t="n">
        <v>0</v>
      </c>
      <c r="L332" s="39" t="n">
        <v>44070</v>
      </c>
      <c r="M332" s="39" t="n">
        <v>2500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EBANKWIB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46142</v>
      </c>
      <c r="AB332" s="42">
        <f>HYPERLINK("#'Transactions'!A379", "View Source Row")</f>
        <v/>
      </c>
    </row>
    <row r="333">
      <c r="A333" s="14" t="n">
        <v>379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46142</v>
      </c>
      <c r="F333" s="40" t="n">
        <v>46142</v>
      </c>
      <c r="G333" s="16" t="inlineStr">
        <is>
          <t>DIGITA-MUMBAI/ NEFT-YESAP61203718924-PhonePe Limited</t>
        </is>
      </c>
      <c r="H333" s="14" t="str"/>
      <c r="I333" s="14" t="inlineStr">
        <is>
          <t>Receipt</t>
        </is>
      </c>
      <c r="J333" s="39" t="n">
        <v>0</v>
      </c>
      <c r="K333" s="39" t="n">
        <v>331429.91</v>
      </c>
      <c r="L333" s="39" t="n">
        <v>331429.91</v>
      </c>
      <c r="M333" s="39" t="n">
        <v>333929.91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PHONEPE LIMITED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46142</v>
      </c>
      <c r="AB333" s="42">
        <f>HYPERLINK("#'Transactions'!A380", "View Source Row")</f>
        <v/>
      </c>
    </row>
    <row r="334">
      <c r="A334" s="14" t="n">
        <v>380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46142</v>
      </c>
      <c r="F334" s="40" t="n">
        <v>46142</v>
      </c>
      <c r="G334" s="16" t="inlineStr">
        <is>
          <t>DIGITA-MUMBAI/ NEFT-AXISCN1328726065-ONE MOBIKWIK SYSTEMS LIMITED</t>
        </is>
      </c>
      <c r="H334" s="14" t="str"/>
      <c r="I334" s="14" t="inlineStr">
        <is>
          <t>Receipt</t>
        </is>
      </c>
      <c r="J334" s="39" t="n">
        <v>0</v>
      </c>
      <c r="K334" s="39" t="n">
        <v>4500</v>
      </c>
      <c r="L334" s="39" t="n">
        <v>4500</v>
      </c>
      <c r="M334" s="39" t="n">
        <v>338429.91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ONE MOBIKWIK SYSTEMS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46142</v>
      </c>
      <c r="AB334" s="42">
        <f>HYPERLINK("#'Transactions'!A381", "View Source Row")</f>
        <v/>
      </c>
    </row>
    <row r="335">
      <c r="A335" s="14" t="n">
        <v>381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46142</v>
      </c>
      <c r="F335" s="40" t="n">
        <v>46142</v>
      </c>
      <c r="G335" s="16" t="inlineStr">
        <is>
          <t>DIGITA-MUMBAI/ NEFT-AXNPN12039810952-PHONEPE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93657.2</v>
      </c>
      <c r="L335" s="39" t="n">
        <v>93657.2</v>
      </c>
      <c r="M335" s="39" t="n">
        <v>432087.11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46142</v>
      </c>
      <c r="AB335" s="42">
        <f>HYPERLINK("#'Transactions'!A382", "View Source Row")</f>
        <v/>
      </c>
    </row>
    <row r="336">
      <c r="A336" s="14" t="n">
        <v>382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46142</v>
      </c>
      <c r="F336" s="40" t="n">
        <v>46142</v>
      </c>
      <c r="G336" s="16" t="inlineStr">
        <is>
          <t>EBANK:WIB/1506 EBANK:WIB/1506112904/Edfs</t>
        </is>
      </c>
      <c r="H336" s="14" t="str"/>
      <c r="I336" s="14" t="inlineStr">
        <is>
          <t>Payment</t>
        </is>
      </c>
      <c r="J336" s="39" t="n">
        <v>429587.11</v>
      </c>
      <c r="K336" s="39" t="n">
        <v>0</v>
      </c>
      <c r="L336" s="39" t="n">
        <v>429587.11</v>
      </c>
      <c r="M336" s="39" t="n">
        <v>2500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46142</v>
      </c>
      <c r="AB336" s="42">
        <f>HYPERLINK("#'Transactions'!A383", "View Source Row")</f>
        <v/>
      </c>
    </row>
    <row r="337">
      <c r="A337" s="14" t="n">
        <v>383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46142</v>
      </c>
      <c r="F337" s="40" t="n">
        <v>46142</v>
      </c>
      <c r="G337" s="16" t="inlineStr">
        <is>
          <t>IMPS/P2A/61200 IMPS/P2A/612006415602/XXXXXXXXXXR111/forload</t>
        </is>
      </c>
      <c r="H337" s="14" t="str"/>
      <c r="I337" s="14" t="inlineStr">
        <is>
          <t>Payment</t>
        </is>
      </c>
      <c r="J337" s="39" t="n">
        <v>500</v>
      </c>
      <c r="K337" s="39" t="n">
        <v>0</v>
      </c>
      <c r="L337" s="39" t="n">
        <v>500</v>
      </c>
      <c r="M337" s="39" t="n">
        <v>2000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XXXXXXXXXXR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46142</v>
      </c>
      <c r="AB337" s="42">
        <f>HYPERLINK("#'Transactions'!A384", "View Source Row")</f>
        <v/>
      </c>
    </row>
    <row r="338">
      <c r="A338" s="14" t="n">
        <v>384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46142</v>
      </c>
      <c r="F338" s="40" t="n">
        <v>46142</v>
      </c>
      <c r="G338" s="16" t="inlineStr">
        <is>
          <t>CHARGES FOR CHARGES FOR :IMPS/P2A/612006415602/XXXXXXXX</t>
        </is>
      </c>
      <c r="H338" s="14" t="str"/>
      <c r="I338" s="14" t="inlineStr">
        <is>
          <t>Payment</t>
        </is>
      </c>
      <c r="J338" s="39" t="n">
        <v>2.95</v>
      </c>
      <c r="K338" s="39" t="n">
        <v>0</v>
      </c>
      <c r="L338" s="39" t="n">
        <v>2.95</v>
      </c>
      <c r="M338" s="39" t="n">
        <v>1997.05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CHARGES FOR CHARGES FOR IMPS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46142</v>
      </c>
      <c r="AB338" s="42">
        <f>HYPERLINK("#'Transactions'!A385", "View Source Row")</f>
        <v/>
      </c>
    </row>
    <row r="339">
      <c r="A339" s="14" t="n">
        <v>386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46142</v>
      </c>
      <c r="F339" s="40" t="n">
        <v>46142</v>
      </c>
      <c r="G339" s="16" t="inlineStr">
        <is>
          <t>DIGITA-MUMBAI/ NEFT-AXISCN1328873702-PINE LABS PRIVATE LIMITED-NO</t>
        </is>
      </c>
      <c r="H339" s="14" t="str"/>
      <c r="I339" s="14" t="inlineStr">
        <is>
          <t>Receipt</t>
        </is>
      </c>
      <c r="J339" s="39" t="n">
        <v>0</v>
      </c>
      <c r="K339" s="39" t="n">
        <v>98741</v>
      </c>
      <c r="L339" s="39" t="n">
        <v>98741</v>
      </c>
      <c r="M339" s="39" t="n">
        <v>111738.05</v>
      </c>
      <c r="N339" s="14" t="inlineStr">
        <is>
          <t>Recurring Transaction</t>
        </is>
      </c>
      <c r="O339" s="14" t="inlineStr">
        <is>
          <t>Yes</t>
        </is>
      </c>
      <c r="P339" s="14" t="inlineStr">
        <is>
          <t>PINE LABS PRIVATE LIMITED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46142</v>
      </c>
      <c r="AB339" s="42">
        <f>HYPERLINK("#'Transactions'!A387", "View Source Row")</f>
        <v/>
      </c>
    </row>
    <row r="340">
      <c r="A340" s="14" t="n">
        <v>387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46142</v>
      </c>
      <c r="F340" s="40" t="n">
        <v>46142</v>
      </c>
      <c r="G340" s="16" t="inlineStr">
        <is>
          <t>DIGITA-MUMBAI/ NEFT-HDFCH00963002372-KUNDAN QUARRY</t>
        </is>
      </c>
      <c r="H340" s="14" t="str"/>
      <c r="I340" s="14" t="inlineStr">
        <is>
          <t>Receipt</t>
        </is>
      </c>
      <c r="J340" s="39" t="n">
        <v>0</v>
      </c>
      <c r="K340" s="39" t="n">
        <v>8700</v>
      </c>
      <c r="L340" s="39" t="n">
        <v>8700</v>
      </c>
      <c r="M340" s="39" t="n">
        <v>120438.05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KUNDAN QUARRY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46142</v>
      </c>
      <c r="AB340" s="42">
        <f>HYPERLINK("#'Transactions'!A388", "View Source Row")</f>
        <v/>
      </c>
    </row>
    <row r="341">
      <c r="A341" s="14" t="n">
        <v>388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46142</v>
      </c>
      <c r="F341" s="40" t="n">
        <v>46142</v>
      </c>
      <c r="G341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1" s="14" t="str"/>
      <c r="I341" s="14" t="inlineStr">
        <is>
          <t>Receipt</t>
        </is>
      </c>
      <c r="J341" s="39" t="n">
        <v>0</v>
      </c>
      <c r="K341" s="39" t="n">
        <v>90440</v>
      </c>
      <c r="L341" s="39" t="n">
        <v>90440</v>
      </c>
      <c r="M341" s="39" t="n">
        <v>210878.05</v>
      </c>
      <c r="N341" s="14" t="inlineStr">
        <is>
          <t>Recurring Transaction</t>
        </is>
      </c>
      <c r="O341" s="14" t="inlineStr">
        <is>
          <t>Yes</t>
        </is>
      </c>
      <c r="P341" s="14" t="inlineStr">
        <is>
          <t>PELL TECH HEALTH CARE PRIVAT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46142</v>
      </c>
      <c r="AB341" s="42">
        <f>HYPERLINK("#'Transactions'!A389", "View Source Row")</f>
        <v/>
      </c>
    </row>
    <row r="342">
      <c r="A342" s="14" t="n">
        <v>389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46142</v>
      </c>
      <c r="F342" s="40" t="n">
        <v>46142</v>
      </c>
      <c r="G342" s="16" t="inlineStr">
        <is>
          <t>DIGITA-MUMBAI/ NEFT-HDFCH00963252757-QUEST ENTERPRISES PVT LTD</t>
        </is>
      </c>
      <c r="H342" s="14" t="str"/>
      <c r="I342" s="14" t="inlineStr">
        <is>
          <t>Receipt</t>
        </is>
      </c>
      <c r="J342" s="39" t="n">
        <v>0</v>
      </c>
      <c r="K342" s="39" t="n">
        <v>5000</v>
      </c>
      <c r="L342" s="39" t="n">
        <v>5000</v>
      </c>
      <c r="M342" s="39" t="n">
        <v>215878.05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QUEST ENTERPRISES PVT LTD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46142</v>
      </c>
      <c r="AB342" s="42">
        <f>HYPERLINK("#'Transactions'!A390", "View Source Row")</f>
        <v/>
      </c>
    </row>
    <row r="343">
      <c r="A343" s="14" t="n">
        <v>390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46142</v>
      </c>
      <c r="F343" s="40" t="n">
        <v>46142</v>
      </c>
      <c r="G343" s="16" t="inlineStr">
        <is>
          <t>DIGITA-MUMBAI/ NEFT-HDFCH00963611742-Adekar enterprises pvt ltd</t>
        </is>
      </c>
      <c r="H343" s="14" t="str"/>
      <c r="I343" s="14" t="inlineStr">
        <is>
          <t>Receipt</t>
        </is>
      </c>
      <c r="J343" s="39" t="n">
        <v>0</v>
      </c>
      <c r="K343" s="39" t="n">
        <v>109621</v>
      </c>
      <c r="L343" s="39" t="n">
        <v>109621</v>
      </c>
      <c r="M343" s="39" t="n">
        <v>325499.05</v>
      </c>
      <c r="N343" s="14" t="inlineStr">
        <is>
          <t>High Transaction; Recurring Transaction</t>
        </is>
      </c>
      <c r="O343" s="14" t="inlineStr">
        <is>
          <t>Yes</t>
        </is>
      </c>
      <c r="P343" s="14" t="inlineStr">
        <is>
          <t>ADEKAR ENTERPRISES PVT LTD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1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46142</v>
      </c>
      <c r="AB343" s="42">
        <f>HYPERLINK("#'Transactions'!A391", "View Source Row")</f>
        <v/>
      </c>
    </row>
    <row r="344">
      <c r="A344" s="14" t="n">
        <v>391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46142</v>
      </c>
      <c r="F344" s="40" t="n">
        <v>46142</v>
      </c>
      <c r="G344" s="16" t="inlineStr">
        <is>
          <t>DIGITA-MUMBAI/ NEFT-NKGSH26120214998-GEBI PRODUCTS PRIVATE LIMITE</t>
        </is>
      </c>
      <c r="H344" s="14" t="str"/>
      <c r="I344" s="14" t="inlineStr">
        <is>
          <t>Receipt</t>
        </is>
      </c>
      <c r="J344" s="39" t="n">
        <v>0</v>
      </c>
      <c r="K344" s="39" t="n">
        <v>2441</v>
      </c>
      <c r="L344" s="39" t="n">
        <v>2441</v>
      </c>
      <c r="M344" s="39" t="n">
        <v>327940.05</v>
      </c>
      <c r="N344" s="14" t="inlineStr">
        <is>
          <t>Recurring Transaction</t>
        </is>
      </c>
      <c r="O344" s="14" t="inlineStr">
        <is>
          <t>Yes</t>
        </is>
      </c>
      <c r="P344" s="14" t="inlineStr">
        <is>
          <t>GEBI PRODUCTS PRIVATE LIMITE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46142</v>
      </c>
      <c r="AB344" s="42">
        <f>HYPERLINK("#'Transactions'!A392", "View Source Row")</f>
        <v/>
      </c>
    </row>
    <row r="345">
      <c r="A345" s="14" t="n">
        <v>392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46142</v>
      </c>
      <c r="F345" s="40" t="n">
        <v>46142</v>
      </c>
      <c r="G345" s="16" t="inlineStr">
        <is>
          <t>EBANK:WIB/1506 EBANK:WIB/1506237357/Edfs</t>
        </is>
      </c>
      <c r="H345" s="14" t="str"/>
      <c r="I345" s="14" t="inlineStr">
        <is>
          <t>Payment</t>
        </is>
      </c>
      <c r="J345" s="39" t="n">
        <v>307440.05</v>
      </c>
      <c r="K345" s="39" t="n">
        <v>0</v>
      </c>
      <c r="L345" s="39" t="n">
        <v>307440.05</v>
      </c>
      <c r="M345" s="39" t="n">
        <v>20500</v>
      </c>
      <c r="N345" s="14" t="inlineStr">
        <is>
          <t>High Transaction; Recurring Transaction</t>
        </is>
      </c>
      <c r="O345" s="14" t="inlineStr">
        <is>
          <t>Yes</t>
        </is>
      </c>
      <c r="P345" s="14" t="inlineStr">
        <is>
          <t>EBANKWIB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1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46142</v>
      </c>
      <c r="AB345" s="42">
        <f>HYPERLINK("#'Transactions'!A393", "View Source Row")</f>
        <v/>
      </c>
    </row>
    <row r="346">
      <c r="A346" s="14" t="n">
        <v>393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46142</v>
      </c>
      <c r="F346" s="40" t="n">
        <v>46142</v>
      </c>
      <c r="G346" s="16" t="inlineStr">
        <is>
          <t>DIGITA-MUMBAI/ NEFT-IN42612056111225-JERAI FITNESS LIMITED</t>
        </is>
      </c>
      <c r="H346" s="14" t="str"/>
      <c r="I346" s="14" t="inlineStr">
        <is>
          <t>Receipt</t>
        </is>
      </c>
      <c r="J346" s="39" t="n">
        <v>0</v>
      </c>
      <c r="K346" s="39" t="n">
        <v>147635</v>
      </c>
      <c r="L346" s="39" t="n">
        <v>147635</v>
      </c>
      <c r="M346" s="39" t="n">
        <v>168135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JERAI FITNESS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46142</v>
      </c>
      <c r="AB346" s="42">
        <f>HYPERLINK("#'Transactions'!A394", "View Source Row")</f>
        <v/>
      </c>
    </row>
    <row r="347">
      <c r="A347" s="14" t="n">
        <v>394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46142</v>
      </c>
      <c r="F347" s="40" t="n">
        <v>46142</v>
      </c>
      <c r="G347" s="16" t="inlineStr">
        <is>
          <t>IMPS/P2A/61201 IMPS/P2A/612019376760/XXXXXXXXXXR111/load</t>
        </is>
      </c>
      <c r="H347" s="14" t="str"/>
      <c r="I347" s="14" t="inlineStr">
        <is>
          <t>Payment</t>
        </is>
      </c>
      <c r="J347" s="39" t="n">
        <v>12000</v>
      </c>
      <c r="K347" s="39" t="n">
        <v>0</v>
      </c>
      <c r="L347" s="39" t="n">
        <v>12000</v>
      </c>
      <c r="M347" s="39" t="n">
        <v>156135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XXXXXXXXXXR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46142</v>
      </c>
      <c r="AB347" s="42">
        <f>HYPERLINK("#'Transactions'!A395", "View Source Row")</f>
        <v/>
      </c>
    </row>
    <row r="348">
      <c r="A348" s="14" t="n">
        <v>395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46142</v>
      </c>
      <c r="F348" s="40" t="n">
        <v>46142</v>
      </c>
      <c r="G348" s="16" t="inlineStr">
        <is>
          <t>CHARGES FOR CHARGES FOR :IMPS/P2A/612019376760/XXXXXXXX</t>
        </is>
      </c>
      <c r="H348" s="14" t="str"/>
      <c r="I348" s="14" t="inlineStr">
        <is>
          <t>Payment</t>
        </is>
      </c>
      <c r="J348" s="39" t="n">
        <v>5.9</v>
      </c>
      <c r="K348" s="39" t="n">
        <v>0</v>
      </c>
      <c r="L348" s="39" t="n">
        <v>5.9</v>
      </c>
      <c r="M348" s="39" t="n">
        <v>156129.1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CHARGES FOR CHARGES FOR IMPS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46142</v>
      </c>
      <c r="AB348" s="42">
        <f>HYPERLINK("#'Transactions'!A396", "View Source Row")</f>
        <v/>
      </c>
    </row>
    <row r="349">
      <c r="A349" s="14" t="n">
        <v>397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46142</v>
      </c>
      <c r="F349" s="40" t="n">
        <v>46142</v>
      </c>
      <c r="G349" s="16" t="inlineStr">
        <is>
          <t>CHARGES FOR CHARGES FOR :IMPS/P2A/612022880582/XXXXXXXX</t>
        </is>
      </c>
      <c r="H349" s="14" t="str"/>
      <c r="I349" s="14" t="inlineStr">
        <is>
          <t>Payment</t>
        </is>
      </c>
      <c r="J349" s="39" t="n">
        <v>5.9</v>
      </c>
      <c r="K349" s="39" t="n">
        <v>0</v>
      </c>
      <c r="L349" s="39" t="n">
        <v>5.9</v>
      </c>
      <c r="M349" s="39" t="n">
        <v>131123.2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CHARGES FOR CHARGES FOR IMPS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46142</v>
      </c>
      <c r="AB349" s="42">
        <f>HYPERLINK("#'Transactions'!A398", "View Source Row")</f>
        <v/>
      </c>
    </row>
    <row r="350">
      <c r="A350" s="14" t="n">
        <v>398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46142</v>
      </c>
      <c r="F350" s="40" t="n">
        <v>46142</v>
      </c>
      <c r="G350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50" s="14" t="str"/>
      <c r="I350" s="14" t="inlineStr">
        <is>
          <t>Payment</t>
        </is>
      </c>
      <c r="J350" s="39" t="n">
        <v>128623.2</v>
      </c>
      <c r="K350" s="39" t="n">
        <v>0</v>
      </c>
      <c r="L350" s="39" t="n">
        <v>128623.2</v>
      </c>
      <c r="M350" s="39" t="n">
        <v>2500</v>
      </c>
      <c r="N350" s="14" t="inlineStr">
        <is>
          <t>High Transaction; Recurring Transaction</t>
        </is>
      </c>
      <c r="O350" s="14" t="inlineStr">
        <is>
          <t>Yes</t>
        </is>
      </c>
      <c r="P350" s="14" t="inlineStr">
        <is>
          <t>EBANKWIB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1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46142</v>
      </c>
      <c r="AB350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EMI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EMI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NEFT-FBPT260916108327-PREMIER CONVEYORS PRIVATE LI</t>
        </is>
      </c>
      <c r="H5" s="14" t="str"/>
      <c r="I5" s="14" t="inlineStr">
        <is>
          <t>Receipt</t>
        </is>
      </c>
      <c r="J5" s="39" t="n">
        <v>0</v>
      </c>
      <c r="K5" s="39" t="n">
        <v>18409</v>
      </c>
      <c r="L5" s="39" t="n">
        <v>18409</v>
      </c>
      <c r="M5" s="39" t="n">
        <v>20909</v>
      </c>
      <c r="N5" s="14" t="inlineStr">
        <is>
          <t>EMI; Recurring Transaction</t>
        </is>
      </c>
      <c r="O5" s="14" t="inlineStr">
        <is>
          <t>Yes</t>
        </is>
      </c>
      <c r="P5" s="14" t="inlineStr">
        <is>
          <t>PREMIER CONVEYORS PRIVATE LI</t>
        </is>
      </c>
      <c r="Q5" s="14" t="n">
        <v>0</v>
      </c>
      <c r="R5" s="14" t="n">
        <v>1</v>
      </c>
      <c r="S5" s="14" t="n">
        <v>1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HYPERLINK("#'Transactions'!A8", "View Source Row")</f>
        <v/>
      </c>
    </row>
    <row r="6">
      <c r="A6" s="14" t="n">
        <v>226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46130</v>
      </c>
      <c r="F6" s="40" t="n">
        <v>46130</v>
      </c>
      <c r="G6" s="16" t="inlineStr">
        <is>
          <t>DIGITA-MUMBAI/ NEFT-FBPT261087153653-PREMIER CONVEYORS PRIVATE LI</t>
        </is>
      </c>
      <c r="H6" s="14" t="str"/>
      <c r="I6" s="14" t="inlineStr">
        <is>
          <t>Receipt</t>
        </is>
      </c>
      <c r="J6" s="39" t="n">
        <v>0</v>
      </c>
      <c r="K6" s="39" t="n">
        <v>37132</v>
      </c>
      <c r="L6" s="39" t="n">
        <v>37132</v>
      </c>
      <c r="M6" s="39" t="n">
        <v>483167.28</v>
      </c>
      <c r="N6" s="14" t="inlineStr">
        <is>
          <t>EMI; Recurring Transaction</t>
        </is>
      </c>
      <c r="O6" s="14" t="inlineStr">
        <is>
          <t>Yes</t>
        </is>
      </c>
      <c r="P6" s="14" t="inlineStr">
        <is>
          <t>PREMIER CONVEYORS PRIVATE LI</t>
        </is>
      </c>
      <c r="Q6" s="14" t="n">
        <v>0</v>
      </c>
      <c r="R6" s="14" t="n">
        <v>1</v>
      </c>
      <c r="S6" s="14" t="n">
        <v>1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46130</v>
      </c>
      <c r="AB6" s="42">
        <f>HYPERLINK("#'Transactions'!A227",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Salary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Salary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High Transaction Transactions</t>
        </is>
      </c>
    </row>
    <row r="2">
      <c r="A2" s="30" t="inlineStr">
        <is>
          <t>Rows</t>
        </is>
      </c>
      <c r="B2" s="30" t="n">
        <v>112</v>
      </c>
      <c r="C2" s="30" t="inlineStr">
        <is>
          <t>Match</t>
        </is>
      </c>
      <c r="D2" s="30" t="inlineStr">
        <is>
          <t>High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8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NEFT-CNRBH00121803213-QUALITY PLAST INDUSTRIES LIM</t>
        </is>
      </c>
      <c r="H7" s="14" t="str"/>
      <c r="I7" s="14" t="inlineStr">
        <is>
          <t>Receipt</t>
        </is>
      </c>
      <c r="J7" s="39" t="n">
        <v>0</v>
      </c>
      <c r="K7" s="39" t="n">
        <v>121431</v>
      </c>
      <c r="L7" s="39" t="n">
        <v>121431</v>
      </c>
      <c r="M7" s="39" t="n">
        <v>142340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QUALITY PLAST INDUSTRIES LIM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HYPERLINK("#'Transactions'!A9", "View Source Row")</f>
        <v/>
      </c>
    </row>
    <row r="8">
      <c r="A8" s="14" t="n">
        <v>10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IMPS/P2A/609116466512/AFZALSIRAJUDDIN/IMPSUOB9191</t>
        </is>
      </c>
      <c r="H8" s="14" t="str"/>
      <c r="I8" s="14" t="inlineStr">
        <is>
          <t>Receipt</t>
        </is>
      </c>
      <c r="J8" s="39" t="n">
        <v>0</v>
      </c>
      <c r="K8" s="39" t="n">
        <v>100000</v>
      </c>
      <c r="L8" s="39" t="n">
        <v>100000</v>
      </c>
      <c r="M8" s="39" t="n">
        <v>240840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AFZALSIRAJUDDIN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HYPERLINK("#'Transactions'!A11", "View Source Row")</f>
        <v/>
      </c>
    </row>
    <row r="9">
      <c r="A9" s="14" t="n">
        <v>12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9" s="14" t="str"/>
      <c r="I9" s="14" t="inlineStr">
        <is>
          <t>Payment</t>
        </is>
      </c>
      <c r="J9" s="39" t="n">
        <v>248340</v>
      </c>
      <c r="K9" s="39" t="n">
        <v>0</v>
      </c>
      <c r="L9" s="39" t="n">
        <v>248340</v>
      </c>
      <c r="M9" s="39" t="n">
        <v>2500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EBANKWIB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HYPERLINK("#'Transactions'!A13", "View Source Row")</f>
        <v/>
      </c>
    </row>
    <row r="10">
      <c r="A10" s="14" t="n">
        <v>13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NEFT-YESAP60924833309-PhonePe Limited</t>
        </is>
      </c>
      <c r="H10" s="14" t="str"/>
      <c r="I10" s="14" t="inlineStr">
        <is>
          <t>Receipt</t>
        </is>
      </c>
      <c r="J10" s="39" t="n">
        <v>0</v>
      </c>
      <c r="K10" s="39" t="n">
        <v>188588.4</v>
      </c>
      <c r="L10" s="39" t="n">
        <v>188588.4</v>
      </c>
      <c r="M10" s="39" t="n">
        <v>191088.4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PHONEPE LIMITED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HYPERLINK("#'Transactions'!A14", "View Source Row")</f>
        <v/>
      </c>
    </row>
    <row r="11">
      <c r="A11" s="14" t="n">
        <v>18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NEFT-AXISCN1299028324-PINE LABS PRIVATE LIMITED-NO</t>
        </is>
      </c>
      <c r="H11" s="14" t="str"/>
      <c r="I11" s="14" t="inlineStr">
        <is>
          <t>Receipt</t>
        </is>
      </c>
      <c r="J11" s="39" t="n">
        <v>0</v>
      </c>
      <c r="K11" s="39" t="n">
        <v>166884</v>
      </c>
      <c r="L11" s="39" t="n">
        <v>166884</v>
      </c>
      <c r="M11" s="39" t="n">
        <v>513521.5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PINE LABS PRIVATE LIMITED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HYPERLINK("#'Transactions'!A19", "View Source Row")</f>
        <v/>
      </c>
    </row>
    <row r="12">
      <c r="A12" s="14" t="n">
        <v>25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NEFT-HDFCH00905140576-Adekar enterprises pvt ltd</t>
        </is>
      </c>
      <c r="H12" s="14" t="str"/>
      <c r="I12" s="14" t="inlineStr">
        <is>
          <t>Receipt</t>
        </is>
      </c>
      <c r="J12" s="39" t="n">
        <v>0</v>
      </c>
      <c r="K12" s="39" t="n">
        <v>138674</v>
      </c>
      <c r="L12" s="39" t="n">
        <v>138674</v>
      </c>
      <c r="M12" s="39" t="n">
        <v>743982.5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ADEKAR ENTERPRISES PVT LTD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HYPERLINK("#'Transactions'!A26", "View Source Row")</f>
        <v/>
      </c>
    </row>
    <row r="13">
      <c r="A13" s="14" t="n">
        <v>27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EBANK:WIB/1502234210/Edfs</t>
        </is>
      </c>
      <c r="H13" s="14" t="str"/>
      <c r="I13" s="14" t="inlineStr">
        <is>
          <t>Payment</t>
        </is>
      </c>
      <c r="J13" s="39" t="n">
        <v>791482.5</v>
      </c>
      <c r="K13" s="39" t="n">
        <v>0</v>
      </c>
      <c r="L13" s="39" t="n">
        <v>791482.5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HYPERLINK("#'Transactions'!A28", "View Source Row")</f>
        <v/>
      </c>
    </row>
    <row r="14">
      <c r="A14" s="14" t="n">
        <v>30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46115</v>
      </c>
      <c r="F14" s="40" t="n">
        <v>46115</v>
      </c>
      <c r="G14" s="16" t="inlineStr">
        <is>
          <t>DIGITA-MUMBAI/ NEFT-YESAP60934071902-PhonePe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173393.9</v>
      </c>
      <c r="L14" s="39" t="n">
        <v>173393.9</v>
      </c>
      <c r="M14" s="39" t="n">
        <v>216422.9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46115</v>
      </c>
      <c r="AB14" s="42">
        <f>HYPERLINK("#'Transactions'!A31", "View Source Row")</f>
        <v/>
      </c>
    </row>
    <row r="15">
      <c r="A15" s="14" t="n">
        <v>34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46115</v>
      </c>
      <c r="F15" s="40" t="n">
        <v>46115</v>
      </c>
      <c r="G15" s="16" t="inlineStr">
        <is>
          <t>DIGITA-MUMBAI/ NEFT-AXISCN1300388689-PINE LABS PRIVATE LIMITED-NO</t>
        </is>
      </c>
      <c r="H15" s="14" t="str"/>
      <c r="I15" s="14" t="inlineStr">
        <is>
          <t>Receipt</t>
        </is>
      </c>
      <c r="J15" s="39" t="n">
        <v>0</v>
      </c>
      <c r="K15" s="39" t="n">
        <v>112894</v>
      </c>
      <c r="L15" s="39" t="n">
        <v>112894</v>
      </c>
      <c r="M15" s="39" t="n">
        <v>410724.58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PINE LABS PRIVATE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46115</v>
      </c>
      <c r="AB15" s="42">
        <f>HYPERLINK("#'Transactions'!A35", "View Source Row")</f>
        <v/>
      </c>
    </row>
    <row r="16">
      <c r="A16" s="14" t="n">
        <v>35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46115</v>
      </c>
      <c r="F16" s="40" t="n">
        <v>46115</v>
      </c>
      <c r="G16" s="16" t="inlineStr">
        <is>
          <t>DIGITA-MUMBAI/ IMPS/P2A/609312855509/AFZALSIRAJUDDIN/IMPSUOB9191</t>
        </is>
      </c>
      <c r="H16" s="14" t="str"/>
      <c r="I16" s="14" t="inlineStr">
        <is>
          <t>Receipt</t>
        </is>
      </c>
      <c r="J16" s="39" t="n">
        <v>0</v>
      </c>
      <c r="K16" s="39" t="n">
        <v>200000</v>
      </c>
      <c r="L16" s="39" t="n">
        <v>200000</v>
      </c>
      <c r="M16" s="39" t="n">
        <v>610724.58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AFZALSIRAJUDDIN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46115</v>
      </c>
      <c r="AB16" s="42">
        <f>HYPERLINK("#'Transactions'!A36", "View Source Row")</f>
        <v/>
      </c>
    </row>
    <row r="17">
      <c r="A17" s="14" t="n">
        <v>36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46115</v>
      </c>
      <c r="F17" s="40" t="n">
        <v>46115</v>
      </c>
      <c r="G17" s="16" t="inlineStr">
        <is>
          <t>DIGITA-MUMBAI/ NEFT-002663976089-GANGAMAI INDUSTRIES AND CONSTR</t>
        </is>
      </c>
      <c r="H17" s="14" t="str"/>
      <c r="I17" s="14" t="inlineStr">
        <is>
          <t>Receipt</t>
        </is>
      </c>
      <c r="J17" s="39" t="n">
        <v>0</v>
      </c>
      <c r="K17" s="39" t="n">
        <v>180880</v>
      </c>
      <c r="L17" s="39" t="n">
        <v>180880</v>
      </c>
      <c r="M17" s="39" t="n">
        <v>791604.58</v>
      </c>
      <c r="N17" s="14" t="inlineStr">
        <is>
          <t>High Transaction</t>
        </is>
      </c>
      <c r="O17" s="14" t="inlineStr">
        <is>
          <t>No</t>
        </is>
      </c>
      <c r="P17" s="14" t="inlineStr">
        <is>
          <t>GANGAMAI INDUSTRIES AND CONSTR</t>
        </is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46115</v>
      </c>
      <c r="AB17" s="42">
        <f>HYPERLINK("#'Transactions'!A37", "View Source Row")</f>
        <v/>
      </c>
    </row>
    <row r="18">
      <c r="A18" s="14" t="n">
        <v>37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46115</v>
      </c>
      <c r="F18" s="40" t="n">
        <v>46115</v>
      </c>
      <c r="G18" s="16" t="inlineStr">
        <is>
          <t>EBANK:WIB/1502 EBANK:WIB/1502413595/Edfs</t>
        </is>
      </c>
      <c r="H18" s="14" t="str"/>
      <c r="I18" s="14" t="inlineStr">
        <is>
          <t>Payment</t>
        </is>
      </c>
      <c r="J18" s="39" t="n">
        <v>790104.58</v>
      </c>
      <c r="K18" s="39" t="n">
        <v>0</v>
      </c>
      <c r="L18" s="39" t="n">
        <v>790104.58</v>
      </c>
      <c r="M18" s="39" t="n">
        <v>1500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EBANKWIB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46115</v>
      </c>
      <c r="AB18" s="42">
        <f>HYPERLINK("#'Transactions'!A38", "View Source Row")</f>
        <v/>
      </c>
    </row>
    <row r="19">
      <c r="A19" s="14" t="n">
        <v>38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46116</v>
      </c>
      <c r="F19" s="40" t="n">
        <v>46116</v>
      </c>
      <c r="G19" s="16" t="inlineStr">
        <is>
          <t>DIGITA-MUMBAI/ NEFT-YESAP60944128518-PhonePe Limited</t>
        </is>
      </c>
      <c r="H19" s="14" t="str"/>
      <c r="I19" s="14" t="inlineStr">
        <is>
          <t>Receipt</t>
        </is>
      </c>
      <c r="J19" s="39" t="n">
        <v>0</v>
      </c>
      <c r="K19" s="39" t="n">
        <v>171014</v>
      </c>
      <c r="L19" s="39" t="n">
        <v>171014</v>
      </c>
      <c r="M19" s="39" t="n">
        <v>172514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PHONEPE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46116</v>
      </c>
      <c r="AB19" s="42">
        <f>HYPERLINK("#'Transactions'!A39", "View Source Row")</f>
        <v/>
      </c>
    </row>
    <row r="20">
      <c r="A20" s="14" t="n">
        <v>41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46116</v>
      </c>
      <c r="F20" s="40" t="n">
        <v>46116</v>
      </c>
      <c r="G20" s="16" t="inlineStr">
        <is>
          <t>EBANK:WIB/1502 EBANK:WIB/1502423934/Edfs</t>
        </is>
      </c>
      <c r="H20" s="14" t="str"/>
      <c r="I20" s="14" t="inlineStr">
        <is>
          <t>Payment</t>
        </is>
      </c>
      <c r="J20" s="39" t="n">
        <v>240091</v>
      </c>
      <c r="K20" s="39" t="n">
        <v>0</v>
      </c>
      <c r="L20" s="39" t="n">
        <v>240091</v>
      </c>
      <c r="M20" s="39" t="n">
        <v>4500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46116</v>
      </c>
      <c r="AB20" s="42">
        <f>HYPERLINK("#'Transactions'!A42", "View Source Row")</f>
        <v/>
      </c>
    </row>
    <row r="21">
      <c r="A21" s="14" t="n">
        <v>47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46116</v>
      </c>
      <c r="F21" s="40" t="n">
        <v>46116</v>
      </c>
      <c r="G21" s="16" t="inlineStr">
        <is>
          <t>EBANK:WIB/1502 EBANK:WIB/1502545632/Edfs</t>
        </is>
      </c>
      <c r="H21" s="14" t="str"/>
      <c r="I21" s="14" t="inlineStr">
        <is>
          <t>Payment</t>
        </is>
      </c>
      <c r="J21" s="39" t="n">
        <v>120330.37</v>
      </c>
      <c r="K21" s="39" t="n">
        <v>0</v>
      </c>
      <c r="L21" s="39" t="n">
        <v>120330.37</v>
      </c>
      <c r="M21" s="39" t="n">
        <v>1500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EBANKWIB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46116</v>
      </c>
      <c r="AB21" s="42">
        <f>HYPERLINK("#'Transactions'!A48", "View Source Row")</f>
        <v/>
      </c>
    </row>
    <row r="22">
      <c r="A22" s="14" t="n">
        <v>49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46117</v>
      </c>
      <c r="F22" s="40" t="n">
        <v>46117</v>
      </c>
      <c r="G22" s="16" t="inlineStr">
        <is>
          <t>DIGITA-MUMBAI/ NEFT-YESAP60953903247-PhonePe Limited</t>
        </is>
      </c>
      <c r="H22" s="14" t="str"/>
      <c r="I22" s="14" t="inlineStr">
        <is>
          <t>Receipt</t>
        </is>
      </c>
      <c r="J22" s="39" t="n">
        <v>0</v>
      </c>
      <c r="K22" s="39" t="n">
        <v>167015</v>
      </c>
      <c r="L22" s="39" t="n">
        <v>167015</v>
      </c>
      <c r="M22" s="39" t="n">
        <v>249911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PHONEPE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46117</v>
      </c>
      <c r="AB22" s="42">
        <f>HYPERLINK("#'Transactions'!A50", "View Source Row")</f>
        <v/>
      </c>
    </row>
    <row r="23">
      <c r="A23" s="14" t="n">
        <v>52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46117</v>
      </c>
      <c r="F23" s="40" t="n">
        <v>46117</v>
      </c>
      <c r="G23" s="16" t="inlineStr">
        <is>
          <t>EBANK:WIB/1502 EBANK:WIB/1502577386/Edfs</t>
        </is>
      </c>
      <c r="H23" s="14" t="str"/>
      <c r="I23" s="14" t="inlineStr">
        <is>
          <t>Payment</t>
        </is>
      </c>
      <c r="J23" s="39" t="n">
        <v>300403.36</v>
      </c>
      <c r="K23" s="39" t="n">
        <v>0</v>
      </c>
      <c r="L23" s="39" t="n">
        <v>300403.36</v>
      </c>
      <c r="M23" s="39" t="n">
        <v>45500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EBANKWIB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46117</v>
      </c>
      <c r="AB23" s="42">
        <f>HYPERLINK("#'Transactions'!A53", "View Source Row")</f>
        <v/>
      </c>
    </row>
    <row r="24">
      <c r="A24" s="14" t="n">
        <v>55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46118</v>
      </c>
      <c r="F24" s="40" t="n">
        <v>46118</v>
      </c>
      <c r="G24" s="16" t="inlineStr">
        <is>
          <t>DIGITA-MUMBAI/ NEFT-YESAP60964000643-PhonePe Limited</t>
        </is>
      </c>
      <c r="H24" s="14" t="str"/>
      <c r="I24" s="14" t="inlineStr">
        <is>
          <t>Receipt</t>
        </is>
      </c>
      <c r="J24" s="39" t="n">
        <v>0</v>
      </c>
      <c r="K24" s="39" t="n">
        <v>169456</v>
      </c>
      <c r="L24" s="39" t="n">
        <v>169456</v>
      </c>
      <c r="M24" s="39" t="n">
        <v>336599.21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PHONEPE LIMITED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46118</v>
      </c>
      <c r="AB24" s="42">
        <f>HYPERLINK("#'Transactions'!A56", "View Source Row")</f>
        <v/>
      </c>
    </row>
    <row r="25">
      <c r="A25" s="14" t="n">
        <v>57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46118</v>
      </c>
      <c r="F25" s="40" t="n">
        <v>46118</v>
      </c>
      <c r="G25" s="16" t="inlineStr">
        <is>
          <t>EBANK:WIB/1502 EBANK:WIB/1502642025/Edfs</t>
        </is>
      </c>
      <c r="H25" s="14" t="str"/>
      <c r="I25" s="14" t="inlineStr">
        <is>
          <t>Payment</t>
        </is>
      </c>
      <c r="J25" s="39" t="n">
        <v>365780.21</v>
      </c>
      <c r="K25" s="39" t="n">
        <v>0</v>
      </c>
      <c r="L25" s="39" t="n">
        <v>365780.21</v>
      </c>
      <c r="M25" s="39" t="n">
        <v>2500</v>
      </c>
      <c r="N25" s="14" t="inlineStr">
        <is>
          <t>High Transaction; Recurring Transaction</t>
        </is>
      </c>
      <c r="O25" s="14" t="inlineStr">
        <is>
          <t>Yes</t>
        </is>
      </c>
      <c r="P25" s="14" t="inlineStr">
        <is>
          <t>EBANKWIB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46118</v>
      </c>
      <c r="AB25" s="42">
        <f>HYPERLINK("#'Transactions'!A58", "View Source Row")</f>
        <v/>
      </c>
    </row>
    <row r="26">
      <c r="A26" s="14" t="n">
        <v>59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46118</v>
      </c>
      <c r="F26" s="40" t="n">
        <v>46118</v>
      </c>
      <c r="G26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26" s="14" t="str"/>
      <c r="I26" s="14" t="inlineStr">
        <is>
          <t>Receipt</t>
        </is>
      </c>
      <c r="J26" s="39" t="n">
        <v>0</v>
      </c>
      <c r="K26" s="39" t="n">
        <v>100000</v>
      </c>
      <c r="L26" s="39" t="n">
        <v>100000</v>
      </c>
      <c r="M26" s="39" t="n">
        <v>132016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PAGE TOTAL   CR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46118</v>
      </c>
      <c r="AB26" s="42">
        <f>HYPERLINK("#'Transactions'!A60", "View Source Row")</f>
        <v/>
      </c>
    </row>
    <row r="27">
      <c r="A27" s="14" t="n">
        <v>64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46118</v>
      </c>
      <c r="F27" s="40" t="n">
        <v>46118</v>
      </c>
      <c r="G27" s="16" t="inlineStr">
        <is>
          <t>EBANK:WIB/1502 EBANK:WIB/1502790855/Edfs</t>
        </is>
      </c>
      <c r="H27" s="14" t="str"/>
      <c r="I27" s="14" t="inlineStr">
        <is>
          <t>Payment</t>
        </is>
      </c>
      <c r="J27" s="39" t="n">
        <v>198114</v>
      </c>
      <c r="K27" s="39" t="n">
        <v>0</v>
      </c>
      <c r="L27" s="39" t="n">
        <v>198114</v>
      </c>
      <c r="M27" s="39" t="n">
        <v>2500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46118</v>
      </c>
      <c r="AB27" s="42">
        <f>HYPERLINK("#'Transactions'!A65", "View Source Row")</f>
        <v/>
      </c>
    </row>
    <row r="28">
      <c r="A28" s="14" t="n">
        <v>66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46119</v>
      </c>
      <c r="F28" s="40" t="n">
        <v>46119</v>
      </c>
      <c r="G28" s="16" t="inlineStr">
        <is>
          <t>DIGITA-MUMBAI/ NEFT-YESAP60974165954-PhonePe Limited</t>
        </is>
      </c>
      <c r="H28" s="14" t="str"/>
      <c r="I28" s="14" t="inlineStr">
        <is>
          <t>Receipt</t>
        </is>
      </c>
      <c r="J28" s="39" t="n">
        <v>0</v>
      </c>
      <c r="K28" s="39" t="n">
        <v>260044.42</v>
      </c>
      <c r="L28" s="39" t="n">
        <v>260044.42</v>
      </c>
      <c r="M28" s="39" t="n">
        <v>280992.42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46119</v>
      </c>
      <c r="AB28" s="42">
        <f>HYPERLINK("#'Transactions'!A67", "View Source Row")</f>
        <v/>
      </c>
    </row>
    <row r="29">
      <c r="A29" s="14" t="n">
        <v>68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46119</v>
      </c>
      <c r="F29" s="40" t="n">
        <v>46119</v>
      </c>
      <c r="G29" s="16" t="inlineStr">
        <is>
          <t>EBANK:WIB/1502 EBANK:WIB/1502821939/Edfs</t>
        </is>
      </c>
      <c r="H29" s="14" t="str"/>
      <c r="I29" s="14" t="inlineStr">
        <is>
          <t>Payment</t>
        </is>
      </c>
      <c r="J29" s="39" t="n">
        <v>330493.07</v>
      </c>
      <c r="K29" s="39" t="n">
        <v>0</v>
      </c>
      <c r="L29" s="39" t="n">
        <v>330493.07</v>
      </c>
      <c r="M29" s="39" t="n">
        <v>5500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EBANKWIB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46119</v>
      </c>
      <c r="AB29" s="42">
        <f>HYPERLINK("#'Transactions'!A69", "View Source Row")</f>
        <v/>
      </c>
    </row>
    <row r="30">
      <c r="A30" s="14" t="n">
        <v>75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46119</v>
      </c>
      <c r="F30" s="40" t="n">
        <v>46119</v>
      </c>
      <c r="G30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30" s="14" t="str"/>
      <c r="I30" s="14" t="inlineStr">
        <is>
          <t>Receipt</t>
        </is>
      </c>
      <c r="J30" s="39" t="n">
        <v>0</v>
      </c>
      <c r="K30" s="39" t="n">
        <v>114500</v>
      </c>
      <c r="L30" s="39" t="n">
        <v>114500</v>
      </c>
      <c r="M30" s="39" t="n">
        <v>176796.35</v>
      </c>
      <c r="N30" s="14" t="inlineStr">
        <is>
          <t>Cash; High Transaction; Recurring Transaction</t>
        </is>
      </c>
      <c r="O30" s="14" t="inlineStr">
        <is>
          <t>Yes</t>
        </is>
      </c>
      <c r="P30" s="14" t="inlineStr">
        <is>
          <t>PAGE TOTAL   CR</t>
        </is>
      </c>
      <c r="Q30" s="14" t="n">
        <v>1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46119</v>
      </c>
      <c r="AB30" s="42">
        <f>HYPERLINK("#'Transactions'!A76", "View Source Row")</f>
        <v/>
      </c>
    </row>
    <row r="31">
      <c r="A31" s="14" t="n">
        <v>81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46119</v>
      </c>
      <c r="F31" s="40" t="n">
        <v>46119</v>
      </c>
      <c r="G31" s="16" t="inlineStr">
        <is>
          <t>EBANK:WIB/1502 EBANK:WIB/1502986421/Edfs</t>
        </is>
      </c>
      <c r="H31" s="14" t="str"/>
      <c r="I31" s="14" t="inlineStr">
        <is>
          <t>Payment</t>
        </is>
      </c>
      <c r="J31" s="39" t="n">
        <v>137582.35</v>
      </c>
      <c r="K31" s="39" t="n">
        <v>0</v>
      </c>
      <c r="L31" s="39" t="n">
        <v>137582.35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46119</v>
      </c>
      <c r="AB31" s="42">
        <f>HYPERLINK("#'Transactions'!A82", "View Source Row")</f>
        <v/>
      </c>
    </row>
    <row r="32">
      <c r="A32" s="14" t="n">
        <v>83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46120</v>
      </c>
      <c r="F32" s="40" t="n">
        <v>46120</v>
      </c>
      <c r="G32" s="16" t="inlineStr">
        <is>
          <t>DIGITA-MUMBAI/ NEFT-YESAP60983679319-PhonePe Limited</t>
        </is>
      </c>
      <c r="H32" s="14" t="str"/>
      <c r="I32" s="14" t="inlineStr">
        <is>
          <t>Receipt</t>
        </is>
      </c>
      <c r="J32" s="39" t="n">
        <v>0</v>
      </c>
      <c r="K32" s="39" t="n">
        <v>243684</v>
      </c>
      <c r="L32" s="39" t="n">
        <v>243684</v>
      </c>
      <c r="M32" s="39" t="n">
        <v>283597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46120</v>
      </c>
      <c r="AB32" s="42">
        <f>HYPERLINK("#'Transactions'!A84", "View Source Row")</f>
        <v/>
      </c>
    </row>
    <row r="33">
      <c r="A33" s="14" t="n">
        <v>89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46120</v>
      </c>
      <c r="F33" s="40" t="n">
        <v>46120</v>
      </c>
      <c r="G33" s="16" t="inlineStr">
        <is>
          <t>EBANK:WIB/1503 EBANK:WIB/1503050809/Edfs</t>
        </is>
      </c>
      <c r="H33" s="14" t="str"/>
      <c r="I33" s="14" t="inlineStr">
        <is>
          <t>Payment</t>
        </is>
      </c>
      <c r="J33" s="39" t="n">
        <v>381113</v>
      </c>
      <c r="K33" s="39" t="n">
        <v>0</v>
      </c>
      <c r="L33" s="39" t="n">
        <v>381113</v>
      </c>
      <c r="M33" s="39" t="n">
        <v>2500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46120</v>
      </c>
      <c r="AB33" s="42">
        <f>HYPERLINK("#'Transactions'!A90", "View Source Row")</f>
        <v/>
      </c>
    </row>
    <row r="34">
      <c r="A34" s="14" t="n">
        <v>94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46120</v>
      </c>
      <c r="F34" s="40" t="n">
        <v>46120</v>
      </c>
      <c r="G34" s="16" t="inlineStr">
        <is>
          <t>EBANK:WIB/1503 EBANK:WIB/1503170712/Edfs</t>
        </is>
      </c>
      <c r="H34" s="14" t="str"/>
      <c r="I34" s="14" t="inlineStr">
        <is>
          <t>Payment</t>
        </is>
      </c>
      <c r="J34" s="39" t="n">
        <v>108620</v>
      </c>
      <c r="K34" s="39" t="n">
        <v>0</v>
      </c>
      <c r="L34" s="39" t="n">
        <v>108620</v>
      </c>
      <c r="M34" s="39" t="n">
        <v>2500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46120</v>
      </c>
      <c r="AB34" s="42">
        <f>HYPERLINK("#'Transactions'!A95", "View Source Row")</f>
        <v/>
      </c>
    </row>
    <row r="35">
      <c r="A35" s="14" t="n">
        <v>95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46121</v>
      </c>
      <c r="F35" s="40" t="n">
        <v>46121</v>
      </c>
      <c r="G35" s="16" t="inlineStr">
        <is>
          <t>DIGITA-MUMBAI/ NEFT-YESAP60993677587-PhonePe Limited</t>
        </is>
      </c>
      <c r="H35" s="14" t="str"/>
      <c r="I35" s="14" t="inlineStr">
        <is>
          <t>Receipt</t>
        </is>
      </c>
      <c r="J35" s="39" t="n">
        <v>0</v>
      </c>
      <c r="K35" s="39" t="n">
        <v>170522</v>
      </c>
      <c r="L35" s="39" t="n">
        <v>170522</v>
      </c>
      <c r="M35" s="39" t="n">
        <v>173022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46121</v>
      </c>
      <c r="AB35" s="42">
        <f>HYPERLINK("#'Transactions'!A96", "View Source Row")</f>
        <v/>
      </c>
    </row>
    <row r="36">
      <c r="A36" s="14" t="n">
        <v>102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46121</v>
      </c>
      <c r="F36" s="40" t="n">
        <v>46121</v>
      </c>
      <c r="G36" s="16" t="inlineStr">
        <is>
          <t>EBANK:WIB/1503 EBANK:WIB/1503311707/Edfs</t>
        </is>
      </c>
      <c r="H36" s="14" t="str"/>
      <c r="I36" s="14" t="inlineStr">
        <is>
          <t>Payment</t>
        </is>
      </c>
      <c r="J36" s="39" t="n">
        <v>380118</v>
      </c>
      <c r="K36" s="39" t="n">
        <v>0</v>
      </c>
      <c r="L36" s="39" t="n">
        <v>380118</v>
      </c>
      <c r="M36" s="39" t="n">
        <v>2500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EBANKWIB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46121</v>
      </c>
      <c r="AB36" s="42">
        <f>HYPERLINK("#'Transactions'!A103", "View Source Row")</f>
        <v/>
      </c>
    </row>
    <row r="37">
      <c r="A37" s="14" t="n">
        <v>104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46122</v>
      </c>
      <c r="F37" s="40" t="n">
        <v>46122</v>
      </c>
      <c r="G37" s="16" t="inlineStr">
        <is>
          <t>DIGITA-MUMBAI/ NEFT-YESAP61002547485-PhonePe Limited</t>
        </is>
      </c>
      <c r="H37" s="14" t="str"/>
      <c r="I37" s="14" t="inlineStr">
        <is>
          <t>Receipt</t>
        </is>
      </c>
      <c r="J37" s="39" t="n">
        <v>0</v>
      </c>
      <c r="K37" s="39" t="n">
        <v>310276</v>
      </c>
      <c r="L37" s="39" t="n">
        <v>310276</v>
      </c>
      <c r="M37" s="39" t="n">
        <v>376084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PHONEPE LIMITED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46122</v>
      </c>
      <c r="AB37" s="42">
        <f>HYPERLINK("#'Transactions'!A105", "View Source Row")</f>
        <v/>
      </c>
    </row>
    <row r="38">
      <c r="A38" s="14" t="n">
        <v>106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46122</v>
      </c>
      <c r="F38" s="40" t="n">
        <v>46122</v>
      </c>
      <c r="G38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38" s="14" t="str"/>
      <c r="I38" s="14" t="inlineStr">
        <is>
          <t>Payment</t>
        </is>
      </c>
      <c r="J38" s="39" t="n">
        <v>432999</v>
      </c>
      <c r="K38" s="39" t="n">
        <v>0</v>
      </c>
      <c r="L38" s="39" t="n">
        <v>432999</v>
      </c>
      <c r="M38" s="39" t="n">
        <v>2500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46122</v>
      </c>
      <c r="AB38" s="42">
        <f>HYPERLINK("#'Transactions'!A107", "View Source Row")</f>
        <v/>
      </c>
    </row>
    <row r="39">
      <c r="A39" s="14" t="n">
        <v>114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46123</v>
      </c>
      <c r="F39" s="40" t="n">
        <v>46123</v>
      </c>
      <c r="G39" s="16" t="inlineStr">
        <is>
          <t>DIGITA-MUMBAI/ NEFT-YESAP61011187841-PhonePe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217794</v>
      </c>
      <c r="L39" s="39" t="n">
        <v>217794</v>
      </c>
      <c r="M39" s="39" t="n">
        <v>233709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46123</v>
      </c>
      <c r="AB39" s="42">
        <f>HYPERLINK("#'Transactions'!A115", "View Source Row")</f>
        <v/>
      </c>
    </row>
    <row r="40">
      <c r="A40" s="14" t="n">
        <v>140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46123</v>
      </c>
      <c r="F40" s="40" t="n">
        <v>46123</v>
      </c>
      <c r="G40" s="16" t="inlineStr">
        <is>
          <t>EBANK:WIB/1503 EBANK:WIB/1503559058/Edfs</t>
        </is>
      </c>
      <c r="H40" s="14" t="str"/>
      <c r="I40" s="14" t="inlineStr">
        <is>
          <t>Payment</t>
        </is>
      </c>
      <c r="J40" s="39" t="n">
        <v>353767.15</v>
      </c>
      <c r="K40" s="39" t="n">
        <v>0</v>
      </c>
      <c r="L40" s="39" t="n">
        <v>353767.15</v>
      </c>
      <c r="M40" s="39" t="n">
        <v>20500</v>
      </c>
      <c r="N40" s="14" t="inlineStr">
        <is>
          <t>High Transaction; Recurring Transaction</t>
        </is>
      </c>
      <c r="O40" s="14" t="inlineStr">
        <is>
          <t>Yes</t>
        </is>
      </c>
      <c r="P40" s="14" t="inlineStr">
        <is>
          <t>EBANKWIB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46123</v>
      </c>
      <c r="AB40" s="42">
        <f>HYPERLINK("#'Transactions'!A141", "View Source Row")</f>
        <v/>
      </c>
    </row>
    <row r="41">
      <c r="A41" s="14" t="n">
        <v>143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46124</v>
      </c>
      <c r="F41" s="40" t="n">
        <v>46124</v>
      </c>
      <c r="G41" s="16" t="inlineStr">
        <is>
          <t>DIGITA-MUMBAI/ NEFT-YESAP61023739033-PhonePe Limited</t>
        </is>
      </c>
      <c r="H41" s="14" t="str"/>
      <c r="I41" s="14" t="inlineStr">
        <is>
          <t>Receipt</t>
        </is>
      </c>
      <c r="J41" s="39" t="n">
        <v>0</v>
      </c>
      <c r="K41" s="39" t="n">
        <v>316091.5</v>
      </c>
      <c r="L41" s="39" t="n">
        <v>316091.5</v>
      </c>
      <c r="M41" s="39" t="n">
        <v>347443.5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PHONEPE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46124</v>
      </c>
      <c r="AB41" s="42">
        <f>HYPERLINK("#'Transactions'!A144", "View Source Row")</f>
        <v/>
      </c>
    </row>
    <row r="42">
      <c r="A42" s="14" t="n">
        <v>150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46124</v>
      </c>
      <c r="F42" s="40" t="n">
        <v>46124</v>
      </c>
      <c r="G42" s="16" t="inlineStr">
        <is>
          <t>EBANK:WIB/1503 EBANK:WIB/1503691094/Edfs</t>
        </is>
      </c>
      <c r="H42" s="14" t="str"/>
      <c r="I42" s="14" t="inlineStr">
        <is>
          <t>Payment</t>
        </is>
      </c>
      <c r="J42" s="39" t="n">
        <v>521281.39</v>
      </c>
      <c r="K42" s="39" t="n">
        <v>0</v>
      </c>
      <c r="L42" s="39" t="n">
        <v>521281.39</v>
      </c>
      <c r="M42" s="39" t="n">
        <v>2500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46124</v>
      </c>
      <c r="AB42" s="42">
        <f>HYPERLINK("#'Transactions'!A151", "View Source Row")</f>
        <v/>
      </c>
    </row>
    <row r="43">
      <c r="A43" s="14" t="n">
        <v>151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46125</v>
      </c>
      <c r="F43" s="40" t="n">
        <v>46125</v>
      </c>
      <c r="G43" s="16" t="inlineStr">
        <is>
          <t>DIGITA-MUMBAI/ NEFT-YESAP61032531277-PhonePe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250095</v>
      </c>
      <c r="L43" s="39" t="n">
        <v>250095</v>
      </c>
      <c r="M43" s="39" t="n">
        <v>252595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46125</v>
      </c>
      <c r="AB43" s="42">
        <f>HYPERLINK("#'Transactions'!A152", "View Source Row")</f>
        <v/>
      </c>
    </row>
    <row r="44">
      <c r="A44" s="14" t="n">
        <v>158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46125</v>
      </c>
      <c r="F44" s="40" t="n">
        <v>46125</v>
      </c>
      <c r="G44" s="16" t="inlineStr">
        <is>
          <t>DIGITA-MUMBAI/ NEFT-AXODH10395993542-GRISHMA METAL TECHNOLOGY</t>
        </is>
      </c>
      <c r="H44" s="14" t="str"/>
      <c r="I44" s="14" t="inlineStr">
        <is>
          <t>Receipt</t>
        </is>
      </c>
      <c r="J44" s="39" t="n">
        <v>0</v>
      </c>
      <c r="K44" s="39" t="n">
        <v>124000</v>
      </c>
      <c r="L44" s="39" t="n">
        <v>124000</v>
      </c>
      <c r="M44" s="39" t="n">
        <v>507461.93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GRISHMA METAL TECHNOLOGY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46125</v>
      </c>
      <c r="AB44" s="42">
        <f>HYPERLINK("#'Transactions'!A159", "View Source Row")</f>
        <v/>
      </c>
    </row>
    <row r="45">
      <c r="A45" s="14" t="n">
        <v>161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46125</v>
      </c>
      <c r="F45" s="40" t="n">
        <v>46125</v>
      </c>
      <c r="G45" s="16" t="inlineStr">
        <is>
          <t>DIGITA-MUMBAI/ NEFT-AXISCN1310059428-PINE LABS PRIVATE LIMITED-NO</t>
        </is>
      </c>
      <c r="H45" s="14" t="str"/>
      <c r="I45" s="14" t="inlineStr">
        <is>
          <t>Receipt</t>
        </is>
      </c>
      <c r="J45" s="39" t="n">
        <v>0</v>
      </c>
      <c r="K45" s="39" t="n">
        <v>102789</v>
      </c>
      <c r="L45" s="39" t="n">
        <v>102789</v>
      </c>
      <c r="M45" s="39" t="n">
        <v>609211.9300000001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PINE LABS PRIVATE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46125</v>
      </c>
      <c r="AB45" s="42">
        <f>HYPERLINK("#'Transactions'!A162", "View Source Row")</f>
        <v/>
      </c>
    </row>
    <row r="46">
      <c r="A46" s="14" t="n">
        <v>165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46125</v>
      </c>
      <c r="F46" s="40" t="n">
        <v>46125</v>
      </c>
      <c r="G46" s="16" t="inlineStr">
        <is>
          <t>EBANK:WIB/1503 EBANK:WIB/1503777187/Edfs</t>
        </is>
      </c>
      <c r="H46" s="14" t="str"/>
      <c r="I46" s="14" t="inlineStr">
        <is>
          <t>Payment</t>
        </is>
      </c>
      <c r="J46" s="39" t="n">
        <v>610444.28</v>
      </c>
      <c r="K46" s="39" t="n">
        <v>0</v>
      </c>
      <c r="L46" s="39" t="n">
        <v>610444.28</v>
      </c>
      <c r="M46" s="39" t="n">
        <v>2500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46125</v>
      </c>
      <c r="AB46" s="42">
        <f>HYPERLINK("#'Transactions'!A166", "View Source Row")</f>
        <v/>
      </c>
    </row>
    <row r="47">
      <c r="A47" s="14" t="n">
        <v>166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46125</v>
      </c>
      <c r="F47" s="40" t="n">
        <v>46125</v>
      </c>
      <c r="G47" s="16" t="inlineStr">
        <is>
          <t>DIGITA-MUMBAI/ https://cbdrpt101.bankofbaroda.co.in:22000/finbranch/arjspmorph/INFENG/tran_rpt.jsp?... 04-05-2026 NEFT-HDFCH00930605811-Adekar enterprises pvt ltd</t>
        </is>
      </c>
      <c r="H47" s="14" t="str"/>
      <c r="I47" s="14" t="inlineStr">
        <is>
          <t>Receipt</t>
        </is>
      </c>
      <c r="J47" s="39" t="n">
        <v>0</v>
      </c>
      <c r="K47" s="39" t="n">
        <v>128900</v>
      </c>
      <c r="L47" s="39" t="n">
        <v>128900</v>
      </c>
      <c r="M47" s="39" t="n">
        <v>131400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CBDRPTBANKOFBARODACOIN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46125</v>
      </c>
      <c r="AB47" s="42">
        <f>HYPERLINK("#'Transactions'!A167", "View Source Row")</f>
        <v/>
      </c>
    </row>
    <row r="48">
      <c r="A48" s="14" t="n">
        <v>169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46125</v>
      </c>
      <c r="F48" s="40" t="n">
        <v>46125</v>
      </c>
      <c r="G48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48" s="14" t="str"/>
      <c r="I48" s="14" t="inlineStr">
        <is>
          <t>Payment</t>
        </is>
      </c>
      <c r="J48" s="39" t="n">
        <v>107993.78</v>
      </c>
      <c r="K48" s="39" t="n">
        <v>0</v>
      </c>
      <c r="L48" s="39" t="n">
        <v>107993.78</v>
      </c>
      <c r="M48" s="39" t="n">
        <v>40500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46125</v>
      </c>
      <c r="AB48" s="42">
        <f>HYPERLINK("#'Transactions'!A170", "View Source Row")</f>
        <v/>
      </c>
    </row>
    <row r="49">
      <c r="A49" s="14" t="n">
        <v>172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46126</v>
      </c>
      <c r="F49" s="40" t="n">
        <v>46126</v>
      </c>
      <c r="G49" s="16" t="inlineStr">
        <is>
          <t>DIGITA-MUMBAI/ NEFT-HDFCH00932431931-KAVITA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110336</v>
      </c>
      <c r="L49" s="39" t="n">
        <v>110336</v>
      </c>
      <c r="M49" s="39" t="n">
        <v>147179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46126</v>
      </c>
      <c r="AB49" s="42">
        <f>HYPERLINK("#'Transactions'!A173", "View Source Row")</f>
        <v/>
      </c>
    </row>
    <row r="50">
      <c r="A50" s="14" t="n">
        <v>173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46126</v>
      </c>
      <c r="F50" s="40" t="n">
        <v>46126</v>
      </c>
      <c r="G50" s="16" t="inlineStr">
        <is>
          <t>DIGITA-MUMBAI/ NEFT-YESAP61042581238-PhonePe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227801</v>
      </c>
      <c r="L50" s="39" t="n">
        <v>227801</v>
      </c>
      <c r="M50" s="39" t="n">
        <v>374980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46126</v>
      </c>
      <c r="AB50" s="42">
        <f>HYPERLINK("#'Transactions'!A174", "View Source Row")</f>
        <v/>
      </c>
    </row>
    <row r="51">
      <c r="A51" s="14" t="n">
        <v>176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46126</v>
      </c>
      <c r="F51" s="40" t="n">
        <v>46126</v>
      </c>
      <c r="G51" s="16" t="inlineStr">
        <is>
          <t>EBANK:WIB/1503 EBANK:WIB/1503879023/Edfs</t>
        </is>
      </c>
      <c r="H51" s="14" t="str"/>
      <c r="I51" s="14" t="inlineStr">
        <is>
          <t>Payment</t>
        </is>
      </c>
      <c r="J51" s="39" t="n">
        <v>421121.65</v>
      </c>
      <c r="K51" s="39" t="n">
        <v>0</v>
      </c>
      <c r="L51" s="39" t="n">
        <v>421121.65</v>
      </c>
      <c r="M51" s="39" t="n">
        <v>50500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46126</v>
      </c>
      <c r="AB51" s="42">
        <f>HYPERLINK("#'Transactions'!A177", "View Source Row")</f>
        <v/>
      </c>
    </row>
    <row r="52">
      <c r="A52" s="14" t="n">
        <v>178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46126</v>
      </c>
      <c r="F52" s="40" t="n">
        <v>46126</v>
      </c>
      <c r="G52" s="16" t="inlineStr">
        <is>
          <t>DIGITA-MUMBAI/ NEFT-AXISCN1310872121-PINE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181645</v>
      </c>
      <c r="L52" s="39" t="n">
        <v>181645</v>
      </c>
      <c r="M52" s="39" t="n">
        <v>230195</v>
      </c>
      <c r="N52" s="14" t="inlineStr">
        <is>
          <t>High Transaction; 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46126</v>
      </c>
      <c r="AB52" s="42">
        <f>HYPERLINK("#'Transactions'!A179", "View Source Row")</f>
        <v/>
      </c>
    </row>
    <row r="53">
      <c r="A53" s="14" t="n">
        <v>181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46126</v>
      </c>
      <c r="F53" s="40" t="n">
        <v>46126</v>
      </c>
      <c r="G53" s="16" t="inlineStr">
        <is>
          <t>EBANK:WIB/1504 EBANK:WIB/1504010401/Edfs</t>
        </is>
      </c>
      <c r="H53" s="14" t="str"/>
      <c r="I53" s="14" t="inlineStr">
        <is>
          <t>Payment</t>
        </is>
      </c>
      <c r="J53" s="39" t="n">
        <v>240000</v>
      </c>
      <c r="K53" s="39" t="n">
        <v>0</v>
      </c>
      <c r="L53" s="39" t="n">
        <v>240000</v>
      </c>
      <c r="M53" s="39" t="n">
        <v>2325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46126</v>
      </c>
      <c r="AB53" s="42">
        <f>HYPERLINK("#'Transactions'!A182", "View Source Row")</f>
        <v/>
      </c>
    </row>
    <row r="54">
      <c r="A54" s="14" t="n">
        <v>182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46127</v>
      </c>
      <c r="F54" s="40" t="n">
        <v>46127</v>
      </c>
      <c r="G54" s="16" t="inlineStr">
        <is>
          <t>DIGITA-MUMBAI/ NEFT-YESAP61053875611-PhonePe Limited</t>
        </is>
      </c>
      <c r="H54" s="14" t="str"/>
      <c r="I54" s="14" t="inlineStr">
        <is>
          <t>Receipt</t>
        </is>
      </c>
      <c r="J54" s="39" t="n">
        <v>0</v>
      </c>
      <c r="K54" s="39" t="n">
        <v>289276.57</v>
      </c>
      <c r="L54" s="39" t="n">
        <v>289276.57</v>
      </c>
      <c r="M54" s="39" t="n">
        <v>291601.57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46127</v>
      </c>
      <c r="AB54" s="42">
        <f>HYPERLINK("#'Transactions'!A183", "View Source Row")</f>
        <v/>
      </c>
    </row>
    <row r="55">
      <c r="A55" s="14" t="n">
        <v>183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46127</v>
      </c>
      <c r="F55" s="40" t="n">
        <v>46127</v>
      </c>
      <c r="G55" s="16" t="inlineStr">
        <is>
          <t>DIGITA-MUMBAI/ NEFT-AXNPN10512169091-PHONEPE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106410</v>
      </c>
      <c r="L55" s="39" t="n">
        <v>106410</v>
      </c>
      <c r="M55" s="39" t="n">
        <v>398011.57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46127</v>
      </c>
      <c r="AB55" s="42">
        <f>HYPERLINK("#'Transactions'!A184", "View Source Row")</f>
        <v/>
      </c>
    </row>
    <row r="56">
      <c r="A56" s="14" t="n">
        <v>185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46127</v>
      </c>
      <c r="F56" s="40" t="n">
        <v>46127</v>
      </c>
      <c r="G5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6" s="14" t="str"/>
      <c r="I56" s="14" t="inlineStr">
        <is>
          <t>Payment</t>
        </is>
      </c>
      <c r="J56" s="39" t="n">
        <v>401141.57</v>
      </c>
      <c r="K56" s="39" t="n">
        <v>0</v>
      </c>
      <c r="L56" s="39" t="n">
        <v>401141.57</v>
      </c>
      <c r="M56" s="39" t="n">
        <v>10500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46127</v>
      </c>
      <c r="AB56" s="42">
        <f>HYPERLINK("#'Transactions'!A186", "View Source Row")</f>
        <v/>
      </c>
    </row>
    <row r="57">
      <c r="A57" s="14" t="n">
        <v>191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46127</v>
      </c>
      <c r="F57" s="40" t="n">
        <v>46127</v>
      </c>
      <c r="G57" s="16" t="inlineStr">
        <is>
          <t>EBANK:WIB/1504 EBANK:WIB/1504096201/Edfs</t>
        </is>
      </c>
      <c r="H57" s="14" t="str"/>
      <c r="I57" s="14" t="inlineStr">
        <is>
          <t>Payment</t>
        </is>
      </c>
      <c r="J57" s="39" t="n">
        <v>125424</v>
      </c>
      <c r="K57" s="39" t="n">
        <v>0</v>
      </c>
      <c r="L57" s="39" t="n">
        <v>125424</v>
      </c>
      <c r="M57" s="39" t="n">
        <v>2500.8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46127</v>
      </c>
      <c r="AB57" s="42">
        <f>HYPERLINK("#'Transactions'!A192", "View Source Row")</f>
        <v/>
      </c>
    </row>
    <row r="58">
      <c r="A58" s="14" t="n">
        <v>200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46128</v>
      </c>
      <c r="F58" s="40" t="n">
        <v>46128</v>
      </c>
      <c r="G58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58" s="14" t="str"/>
      <c r="I58" s="14" t="inlineStr">
        <is>
          <t>Receipt</t>
        </is>
      </c>
      <c r="J58" s="39" t="n">
        <v>0</v>
      </c>
      <c r="K58" s="39" t="n">
        <v>239756</v>
      </c>
      <c r="L58" s="39" t="n">
        <v>239756</v>
      </c>
      <c r="M58" s="39" t="n">
        <v>242256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46128</v>
      </c>
      <c r="AB58" s="42">
        <f>HYPERLINK("#'Transactions'!A201", "View Source Row")</f>
        <v/>
      </c>
    </row>
    <row r="59">
      <c r="A59" s="14" t="n">
        <v>203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46128</v>
      </c>
      <c r="F59" s="40" t="n">
        <v>46128</v>
      </c>
      <c r="G59" s="16" t="inlineStr">
        <is>
          <t>DIGITA-MUMBAI/ NEFT-AXISCN1312996692-PINE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250421</v>
      </c>
      <c r="L59" s="39" t="n">
        <v>250421</v>
      </c>
      <c r="M59" s="39" t="n">
        <v>568937.78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46128</v>
      </c>
      <c r="AB59" s="42">
        <f>HYPERLINK("#'Transactions'!A204", "View Source Row")</f>
        <v/>
      </c>
    </row>
    <row r="60">
      <c r="A60" s="14" t="n">
        <v>205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46128</v>
      </c>
      <c r="F60" s="40" t="n">
        <v>46128</v>
      </c>
      <c r="G60" s="16" t="inlineStr">
        <is>
          <t>RTGS-UBINR2202 RTGS-UBINR22026041601283543-SAPNA BUILDING MATERIA</t>
        </is>
      </c>
      <c r="H60" s="14" t="str"/>
      <c r="I60" s="14" t="inlineStr">
        <is>
          <t>Receipt</t>
        </is>
      </c>
      <c r="J60" s="39" t="n">
        <v>0</v>
      </c>
      <c r="K60" s="39" t="n">
        <v>200000</v>
      </c>
      <c r="L60" s="39" t="n">
        <v>200000</v>
      </c>
      <c r="M60" s="39" t="n">
        <v>834958.78</v>
      </c>
      <c r="N60" s="14" t="inlineStr">
        <is>
          <t>High Transaction</t>
        </is>
      </c>
      <c r="O60" s="14" t="inlineStr">
        <is>
          <t>No</t>
        </is>
      </c>
      <c r="P60" s="14" t="inlineStr">
        <is>
          <t>UBINR RTGS</t>
        </is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46128</v>
      </c>
      <c r="AB60" s="42">
        <f>HYPERLINK("#'Transactions'!A206", "View Source Row")</f>
        <v/>
      </c>
    </row>
    <row r="61">
      <c r="A61" s="14" t="n">
        <v>208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46128</v>
      </c>
      <c r="F61" s="40" t="n">
        <v>46128</v>
      </c>
      <c r="G61" s="16" t="inlineStr">
        <is>
          <t>EBANK:WIB/1504 EBANK:WIB/1504268202/Edfs</t>
        </is>
      </c>
      <c r="H61" s="14" t="str"/>
      <c r="I61" s="14" t="inlineStr">
        <is>
          <t>Payment</t>
        </is>
      </c>
      <c r="J61" s="39" t="n">
        <v>898173.78</v>
      </c>
      <c r="K61" s="39" t="n">
        <v>0</v>
      </c>
      <c r="L61" s="39" t="n">
        <v>898173.78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46128</v>
      </c>
      <c r="AB61" s="42">
        <f>HYPERLINK("#'Transactions'!A209", "View Source Row")</f>
        <v/>
      </c>
    </row>
    <row r="62">
      <c r="A62" s="14" t="n">
        <v>210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46129</v>
      </c>
      <c r="F62" s="40" t="n">
        <v>46129</v>
      </c>
      <c r="G62" s="16" t="inlineStr">
        <is>
          <t>DIGITA-MUMBAI/ NEFT-YESAP61072570192-PhonePe Limited</t>
        </is>
      </c>
      <c r="H62" s="14" t="str"/>
      <c r="I62" s="14" t="inlineStr">
        <is>
          <t>Receipt</t>
        </is>
      </c>
      <c r="J62" s="39" t="n">
        <v>0</v>
      </c>
      <c r="K62" s="39" t="n">
        <v>249326.76</v>
      </c>
      <c r="L62" s="39" t="n">
        <v>249326.76</v>
      </c>
      <c r="M62" s="39" t="n">
        <v>258076.76</v>
      </c>
      <c r="N62" s="14" t="inlineStr">
        <is>
          <t>High Transaction; Recurring Transaction</t>
        </is>
      </c>
      <c r="O62" s="14" t="inlineStr">
        <is>
          <t>Yes</t>
        </is>
      </c>
      <c r="P62" s="14" t="inlineStr">
        <is>
          <t>PHONEPE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1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46129</v>
      </c>
      <c r="AB62" s="42">
        <f>HYPERLINK("#'Transactions'!A211", "View Source Row")</f>
        <v/>
      </c>
    </row>
    <row r="63">
      <c r="A63" s="14" t="n">
        <v>212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46129</v>
      </c>
      <c r="F63" s="40" t="n">
        <v>46129</v>
      </c>
      <c r="G63" s="16" t="inlineStr">
        <is>
          <t>EBANK:WIB/1504 EBANK:WIB/1504347697/Edfs</t>
        </is>
      </c>
      <c r="H63" s="14" t="str"/>
      <c r="I63" s="14" t="inlineStr">
        <is>
          <t>Payment</t>
        </is>
      </c>
      <c r="J63" s="39" t="n">
        <v>328514.76</v>
      </c>
      <c r="K63" s="39" t="n">
        <v>0</v>
      </c>
      <c r="L63" s="39" t="n">
        <v>328514.76</v>
      </c>
      <c r="M63" s="39" t="n">
        <v>2500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46129</v>
      </c>
      <c r="AB63" s="42">
        <f>HYPERLINK("#'Transactions'!A213", "View Source Row")</f>
        <v/>
      </c>
    </row>
    <row r="64">
      <c r="A64" s="14" t="n">
        <v>217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46129</v>
      </c>
      <c r="F64" s="40" t="n">
        <v>46129</v>
      </c>
      <c r="G64" s="16" t="inlineStr">
        <is>
          <t>EBANK:WIB/1504 EBANK:WIB/1504424773/Edfs</t>
        </is>
      </c>
      <c r="H64" s="14" t="str"/>
      <c r="I64" s="14" t="inlineStr">
        <is>
          <t>Payment</t>
        </is>
      </c>
      <c r="J64" s="39" t="n">
        <v>150000</v>
      </c>
      <c r="K64" s="39" t="n">
        <v>0</v>
      </c>
      <c r="L64" s="39" t="n">
        <v>150000</v>
      </c>
      <c r="M64" s="39" t="n">
        <v>5268</v>
      </c>
      <c r="N64" s="14" t="inlineStr">
        <is>
          <t>High Transaction; Recurring Transaction</t>
        </is>
      </c>
      <c r="O64" s="14" t="inlineStr">
        <is>
          <t>Yes</t>
        </is>
      </c>
      <c r="P64" s="14" t="inlineStr">
        <is>
          <t>EBANKWIB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46129</v>
      </c>
      <c r="AB64" s="42">
        <f>HYPERLINK("#'Transactions'!A218", "View Source Row")</f>
        <v/>
      </c>
    </row>
    <row r="65">
      <c r="A65" s="14" t="n">
        <v>220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46130</v>
      </c>
      <c r="F65" s="40" t="n">
        <v>46130</v>
      </c>
      <c r="G65" s="16" t="inlineStr">
        <is>
          <t>DIGITA-MUMBAI/ NEFT-YESAP61082703898-PhonePe Limited</t>
        </is>
      </c>
      <c r="H65" s="14" t="str"/>
      <c r="I65" s="14" t="inlineStr">
        <is>
          <t>Receipt</t>
        </is>
      </c>
      <c r="J65" s="39" t="n">
        <v>0</v>
      </c>
      <c r="K65" s="39" t="n">
        <v>219193</v>
      </c>
      <c r="L65" s="39" t="n">
        <v>219193</v>
      </c>
      <c r="M65" s="39" t="n">
        <v>283765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PHONEPE LIMITED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46130</v>
      </c>
      <c r="AB65" s="42">
        <f>HYPERLINK("#'Transactions'!A221", "View Source Row")</f>
        <v/>
      </c>
    </row>
    <row r="66">
      <c r="A66" s="14" t="n">
        <v>227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46130</v>
      </c>
      <c r="F66" s="40" t="n">
        <v>46130</v>
      </c>
      <c r="G66" s="16" t="inlineStr">
        <is>
          <t>EBANK:WIB/1504 EBANK:WIB/1504650433/Edfs</t>
        </is>
      </c>
      <c r="H66" s="14" t="str"/>
      <c r="I66" s="14" t="inlineStr">
        <is>
          <t>Payment</t>
        </is>
      </c>
      <c r="J66" s="39" t="n">
        <v>480667.28</v>
      </c>
      <c r="K66" s="39" t="n">
        <v>0</v>
      </c>
      <c r="L66" s="39" t="n">
        <v>480667.28</v>
      </c>
      <c r="M66" s="39" t="n">
        <v>2500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EBANKWIB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46130</v>
      </c>
      <c r="AB66" s="42">
        <f>HYPERLINK("#'Transactions'!A228", "View Source Row")</f>
        <v/>
      </c>
    </row>
    <row r="67">
      <c r="A67" s="14" t="n">
        <v>229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46131</v>
      </c>
      <c r="F67" s="40" t="n">
        <v>46131</v>
      </c>
      <c r="G67" s="16" t="inlineStr">
        <is>
          <t>DIGITA-MUMBAI/ NEFT-YESAP61090338379-PhonePe Limited https://cbdrpt101.bankofbaroda.co.in:22000/finbranch/arjspmorph/INFENG/tran_rpt.jsp?... 04-05-2026</t>
        </is>
      </c>
      <c r="H67" s="14" t="str"/>
      <c r="I67" s="14" t="inlineStr">
        <is>
          <t>Receipt</t>
        </is>
      </c>
      <c r="J67" s="39" t="n">
        <v>0</v>
      </c>
      <c r="K67" s="39" t="n">
        <v>218422</v>
      </c>
      <c r="L67" s="39" t="n">
        <v>218422</v>
      </c>
      <c r="M67" s="39" t="n">
        <v>287433</v>
      </c>
      <c r="N67" s="14" t="inlineStr">
        <is>
          <t>High Transaction</t>
        </is>
      </c>
      <c r="O67" s="14" t="inlineStr">
        <is>
          <t>No</t>
        </is>
      </c>
      <c r="P67" s="14" t="inlineStr">
        <is>
          <t>PHONEPE LIMITED HTTPS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46131</v>
      </c>
      <c r="AB67" s="42">
        <f>HYPERLINK("#'Transactions'!A230", "View Source Row")</f>
        <v/>
      </c>
    </row>
    <row r="68">
      <c r="A68" s="14" t="n">
        <v>231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46131</v>
      </c>
      <c r="F68" s="40" t="n">
        <v>46131</v>
      </c>
      <c r="G68" s="16" t="inlineStr">
        <is>
          <t>EBANK:WIB/1504 EBANK:WIB/1504657570/Edfs</t>
        </is>
      </c>
      <c r="H68" s="14" t="str"/>
      <c r="I68" s="14" t="inlineStr">
        <is>
          <t>Payment</t>
        </is>
      </c>
      <c r="J68" s="39" t="n">
        <v>259433</v>
      </c>
      <c r="K68" s="39" t="n">
        <v>0</v>
      </c>
      <c r="L68" s="39" t="n">
        <v>259433</v>
      </c>
      <c r="M68" s="39" t="n">
        <v>30500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46131</v>
      </c>
      <c r="AB68" s="42">
        <f>HYPERLINK("#'Transactions'!A232", "View Source Row")</f>
        <v/>
      </c>
    </row>
    <row r="69">
      <c r="A69" s="14" t="n">
        <v>238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46131</v>
      </c>
      <c r="F69" s="40" t="n">
        <v>46131</v>
      </c>
      <c r="G69" s="16" t="inlineStr">
        <is>
          <t>EBANK:WIB/1504 EBANK:WIB/1504707135/Edfs</t>
        </is>
      </c>
      <c r="H69" s="14" t="str"/>
      <c r="I69" s="14" t="inlineStr">
        <is>
          <t>Payment</t>
        </is>
      </c>
      <c r="J69" s="39" t="n">
        <v>211310.53</v>
      </c>
      <c r="K69" s="39" t="n">
        <v>0</v>
      </c>
      <c r="L69" s="39" t="n">
        <v>211310.53</v>
      </c>
      <c r="M69" s="39" t="n">
        <v>2500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46131</v>
      </c>
      <c r="AB69" s="42">
        <f>HYPERLINK("#'Transactions'!A239", "View Source Row")</f>
        <v/>
      </c>
    </row>
    <row r="70">
      <c r="A70" s="14" t="n">
        <v>239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46132</v>
      </c>
      <c r="F70" s="40" t="n">
        <v>46132</v>
      </c>
      <c r="G70" s="16" t="inlineStr">
        <is>
          <t>DIGITA-MUMBAI/ NEFT-YESAP61103651332-PhonePe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174695.6</v>
      </c>
      <c r="L70" s="39" t="n">
        <v>174695.6</v>
      </c>
      <c r="M70" s="39" t="n">
        <v>177195.6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46132</v>
      </c>
      <c r="AB70" s="42">
        <f>HYPERLINK("#'Transactions'!A240", "View Source Row")</f>
        <v/>
      </c>
    </row>
    <row r="71">
      <c r="A71" s="14" t="n">
        <v>241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46132</v>
      </c>
      <c r="F71" s="40" t="n">
        <v>46132</v>
      </c>
      <c r="G71" s="16" t="inlineStr">
        <is>
          <t>EBANK:WIB/1504 EBANK:WIB/1504717278/Edfs</t>
        </is>
      </c>
      <c r="H71" s="14" t="str"/>
      <c r="I71" s="14" t="inlineStr">
        <is>
          <t>Payment</t>
        </is>
      </c>
      <c r="J71" s="39" t="n">
        <v>260572.52</v>
      </c>
      <c r="K71" s="39" t="n">
        <v>0</v>
      </c>
      <c r="L71" s="39" t="n">
        <v>260572.52</v>
      </c>
      <c r="M71" s="39" t="n">
        <v>3500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46132</v>
      </c>
      <c r="AB71" s="42">
        <f>HYPERLINK("#'Transactions'!A242", "View Source Row")</f>
        <v/>
      </c>
    </row>
    <row r="72">
      <c r="A72" s="14" t="n">
        <v>250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46132</v>
      </c>
      <c r="F72" s="40" t="n">
        <v>46132</v>
      </c>
      <c r="G72" s="16" t="inlineStr">
        <is>
          <t>DIGITA-MUMBAI/ NEFT-IN42611050112752-JERAI FITNESS LIMITED</t>
        </is>
      </c>
      <c r="H72" s="14" t="str"/>
      <c r="I72" s="14" t="inlineStr">
        <is>
          <t>Receipt</t>
        </is>
      </c>
      <c r="J72" s="39" t="n">
        <v>0</v>
      </c>
      <c r="K72" s="39" t="n">
        <v>163337</v>
      </c>
      <c r="L72" s="39" t="n">
        <v>163337</v>
      </c>
      <c r="M72" s="39" t="n">
        <v>289584.78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JERAI FITNESS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46132</v>
      </c>
      <c r="AB72" s="42">
        <f>HYPERLINK("#'Transactions'!A251", "View Source Row")</f>
        <v/>
      </c>
    </row>
    <row r="73">
      <c r="A73" s="14" t="n">
        <v>251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46132</v>
      </c>
      <c r="F73" s="40" t="n">
        <v>46132</v>
      </c>
      <c r="G73" s="16" t="inlineStr">
        <is>
          <t>EBANK:WIB/1504 EBANK:WIB/1504868004/Edfs</t>
        </is>
      </c>
      <c r="H73" s="14" t="str"/>
      <c r="I73" s="14" t="inlineStr">
        <is>
          <t>Payment</t>
        </is>
      </c>
      <c r="J73" s="39" t="n">
        <v>287084.78</v>
      </c>
      <c r="K73" s="39" t="n">
        <v>0</v>
      </c>
      <c r="L73" s="39" t="n">
        <v>287084.78</v>
      </c>
      <c r="M73" s="39" t="n">
        <v>2500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EBANKWIB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46132</v>
      </c>
      <c r="AB73" s="42">
        <f>HYPERLINK("#'Transactions'!A252", "View Source Row")</f>
        <v/>
      </c>
    </row>
    <row r="74">
      <c r="A74" s="14" t="n">
        <v>253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46133</v>
      </c>
      <c r="F74" s="40" t="n">
        <v>46133</v>
      </c>
      <c r="G74" s="16" t="inlineStr">
        <is>
          <t>DIGITA-MUMBAI/ NEFT-YESAP61112557088-PhonePe Limited</t>
        </is>
      </c>
      <c r="H74" s="14" t="str"/>
      <c r="I74" s="14" t="inlineStr">
        <is>
          <t>Receipt</t>
        </is>
      </c>
      <c r="J74" s="39" t="n">
        <v>0</v>
      </c>
      <c r="K74" s="39" t="n">
        <v>252575.92</v>
      </c>
      <c r="L74" s="39" t="n">
        <v>252575.92</v>
      </c>
      <c r="M74" s="39" t="n">
        <v>265075.92</v>
      </c>
      <c r="N74" s="14" t="inlineStr">
        <is>
          <t>High Transaction; 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46133</v>
      </c>
      <c r="AB74" s="42">
        <f>HYPERLINK("#'Transactions'!A254", "View Source Row")</f>
        <v/>
      </c>
    </row>
    <row r="75">
      <c r="A75" s="14" t="n">
        <v>255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46133</v>
      </c>
      <c r="F75" s="40" t="n">
        <v>46133</v>
      </c>
      <c r="G75" s="16" t="inlineStr">
        <is>
          <t>EBANK:WIB/1504 EBANK:WIB/1504892301/Edfs</t>
        </is>
      </c>
      <c r="H75" s="14" t="str"/>
      <c r="I75" s="14" t="inlineStr">
        <is>
          <t>Payment</t>
        </is>
      </c>
      <c r="J75" s="39" t="n">
        <v>333445.92</v>
      </c>
      <c r="K75" s="39" t="n">
        <v>0</v>
      </c>
      <c r="L75" s="39" t="n">
        <v>333445.92</v>
      </c>
      <c r="M75" s="39" t="n">
        <v>2500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EBANKWIB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46133</v>
      </c>
      <c r="AB75" s="42">
        <f>HYPERLINK("#'Transactions'!A256", "View Source Row")</f>
        <v/>
      </c>
    </row>
    <row r="76">
      <c r="A76" s="14" t="n">
        <v>263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46133</v>
      </c>
      <c r="F76" s="40" t="n">
        <v>46133</v>
      </c>
      <c r="G76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76" s="14" t="str"/>
      <c r="I76" s="14" t="inlineStr">
        <is>
          <t>Payment</t>
        </is>
      </c>
      <c r="J76" s="39" t="n">
        <v>108963.7</v>
      </c>
      <c r="K76" s="39" t="n">
        <v>0</v>
      </c>
      <c r="L76" s="39" t="n">
        <v>108963.7</v>
      </c>
      <c r="M76" s="39" t="n">
        <v>2500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46133</v>
      </c>
      <c r="AB76" s="42">
        <f>HYPERLINK("#'Transactions'!A264", "View Source Row")</f>
        <v/>
      </c>
    </row>
    <row r="77">
      <c r="A77" s="14" t="n">
        <v>265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46134</v>
      </c>
      <c r="F77" s="40" t="n">
        <v>46134</v>
      </c>
      <c r="G77" s="16" t="inlineStr">
        <is>
          <t>DIGITA-MUMBAI/ NEFT-YESAP61123591632-PhonePe Limited</t>
        </is>
      </c>
      <c r="H77" s="14" t="str"/>
      <c r="I77" s="14" t="inlineStr">
        <is>
          <t>Receipt</t>
        </is>
      </c>
      <c r="J77" s="39" t="n">
        <v>0</v>
      </c>
      <c r="K77" s="39" t="n">
        <v>195840</v>
      </c>
      <c r="L77" s="39" t="n">
        <v>195840</v>
      </c>
      <c r="M77" s="39" t="n">
        <v>203340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PHONEPE LIMITED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46134</v>
      </c>
      <c r="AB77" s="42">
        <f>HYPERLINK("#'Transactions'!A266", "View Source Row")</f>
        <v/>
      </c>
    </row>
    <row r="78">
      <c r="A78" s="14" t="n">
        <v>268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46134</v>
      </c>
      <c r="F78" s="40" t="n">
        <v>46134</v>
      </c>
      <c r="G78" s="16" t="inlineStr">
        <is>
          <t>EBANK:WIB/1505 EBANK:WIB/1505048812/Edfs</t>
        </is>
      </c>
      <c r="H78" s="14" t="str"/>
      <c r="I78" s="14" t="inlineStr">
        <is>
          <t>Payment</t>
        </is>
      </c>
      <c r="J78" s="39" t="n">
        <v>259307.24</v>
      </c>
      <c r="K78" s="39" t="n">
        <v>0</v>
      </c>
      <c r="L78" s="39" t="n">
        <v>259307.24</v>
      </c>
      <c r="M78" s="39" t="n">
        <v>20500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EBANKWIB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46134</v>
      </c>
      <c r="AB78" s="42">
        <f>HYPERLINK("#'Transactions'!A269", "View Source Row")</f>
        <v/>
      </c>
    </row>
    <row r="79">
      <c r="A79" s="14" t="n">
        <v>272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46134</v>
      </c>
      <c r="F79" s="40" t="n">
        <v>46134</v>
      </c>
      <c r="G79" s="16" t="inlineStr">
        <is>
          <t>DIGITA-MUMBAI/ NEFT-CNRBH00126857051-M S COLLEGE OF PHARMACY</t>
        </is>
      </c>
      <c r="H79" s="14" t="str"/>
      <c r="I79" s="14" t="inlineStr">
        <is>
          <t>Receipt</t>
        </is>
      </c>
      <c r="J79" s="39" t="n">
        <v>0</v>
      </c>
      <c r="K79" s="39" t="n">
        <v>100000</v>
      </c>
      <c r="L79" s="39" t="n">
        <v>100000</v>
      </c>
      <c r="M79" s="39" t="n">
        <v>216698</v>
      </c>
      <c r="N79" s="14" t="inlineStr">
        <is>
          <t>High Transaction</t>
        </is>
      </c>
      <c r="O79" s="14" t="inlineStr">
        <is>
          <t>No</t>
        </is>
      </c>
      <c r="P79" s="14" t="inlineStr">
        <is>
          <t>M S COLLEGE OF PHARMACY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46134</v>
      </c>
      <c r="AB79" s="42">
        <f>HYPERLINK("#'Transactions'!A273", "View Source Row")</f>
        <v/>
      </c>
    </row>
    <row r="80">
      <c r="A80" s="14" t="n">
        <v>277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46134</v>
      </c>
      <c r="F80" s="40" t="n">
        <v>46134</v>
      </c>
      <c r="G80" s="16" t="inlineStr">
        <is>
          <t>EBANK:WIB/1505 EBANK:WIB/1505171210/Edfs</t>
        </is>
      </c>
      <c r="H80" s="14" t="str"/>
      <c r="I80" s="14" t="inlineStr">
        <is>
          <t>Payment</t>
        </is>
      </c>
      <c r="J80" s="39" t="n">
        <v>356256.8</v>
      </c>
      <c r="K80" s="39" t="n">
        <v>0</v>
      </c>
      <c r="L80" s="39" t="n">
        <v>356256.8</v>
      </c>
      <c r="M80" s="39" t="n">
        <v>2500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EBANKWIB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46134</v>
      </c>
      <c r="AB80" s="42">
        <f>HYPERLINK("#'Transactions'!A278", "View Source Row")</f>
        <v/>
      </c>
    </row>
    <row r="81">
      <c r="A81" s="14" t="n">
        <v>280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46135</v>
      </c>
      <c r="F81" s="40" t="n">
        <v>46135</v>
      </c>
      <c r="G81" s="16" t="inlineStr">
        <is>
          <t>DIGITA-MUMBAI/ NEFT-YESAP61133866852-PhonePe Limited</t>
        </is>
      </c>
      <c r="H81" s="14" t="str"/>
      <c r="I81" s="14" t="inlineStr">
        <is>
          <t>Receipt</t>
        </is>
      </c>
      <c r="J81" s="39" t="n">
        <v>0</v>
      </c>
      <c r="K81" s="39" t="n">
        <v>224683</v>
      </c>
      <c r="L81" s="39" t="n">
        <v>224683</v>
      </c>
      <c r="M81" s="39" t="n">
        <v>227183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PHONEPE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46135</v>
      </c>
      <c r="AB81" s="42">
        <f>HYPERLINK("#'Transactions'!A281", "View Source Row")</f>
        <v/>
      </c>
    </row>
    <row r="82">
      <c r="A82" s="14" t="n">
        <v>281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46135</v>
      </c>
      <c r="F82" s="40" t="n">
        <v>46135</v>
      </c>
      <c r="G82" s="16" t="inlineStr">
        <is>
          <t>EBANK:WIB/1505 EBANK:WIB/1505193929/Edfs</t>
        </is>
      </c>
      <c r="H82" s="14" t="str"/>
      <c r="I82" s="14" t="inlineStr">
        <is>
          <t>Payment</t>
        </is>
      </c>
      <c r="J82" s="39" t="n">
        <v>224683</v>
      </c>
      <c r="K82" s="39" t="n">
        <v>0</v>
      </c>
      <c r="L82" s="39" t="n">
        <v>224683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46135</v>
      </c>
      <c r="AB82" s="42">
        <f>HYPERLINK("#'Transactions'!A282", "View Source Row")</f>
        <v/>
      </c>
    </row>
    <row r="83">
      <c r="A83" s="14" t="n">
        <v>285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46135</v>
      </c>
      <c r="F83" s="40" t="n">
        <v>46135</v>
      </c>
      <c r="G83" s="16" t="inlineStr">
        <is>
          <t>DIGITA-MUMBAI/ NEFT-AXISCN1322079433-PINE LABS PRIVATE LIMITED-NO</t>
        </is>
      </c>
      <c r="H83" s="14" t="str"/>
      <c r="I83" s="14" t="inlineStr">
        <is>
          <t>Receipt</t>
        </is>
      </c>
      <c r="J83" s="39" t="n">
        <v>0</v>
      </c>
      <c r="K83" s="39" t="n">
        <v>214974</v>
      </c>
      <c r="L83" s="39" t="n">
        <v>214974</v>
      </c>
      <c r="M83" s="39" t="n">
        <v>226804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PINE LABS PRIVATE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46135</v>
      </c>
      <c r="AB83" s="42">
        <f>HYPERLINK("#'Transactions'!A286", "View Source Row")</f>
        <v/>
      </c>
    </row>
    <row r="84">
      <c r="A84" s="14" t="n">
        <v>287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46135</v>
      </c>
      <c r="F84" s="40" t="n">
        <v>46135</v>
      </c>
      <c r="G84" s="16" t="inlineStr">
        <is>
          <t>EBANK:WIB/1505 EBANK:WIB/1505205959/Edfs</t>
        </is>
      </c>
      <c r="H84" s="14" t="str"/>
      <c r="I84" s="14" t="inlineStr">
        <is>
          <t>Payment</t>
        </is>
      </c>
      <c r="J84" s="39" t="n">
        <v>269000</v>
      </c>
      <c r="K84" s="39" t="n">
        <v>0</v>
      </c>
      <c r="L84" s="39" t="n">
        <v>269000</v>
      </c>
      <c r="M84" s="39" t="n">
        <v>3024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46135</v>
      </c>
      <c r="AB84" s="42">
        <f>HYPERLINK("#'Transactions'!A288", "View Source Row")</f>
        <v/>
      </c>
    </row>
    <row r="85">
      <c r="A85" s="14" t="n">
        <v>290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46135</v>
      </c>
      <c r="F85" s="40" t="n">
        <v>46135</v>
      </c>
      <c r="G85" s="16" t="inlineStr">
        <is>
          <t>DIGITA-MUMBAI/ NEFT-AXODH11383366299-GRISHMA METAL TECHNOLOGY</t>
        </is>
      </c>
      <c r="H85" s="14" t="str"/>
      <c r="I85" s="14" t="inlineStr">
        <is>
          <t>Receipt</t>
        </is>
      </c>
      <c r="J85" s="39" t="n">
        <v>0</v>
      </c>
      <c r="K85" s="39" t="n">
        <v>124000</v>
      </c>
      <c r="L85" s="39" t="n">
        <v>124000</v>
      </c>
      <c r="M85" s="39" t="n">
        <v>126021.35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GRISHMA METAL TECHNOLOGY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46135</v>
      </c>
      <c r="AB85" s="42">
        <f>HYPERLINK("#'Transactions'!A291", "View Source Row")</f>
        <v/>
      </c>
    </row>
    <row r="86">
      <c r="A86" s="14" t="n">
        <v>296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46135</v>
      </c>
      <c r="F86" s="40" t="n">
        <v>46135</v>
      </c>
      <c r="G86" s="16" t="inlineStr">
        <is>
          <t>EBANK:WIB/1505 EBANK:WIB/1505315722/Edfs</t>
        </is>
      </c>
      <c r="H86" s="14" t="str"/>
      <c r="I86" s="14" t="inlineStr">
        <is>
          <t>Payment</t>
        </is>
      </c>
      <c r="J86" s="39" t="n">
        <v>222635.35</v>
      </c>
      <c r="K86" s="39" t="n">
        <v>0</v>
      </c>
      <c r="L86" s="39" t="n">
        <v>222635.35</v>
      </c>
      <c r="M86" s="39" t="n">
        <v>2500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46135</v>
      </c>
      <c r="AB86" s="42">
        <f>HYPERLINK("#'Transactions'!A297", "View Source Row")</f>
        <v/>
      </c>
    </row>
    <row r="87">
      <c r="A87" s="14" t="n">
        <v>297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46136</v>
      </c>
      <c r="F87" s="40" t="n">
        <v>46136</v>
      </c>
      <c r="G87" s="16" t="inlineStr">
        <is>
          <t>DIGITA-MUMBAI/ NEFT-YESAP61143829163-PhonePe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234281</v>
      </c>
      <c r="L87" s="39" t="n">
        <v>234281</v>
      </c>
      <c r="M87" s="39" t="n">
        <v>236781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46136</v>
      </c>
      <c r="AB87" s="42">
        <f>HYPERLINK("#'Transactions'!A298", "View Source Row")</f>
        <v/>
      </c>
    </row>
    <row r="88">
      <c r="A88" s="14" t="n">
        <v>301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46136</v>
      </c>
      <c r="F88" s="40" t="n">
        <v>46136</v>
      </c>
      <c r="G88" s="16" t="inlineStr">
        <is>
          <t>EBANK:WIB/1505 EBANK:WIB/1505337172/Edfs</t>
        </is>
      </c>
      <c r="H88" s="14" t="str"/>
      <c r="I88" s="14" t="inlineStr">
        <is>
          <t>Payment</t>
        </is>
      </c>
      <c r="J88" s="39" t="n">
        <v>400403</v>
      </c>
      <c r="K88" s="39" t="n">
        <v>0</v>
      </c>
      <c r="L88" s="39" t="n">
        <v>400403</v>
      </c>
      <c r="M88" s="39" t="n">
        <v>11500</v>
      </c>
      <c r="N88" s="14" t="inlineStr">
        <is>
          <t>High Transaction; 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46136</v>
      </c>
      <c r="AB88" s="42">
        <f>HYPERLINK("#'Transactions'!A302", "View Source Row")</f>
        <v/>
      </c>
    </row>
    <row r="89">
      <c r="A89" s="14" t="n">
        <v>308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46136</v>
      </c>
      <c r="F89" s="40" t="n">
        <v>46136</v>
      </c>
      <c r="G89" s="16" t="inlineStr">
        <is>
          <t>EBANK:WIB/1505 EBANK:WIB/1505452714/Edfs</t>
        </is>
      </c>
      <c r="H89" s="14" t="str"/>
      <c r="I89" s="14" t="inlineStr">
        <is>
          <t>Payment</t>
        </is>
      </c>
      <c r="J89" s="39" t="n">
        <v>115069</v>
      </c>
      <c r="K89" s="39" t="n">
        <v>0</v>
      </c>
      <c r="L89" s="39" t="n">
        <v>115069</v>
      </c>
      <c r="M89" s="39" t="n">
        <v>2500</v>
      </c>
      <c r="N89" s="14" t="inlineStr">
        <is>
          <t>High Transaction; Recurring Transaction</t>
        </is>
      </c>
      <c r="O89" s="14" t="inlineStr">
        <is>
          <t>Yes</t>
        </is>
      </c>
      <c r="P89" s="14" t="inlineStr">
        <is>
          <t>EBANKWIB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46136</v>
      </c>
      <c r="AB89" s="42">
        <f>HYPERLINK("#'Transactions'!A309", "View Source Row")</f>
        <v/>
      </c>
    </row>
    <row r="90">
      <c r="A90" s="14" t="n">
        <v>309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46137</v>
      </c>
      <c r="F90" s="40" t="n">
        <v>46137</v>
      </c>
      <c r="G90" s="16" t="inlineStr">
        <is>
          <t>DIGITA-MUMBAI/ NEFT-YESAP61152331743-PhonePe Limited</t>
        </is>
      </c>
      <c r="H90" s="14" t="str"/>
      <c r="I90" s="14" t="inlineStr">
        <is>
          <t>Receipt</t>
        </is>
      </c>
      <c r="J90" s="39" t="n">
        <v>0</v>
      </c>
      <c r="K90" s="39" t="n">
        <v>273418</v>
      </c>
      <c r="L90" s="39" t="n">
        <v>273418</v>
      </c>
      <c r="M90" s="39" t="n">
        <v>275918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PHONEPE LIMITED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46137</v>
      </c>
      <c r="AB90" s="42">
        <f>HYPERLINK("#'Transactions'!A310", "View Source Row")</f>
        <v/>
      </c>
    </row>
    <row r="91">
      <c r="A91" s="14" t="n">
        <v>310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46137</v>
      </c>
      <c r="F91" s="40" t="n">
        <v>46137</v>
      </c>
      <c r="G9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1" s="14" t="str"/>
      <c r="I91" s="14" t="inlineStr">
        <is>
          <t>Payment</t>
        </is>
      </c>
      <c r="J91" s="39" t="n">
        <v>273418</v>
      </c>
      <c r="K91" s="39" t="n">
        <v>0</v>
      </c>
      <c r="L91" s="39" t="n">
        <v>273418</v>
      </c>
      <c r="M91" s="39" t="n">
        <v>2500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46137</v>
      </c>
      <c r="AB91" s="42">
        <f>HYPERLINK("#'Transactions'!A311", "View Source Row")</f>
        <v/>
      </c>
    </row>
    <row r="92">
      <c r="A92" s="14" t="n">
        <v>318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46137</v>
      </c>
      <c r="F92" s="40" t="n">
        <v>46137</v>
      </c>
      <c r="G92" s="16" t="inlineStr">
        <is>
          <t>DIGITA-MUMBAI/ IMPS/P2A/611513033420/VILLAGE STONE L/Diesel paym</t>
        </is>
      </c>
      <c r="H92" s="14" t="str"/>
      <c r="I92" s="14" t="inlineStr">
        <is>
          <t>Receipt</t>
        </is>
      </c>
      <c r="J92" s="39" t="n">
        <v>0</v>
      </c>
      <c r="K92" s="39" t="n">
        <v>100000</v>
      </c>
      <c r="L92" s="39" t="n">
        <v>100000</v>
      </c>
      <c r="M92" s="39" t="n">
        <v>138944.05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VILLAGE STONE L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46137</v>
      </c>
      <c r="AB92" s="42">
        <f>HYPERLINK("#'Transactions'!A319", "View Source Row")</f>
        <v/>
      </c>
    </row>
    <row r="93">
      <c r="A93" s="14" t="n">
        <v>322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46137</v>
      </c>
      <c r="F93" s="40" t="n">
        <v>46137</v>
      </c>
      <c r="G93" s="16" t="inlineStr">
        <is>
          <t>EBANK:WIB/1505 EBANK:WIB/1505585919/Edfs</t>
        </is>
      </c>
      <c r="H93" s="14" t="str"/>
      <c r="I93" s="14" t="inlineStr">
        <is>
          <t>Payment</t>
        </is>
      </c>
      <c r="J93" s="39" t="n">
        <v>172247.15</v>
      </c>
      <c r="K93" s="39" t="n">
        <v>0</v>
      </c>
      <c r="L93" s="39" t="n">
        <v>172247.15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46137</v>
      </c>
      <c r="AB93" s="42">
        <f>HYPERLINK("#'Transactions'!A323", "View Source Row")</f>
        <v/>
      </c>
    </row>
    <row r="94">
      <c r="A94" s="14" t="n">
        <v>323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46138</v>
      </c>
      <c r="F94" s="40" t="n">
        <v>46138</v>
      </c>
      <c r="G94" s="16" t="inlineStr">
        <is>
          <t>DIGITA-MUMBAI/ NEFT-YESAP61163896825-PhonePe Limited</t>
        </is>
      </c>
      <c r="H94" s="14" t="str"/>
      <c r="I94" s="14" t="inlineStr">
        <is>
          <t>Receipt</t>
        </is>
      </c>
      <c r="J94" s="39" t="n">
        <v>0</v>
      </c>
      <c r="K94" s="39" t="n">
        <v>244934</v>
      </c>
      <c r="L94" s="39" t="n">
        <v>244934</v>
      </c>
      <c r="M94" s="39" t="n">
        <v>247434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PHONEPE LIMITED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46138</v>
      </c>
      <c r="AB94" s="42">
        <f>HYPERLINK("#'Transactions'!A324", "View Source Row")</f>
        <v/>
      </c>
    </row>
    <row r="95">
      <c r="A95" s="14" t="n">
        <v>324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46138</v>
      </c>
      <c r="F95" s="40" t="n">
        <v>46138</v>
      </c>
      <c r="G95" s="16" t="inlineStr">
        <is>
          <t>DIGITA-MUMBAI/ NEFT-AXNPN11607066053-PHONEPE LIMITED-PAYMENT AGGR</t>
        </is>
      </c>
      <c r="H95" s="14" t="str"/>
      <c r="I95" s="14" t="inlineStr">
        <is>
          <t>Receipt</t>
        </is>
      </c>
      <c r="J95" s="39" t="n">
        <v>0</v>
      </c>
      <c r="K95" s="39" t="n">
        <v>100291.79</v>
      </c>
      <c r="L95" s="39" t="n">
        <v>100291.79</v>
      </c>
      <c r="M95" s="39" t="n">
        <v>347725.79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PHONEPE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46138</v>
      </c>
      <c r="AB95" s="42">
        <f>HYPERLINK("#'Transactions'!A325", "View Source Row")</f>
        <v/>
      </c>
    </row>
    <row r="96">
      <c r="A96" s="14" t="n">
        <v>326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46138</v>
      </c>
      <c r="F96" s="40" t="n">
        <v>46138</v>
      </c>
      <c r="G9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6" s="14" t="str"/>
      <c r="I96" s="14" t="inlineStr">
        <is>
          <t>Payment</t>
        </is>
      </c>
      <c r="J96" s="39" t="n">
        <v>300990.79</v>
      </c>
      <c r="K96" s="39" t="n">
        <v>0</v>
      </c>
      <c r="L96" s="39" t="n">
        <v>300990.79</v>
      </c>
      <c r="M96" s="39" t="n">
        <v>50500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46138</v>
      </c>
      <c r="AB96" s="42">
        <f>HYPERLINK("#'Transactions'!A327", "View Source Row")</f>
        <v/>
      </c>
    </row>
    <row r="97">
      <c r="A97" s="14" t="n">
        <v>329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46138</v>
      </c>
      <c r="F97" s="40" t="n">
        <v>46138</v>
      </c>
      <c r="G97" s="16" t="inlineStr">
        <is>
          <t>EBANK:WIB/1505 EBANK:WIB/1505633295/Edfs</t>
        </is>
      </c>
      <c r="H97" s="14" t="str"/>
      <c r="I97" s="14" t="inlineStr">
        <is>
          <t>Payment</t>
        </is>
      </c>
      <c r="J97" s="39" t="n">
        <v>114728</v>
      </c>
      <c r="K97" s="39" t="n">
        <v>0</v>
      </c>
      <c r="L97" s="39" t="n">
        <v>114728</v>
      </c>
      <c r="M97" s="39" t="n">
        <v>2500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46138</v>
      </c>
      <c r="AB97" s="42">
        <f>HYPERLINK("#'Transactions'!A330", "View Source Row")</f>
        <v/>
      </c>
    </row>
    <row r="98">
      <c r="A98" s="14" t="n">
        <v>330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46139</v>
      </c>
      <c r="F98" s="40" t="n">
        <v>46139</v>
      </c>
      <c r="G98" s="16" t="inlineStr">
        <is>
          <t>DIGITA-MUMBAI/ NEFT-YESAP61174218113-PhonePe Limited</t>
        </is>
      </c>
      <c r="H98" s="14" t="str"/>
      <c r="I98" s="14" t="inlineStr">
        <is>
          <t>Receipt</t>
        </is>
      </c>
      <c r="J98" s="39" t="n">
        <v>0</v>
      </c>
      <c r="K98" s="39" t="n">
        <v>243320.8</v>
      </c>
      <c r="L98" s="39" t="n">
        <v>243320.8</v>
      </c>
      <c r="M98" s="39" t="n">
        <v>245820.8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PHONEPE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46139</v>
      </c>
      <c r="AB98" s="42">
        <f>HYPERLINK("#'Transactions'!A331", "View Source Row")</f>
        <v/>
      </c>
    </row>
    <row r="99">
      <c r="A99" s="14" t="n">
        <v>331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46139</v>
      </c>
      <c r="F99" s="40" t="n">
        <v>46139</v>
      </c>
      <c r="G99" s="16" t="inlineStr">
        <is>
          <t>DIGITA-MUMBAI/ NEFT-AXNPN11714754008-PHONEPE LIMITED-PAYMENT AGGR</t>
        </is>
      </c>
      <c r="H99" s="14" t="str"/>
      <c r="I99" s="14" t="inlineStr">
        <is>
          <t>Receipt</t>
        </is>
      </c>
      <c r="J99" s="39" t="n">
        <v>0</v>
      </c>
      <c r="K99" s="39" t="n">
        <v>109488</v>
      </c>
      <c r="L99" s="39" t="n">
        <v>109488</v>
      </c>
      <c r="M99" s="39" t="n">
        <v>355308.8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46139</v>
      </c>
      <c r="AB99" s="42">
        <f>HYPERLINK("#'Transactions'!A332", "View Source Row")</f>
        <v/>
      </c>
    </row>
    <row r="100">
      <c r="A100" s="14" t="n">
        <v>335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46139</v>
      </c>
      <c r="F100" s="40" t="n">
        <v>46139</v>
      </c>
      <c r="G100" s="16" t="inlineStr">
        <is>
          <t>EBANK:WIB/1505 EBANK:WIB/1505672686/Edfs</t>
        </is>
      </c>
      <c r="H100" s="14" t="str"/>
      <c r="I100" s="14" t="inlineStr">
        <is>
          <t>Payment</t>
        </is>
      </c>
      <c r="J100" s="39" t="n">
        <v>460000.8</v>
      </c>
      <c r="K100" s="39" t="n">
        <v>0</v>
      </c>
      <c r="L100" s="39" t="n">
        <v>460000.8</v>
      </c>
      <c r="M100" s="39" t="n">
        <v>2317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46139</v>
      </c>
      <c r="AB100" s="42">
        <f>HYPERLINK("#'Transactions'!A336", "View Source Row")</f>
        <v/>
      </c>
    </row>
    <row r="101">
      <c r="A101" s="14" t="n">
        <v>340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46139</v>
      </c>
      <c r="F101" s="40" t="n">
        <v>46139</v>
      </c>
      <c r="G101" s="16" t="inlineStr">
        <is>
          <t>DIGITA-MUMBAI/ NEFT-BACBH00004205594-GAONDEVI BUILDING MATERIAL S</t>
        </is>
      </c>
      <c r="H101" s="14" t="str"/>
      <c r="I101" s="14" t="inlineStr">
        <is>
          <t>Receipt</t>
        </is>
      </c>
      <c r="J101" s="39" t="n">
        <v>0</v>
      </c>
      <c r="K101" s="39" t="n">
        <v>150000</v>
      </c>
      <c r="L101" s="39" t="n">
        <v>150000</v>
      </c>
      <c r="M101" s="39" t="n">
        <v>311816</v>
      </c>
      <c r="N101" s="14" t="inlineStr">
        <is>
          <t>High Transaction</t>
        </is>
      </c>
      <c r="O101" s="14" t="inlineStr">
        <is>
          <t>No</t>
        </is>
      </c>
      <c r="P101" s="14" t="inlineStr">
        <is>
          <t>GAONDEVI BUILDING MATERIAL S</t>
        </is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46139</v>
      </c>
      <c r="AB101" s="42">
        <f>HYPERLINK("#'Transactions'!A341", "View Source Row")</f>
        <v/>
      </c>
    </row>
    <row r="102">
      <c r="A102" s="14" t="n">
        <v>343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46139</v>
      </c>
      <c r="F102" s="40" t="n">
        <v>46139</v>
      </c>
      <c r="G102" s="16" t="inlineStr">
        <is>
          <t>EBANK:WIB/1505 EBANK:WIB/1505752441/Edfs</t>
        </is>
      </c>
      <c r="H102" s="14" t="str"/>
      <c r="I102" s="14" t="inlineStr">
        <is>
          <t>Payment</t>
        </is>
      </c>
      <c r="J102" s="39" t="n">
        <v>365005</v>
      </c>
      <c r="K102" s="39" t="n">
        <v>0</v>
      </c>
      <c r="L102" s="39" t="n">
        <v>365005</v>
      </c>
      <c r="M102" s="39" t="n">
        <v>2000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EBANKWIB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46139</v>
      </c>
      <c r="AB102" s="42">
        <f>HYPERLINK("#'Transactions'!A344", "View Source Row")</f>
        <v/>
      </c>
    </row>
    <row r="103">
      <c r="A103" s="14" t="n">
        <v>345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46140</v>
      </c>
      <c r="F103" s="40" t="n">
        <v>46140</v>
      </c>
      <c r="G103" s="16" t="inlineStr">
        <is>
          <t>DIGITA-MUMBAI/ NEFT-YESAP61183745951-PhonePe Limited</t>
        </is>
      </c>
      <c r="H103" s="14" t="str"/>
      <c r="I103" s="14" t="inlineStr">
        <is>
          <t>Receipt</t>
        </is>
      </c>
      <c r="J103" s="39" t="n">
        <v>0</v>
      </c>
      <c r="K103" s="39" t="n">
        <v>213696</v>
      </c>
      <c r="L103" s="39" t="n">
        <v>213696</v>
      </c>
      <c r="M103" s="39" t="n">
        <v>215996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46140</v>
      </c>
      <c r="AB103" s="42">
        <f>HYPERLINK("#'Transactions'!A346", "View Source Row")</f>
        <v/>
      </c>
    </row>
    <row r="104">
      <c r="A104" s="14" t="n">
        <v>355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46140</v>
      </c>
      <c r="F104" s="40" t="n">
        <v>46140</v>
      </c>
      <c r="G104" s="16" t="inlineStr">
        <is>
          <t>EBANK:WIB/1505 EBANK:WIB/1505883831/Edfs</t>
        </is>
      </c>
      <c r="H104" s="14" t="str"/>
      <c r="I104" s="14" t="inlineStr">
        <is>
          <t>Payment</t>
        </is>
      </c>
      <c r="J104" s="39" t="n">
        <v>402798.6</v>
      </c>
      <c r="K104" s="39" t="n">
        <v>0</v>
      </c>
      <c r="L104" s="39" t="n">
        <v>402798.6</v>
      </c>
      <c r="M104" s="39" t="n">
        <v>20500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46140</v>
      </c>
      <c r="AB104" s="42">
        <f>HYPERLINK("#'Transactions'!A356", "View Source Row")</f>
        <v/>
      </c>
    </row>
    <row r="105">
      <c r="A105" s="14" t="n">
        <v>357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46140</v>
      </c>
      <c r="F105" s="40" t="n">
        <v>46140</v>
      </c>
      <c r="G105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05" s="14" t="str"/>
      <c r="I105" s="14" t="inlineStr">
        <is>
          <t>Receipt</t>
        </is>
      </c>
      <c r="J105" s="39" t="n">
        <v>0</v>
      </c>
      <c r="K105" s="39" t="n">
        <v>106203</v>
      </c>
      <c r="L105" s="39" t="n">
        <v>106203</v>
      </c>
      <c r="M105" s="39" t="n">
        <v>131444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PAGE TOTAL   CR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46140</v>
      </c>
      <c r="AB105" s="42">
        <f>HYPERLINK("#'Transactions'!A358", "View Source Row")</f>
        <v/>
      </c>
    </row>
    <row r="106">
      <c r="A106" s="14" t="n">
        <v>360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46140</v>
      </c>
      <c r="F106" s="40" t="n">
        <v>46140</v>
      </c>
      <c r="G106" s="16" t="inlineStr">
        <is>
          <t>EBANK:WIB/1505 EBANK:WIB/1505948506/Edfs</t>
        </is>
      </c>
      <c r="H106" s="14" t="str"/>
      <c r="I106" s="14" t="inlineStr">
        <is>
          <t>Payment</t>
        </is>
      </c>
      <c r="J106" s="39" t="n">
        <v>192251.79</v>
      </c>
      <c r="K106" s="39" t="n">
        <v>0</v>
      </c>
      <c r="L106" s="39" t="n">
        <v>192251.79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46140</v>
      </c>
      <c r="AB106" s="42">
        <f>HYPERLINK("#'Transactions'!A361", "View Source Row")</f>
        <v/>
      </c>
    </row>
    <row r="107">
      <c r="A107" s="14" t="n">
        <v>361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46141</v>
      </c>
      <c r="F107" s="40" t="n">
        <v>46141</v>
      </c>
      <c r="G107" s="16" t="inlineStr">
        <is>
          <t>DIGITA-MUMBAI/ NEFT-YESAP61192379931-PhonePe Limited</t>
        </is>
      </c>
      <c r="H107" s="14" t="str"/>
      <c r="I107" s="14" t="inlineStr">
        <is>
          <t>Receipt</t>
        </is>
      </c>
      <c r="J107" s="39" t="n">
        <v>0</v>
      </c>
      <c r="K107" s="39" t="n">
        <v>300724.33</v>
      </c>
      <c r="L107" s="39" t="n">
        <v>300724.33</v>
      </c>
      <c r="M107" s="39" t="n">
        <v>303224.33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PHONEPE LIMITED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46141</v>
      </c>
      <c r="AB107" s="42">
        <f>HYPERLINK("#'Transactions'!A362", "View Source Row")</f>
        <v/>
      </c>
    </row>
    <row r="108">
      <c r="A108" s="14" t="n">
        <v>364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46141</v>
      </c>
      <c r="F108" s="40" t="n">
        <v>46141</v>
      </c>
      <c r="G108" s="16" t="inlineStr">
        <is>
          <t>EBANK:WIB/1505 EBANK:WIB/1505959390/Edfs</t>
        </is>
      </c>
      <c r="H108" s="14" t="str"/>
      <c r="I108" s="14" t="inlineStr">
        <is>
          <t>Payment</t>
        </is>
      </c>
      <c r="J108" s="39" t="n">
        <v>383365.33</v>
      </c>
      <c r="K108" s="39" t="n">
        <v>0</v>
      </c>
      <c r="L108" s="39" t="n">
        <v>383365.33</v>
      </c>
      <c r="M108" s="39" t="n">
        <v>2500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EBANKWIB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46141</v>
      </c>
      <c r="AB108" s="42">
        <f>HYPERLINK("#'Transactions'!A365", "View Source Row")</f>
        <v/>
      </c>
    </row>
    <row r="109">
      <c r="A109" s="14" t="n">
        <v>365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46141</v>
      </c>
      <c r="F109" s="40" t="n">
        <v>46141</v>
      </c>
      <c r="G109" s="16" t="inlineStr">
        <is>
          <t>DIGITA-MUMBAI/ NEFT-AXISCN1327725971-PINE LABS PRIVATE LIMITED-NO</t>
        </is>
      </c>
      <c r="H109" s="14" t="str"/>
      <c r="I109" s="14" t="inlineStr">
        <is>
          <t>Receipt</t>
        </is>
      </c>
      <c r="J109" s="39" t="n">
        <v>0</v>
      </c>
      <c r="K109" s="39" t="n">
        <v>161953</v>
      </c>
      <c r="L109" s="39" t="n">
        <v>161953</v>
      </c>
      <c r="M109" s="39" t="n">
        <v>164453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PINE LABS PRIVATE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46141</v>
      </c>
      <c r="AB109" s="42">
        <f>HYPERLINK("#'Transactions'!A366", "View Source Row")</f>
        <v/>
      </c>
    </row>
    <row r="110">
      <c r="A110" s="14" t="n">
        <v>366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46141</v>
      </c>
      <c r="F110" s="40" t="n">
        <v>46141</v>
      </c>
      <c r="G110" s="16" t="inlineStr">
        <is>
          <t>EBANK:WIB/1505 EBANK:WIB/1505997293/Edfs</t>
        </is>
      </c>
      <c r="H110" s="14" t="str"/>
      <c r="I110" s="14" t="inlineStr">
        <is>
          <t>Payment</t>
        </is>
      </c>
      <c r="J110" s="39" t="n">
        <v>161953</v>
      </c>
      <c r="K110" s="39" t="n">
        <v>0</v>
      </c>
      <c r="L110" s="39" t="n">
        <v>161953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46141</v>
      </c>
      <c r="AB110" s="42">
        <f>HYPERLINK("#'Transactions'!A367", "View Source Row")</f>
        <v/>
      </c>
    </row>
    <row r="111">
      <c r="A111" s="14" t="n">
        <v>379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46142</v>
      </c>
      <c r="F111" s="40" t="n">
        <v>46142</v>
      </c>
      <c r="G111" s="16" t="inlineStr">
        <is>
          <t>DIGITA-MUMBAI/ NEFT-YESAP61203718924-PhonePe Limited</t>
        </is>
      </c>
      <c r="H111" s="14" t="str"/>
      <c r="I111" s="14" t="inlineStr">
        <is>
          <t>Receipt</t>
        </is>
      </c>
      <c r="J111" s="39" t="n">
        <v>0</v>
      </c>
      <c r="K111" s="39" t="n">
        <v>331429.91</v>
      </c>
      <c r="L111" s="39" t="n">
        <v>331429.91</v>
      </c>
      <c r="M111" s="39" t="n">
        <v>333929.91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PHONEPE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46142</v>
      </c>
      <c r="AB111" s="42">
        <f>HYPERLINK("#'Transactions'!A380", "View Source Row")</f>
        <v/>
      </c>
    </row>
    <row r="112">
      <c r="A112" s="14" t="n">
        <v>382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46142</v>
      </c>
      <c r="F112" s="40" t="n">
        <v>46142</v>
      </c>
      <c r="G112" s="16" t="inlineStr">
        <is>
          <t>EBANK:WIB/1506 EBANK:WIB/1506112904/Edfs</t>
        </is>
      </c>
      <c r="H112" s="14" t="str"/>
      <c r="I112" s="14" t="inlineStr">
        <is>
          <t>Payment</t>
        </is>
      </c>
      <c r="J112" s="39" t="n">
        <v>429587.11</v>
      </c>
      <c r="K112" s="39" t="n">
        <v>0</v>
      </c>
      <c r="L112" s="39" t="n">
        <v>429587.11</v>
      </c>
      <c r="M112" s="39" t="n">
        <v>2500</v>
      </c>
      <c r="N112" s="14" t="inlineStr">
        <is>
          <t>High Transaction; Recurring Transaction</t>
        </is>
      </c>
      <c r="O112" s="14" t="inlineStr">
        <is>
          <t>Yes</t>
        </is>
      </c>
      <c r="P112" s="14" t="inlineStr">
        <is>
          <t>EBANKWIB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46142</v>
      </c>
      <c r="AB112" s="42">
        <f>HYPERLINK("#'Transactions'!A383", "View Source Row")</f>
        <v/>
      </c>
    </row>
    <row r="113">
      <c r="A113" s="14" t="n">
        <v>390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46142</v>
      </c>
      <c r="F113" s="40" t="n">
        <v>46142</v>
      </c>
      <c r="G113" s="16" t="inlineStr">
        <is>
          <t>DIGITA-MUMBAI/ NEFT-HDFCH00963611742-Adekar enterprises pvt ltd</t>
        </is>
      </c>
      <c r="H113" s="14" t="str"/>
      <c r="I113" s="14" t="inlineStr">
        <is>
          <t>Receipt</t>
        </is>
      </c>
      <c r="J113" s="39" t="n">
        <v>0</v>
      </c>
      <c r="K113" s="39" t="n">
        <v>109621</v>
      </c>
      <c r="L113" s="39" t="n">
        <v>109621</v>
      </c>
      <c r="M113" s="39" t="n">
        <v>325499.05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ADEKAR ENTERPRISES PVT LTD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46142</v>
      </c>
      <c r="AB113" s="42">
        <f>HYPERLINK("#'Transactions'!A391", "View Source Row")</f>
        <v/>
      </c>
    </row>
    <row r="114">
      <c r="A114" s="14" t="n">
        <v>392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46142</v>
      </c>
      <c r="F114" s="40" t="n">
        <v>46142</v>
      </c>
      <c r="G114" s="16" t="inlineStr">
        <is>
          <t>EBANK:WIB/1506 EBANK:WIB/1506237357/Edfs</t>
        </is>
      </c>
      <c r="H114" s="14" t="str"/>
      <c r="I114" s="14" t="inlineStr">
        <is>
          <t>Payment</t>
        </is>
      </c>
      <c r="J114" s="39" t="n">
        <v>307440.05</v>
      </c>
      <c r="K114" s="39" t="n">
        <v>0</v>
      </c>
      <c r="L114" s="39" t="n">
        <v>307440.05</v>
      </c>
      <c r="M114" s="39" t="n">
        <v>20500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46142</v>
      </c>
      <c r="AB114" s="42">
        <f>HYPERLINK("#'Transactions'!A393", "View Source Row")</f>
        <v/>
      </c>
    </row>
    <row r="115">
      <c r="A115" s="14" t="n">
        <v>393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46142</v>
      </c>
      <c r="F115" s="40" t="n">
        <v>46142</v>
      </c>
      <c r="G115" s="16" t="inlineStr">
        <is>
          <t>DIGITA-MUMBAI/ NEFT-IN42612056111225-JERAI FITNESS LIMITED</t>
        </is>
      </c>
      <c r="H115" s="14" t="str"/>
      <c r="I115" s="14" t="inlineStr">
        <is>
          <t>Receipt</t>
        </is>
      </c>
      <c r="J115" s="39" t="n">
        <v>0</v>
      </c>
      <c r="K115" s="39" t="n">
        <v>147635</v>
      </c>
      <c r="L115" s="39" t="n">
        <v>147635</v>
      </c>
      <c r="M115" s="39" t="n">
        <v>168135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JERAI FITNESS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46142</v>
      </c>
      <c r="AB115" s="42">
        <f>HYPERLINK("#'Transactions'!A394", "View Source Row")</f>
        <v/>
      </c>
    </row>
    <row r="116">
      <c r="A116" s="14" t="n">
        <v>398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46142</v>
      </c>
      <c r="F116" s="40" t="n">
        <v>46142</v>
      </c>
      <c r="G116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116" s="14" t="str"/>
      <c r="I116" s="14" t="inlineStr">
        <is>
          <t>Payment</t>
        </is>
      </c>
      <c r="J116" s="39" t="n">
        <v>128623.2</v>
      </c>
      <c r="K116" s="39" t="n">
        <v>0</v>
      </c>
      <c r="L116" s="39" t="n">
        <v>128623.2</v>
      </c>
      <c r="M116" s="39" t="n">
        <v>2500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46142</v>
      </c>
      <c r="AB116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Receipts and Payments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UPI Transactions</t>
        </is>
      </c>
    </row>
    <row r="2">
      <c r="A2" s="30" t="inlineStr">
        <is>
          <t>Rows</t>
        </is>
      </c>
      <c r="B2" s="30" t="n">
        <v>36</v>
      </c>
      <c r="C2" s="30" t="inlineStr">
        <is>
          <t>Match</t>
        </is>
      </c>
      <c r="D2" s="30" t="inlineStr">
        <is>
          <t>UPI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UPI/6091426275 42627513 UPI/609142627513/04:54:21/UPI/dineshjogle086-5@ok</t>
        </is>
      </c>
      <c r="H5" s="14" t="str"/>
      <c r="I5" s="14" t="inlineStr">
        <is>
          <t>Payment</t>
        </is>
      </c>
      <c r="J5" s="39" t="n">
        <v>2356</v>
      </c>
      <c r="K5" s="39" t="n">
        <v>0</v>
      </c>
      <c r="L5" s="39" t="n">
        <v>2356</v>
      </c>
      <c r="M5" s="39" t="n">
        <v>579214</v>
      </c>
      <c r="N5" s="14" t="inlineStr">
        <is>
          <t>UPI</t>
        </is>
      </c>
      <c r="O5" s="14" t="inlineStr">
        <is>
          <t>No</t>
        </is>
      </c>
      <c r="P5" s="14" t="inlineStr">
        <is>
          <t>DINESHJOGLE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HYPERLINK("#'Transactions'!A4", "View Source Row")</f>
        <v/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HYPERLINK("#'Transactions'!A6", "View Source Row")</f>
        <v/>
      </c>
    </row>
    <row r="7">
      <c r="A7" s="14" t="n">
        <v>9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UPI/6091779614 77961475 UPI/609177961475/16:34:33/UPI/q297956037@ybl/food</t>
        </is>
      </c>
      <c r="H7" s="14" t="str"/>
      <c r="I7" s="14" t="inlineStr">
        <is>
          <t>Payment</t>
        </is>
      </c>
      <c r="J7" s="39" t="n">
        <v>1500</v>
      </c>
      <c r="K7" s="39" t="n">
        <v>0</v>
      </c>
      <c r="L7" s="39" t="n">
        <v>1500</v>
      </c>
      <c r="M7" s="39" t="n">
        <v>140840</v>
      </c>
      <c r="N7" s="14" t="inlineStr">
        <is>
          <t>UPI</t>
        </is>
      </c>
      <c r="O7" s="14" t="inlineStr">
        <is>
          <t>No</t>
        </is>
      </c>
      <c r="P7" s="14" t="inlineStr">
        <is>
          <t>UPI/# # UPI/#/#:#:#/UPI/Q#@YBL/FOOD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HYPERLINK("#'Transactions'!A10", "View Source Row")</f>
        <v/>
      </c>
    </row>
    <row r="8">
      <c r="A8" s="14" t="n">
        <v>19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UPI/6092378308 37830859 UPI/609237830859/11:20:36/UPI/9850754712-3@ybl/st</t>
        </is>
      </c>
      <c r="H8" s="14" t="str"/>
      <c r="I8" s="14" t="inlineStr">
        <is>
          <t>Payment</t>
        </is>
      </c>
      <c r="J8" s="39" t="n">
        <v>4000</v>
      </c>
      <c r="K8" s="39" t="n">
        <v>0</v>
      </c>
      <c r="L8" s="39" t="n">
        <v>4000</v>
      </c>
      <c r="M8" s="39" t="n">
        <v>509521.5</v>
      </c>
      <c r="N8" s="14" t="inlineStr">
        <is>
          <t>UPI</t>
        </is>
      </c>
      <c r="O8" s="14" t="inlineStr">
        <is>
          <t>No</t>
        </is>
      </c>
      <c r="P8" s="14" t="inlineStr">
        <is>
          <t>UPI/# # UPI/#/#:#:#/UPI/#-#@YBL/ST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HYPERLINK("#'Transactions'!A20", "View Source Row")</f>
        <v/>
      </c>
    </row>
    <row r="9">
      <c r="A9" s="14" t="n">
        <v>22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UPI/6092013389 1338963 UPI/609201338963/12:38:06/UPI/gpay-11193876450@ok</t>
        </is>
      </c>
      <c r="H9" s="14" t="str"/>
      <c r="I9" s="14" t="inlineStr">
        <is>
          <t>Payment</t>
        </is>
      </c>
      <c r="J9" s="39" t="n">
        <v>2800</v>
      </c>
      <c r="K9" s="39" t="n">
        <v>0</v>
      </c>
      <c r="L9" s="39" t="n">
        <v>2800</v>
      </c>
      <c r="M9" s="39" t="n">
        <v>588117.5</v>
      </c>
      <c r="N9" s="14" t="inlineStr">
        <is>
          <t>UPI</t>
        </is>
      </c>
      <c r="O9" s="14" t="inlineStr">
        <is>
          <t>No</t>
        </is>
      </c>
      <c r="P9" s="14" t="inlineStr">
        <is>
          <t>UPI/# # UPI/#/#:#:#/UPI/GPAY-#@OK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HYPERLINK("#'Transactions'!A23", "View Source Row")</f>
        <v/>
      </c>
    </row>
    <row r="10">
      <c r="A10" s="14" t="n">
        <v>44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46116</v>
      </c>
      <c r="F10" s="40" t="n">
        <v>46116</v>
      </c>
      <c r="G10" s="16" t="inlineStr">
        <is>
          <t>UPI/6094661908 66190812 UPI/609466190812/12:12:08/UPI/starbazaarhyper@ybl</t>
        </is>
      </c>
      <c r="H10" s="14" t="str"/>
      <c r="I10" s="14" t="inlineStr">
        <is>
          <t>Payment</t>
        </is>
      </c>
      <c r="J10" s="39" t="n">
        <v>150.63</v>
      </c>
      <c r="K10" s="39" t="n">
        <v>0</v>
      </c>
      <c r="L10" s="39" t="n">
        <v>150.63</v>
      </c>
      <c r="M10" s="39" t="n">
        <v>32549.37</v>
      </c>
      <c r="N10" s="14" t="inlineStr">
        <is>
          <t>UPI</t>
        </is>
      </c>
      <c r="O10" s="14" t="inlineStr">
        <is>
          <t>No</t>
        </is>
      </c>
      <c r="P10" s="14" t="inlineStr">
        <is>
          <t>STARBAZAARHYPERYBL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46116</v>
      </c>
      <c r="AB10" s="42">
        <f>HYPERLINK("#'Transactions'!A45", "View Source Row")</f>
        <v/>
      </c>
    </row>
    <row r="11">
      <c r="A11" s="14" t="n">
        <v>61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46118</v>
      </c>
      <c r="F11" s="40" t="n">
        <v>46118</v>
      </c>
      <c r="G11" s="16" t="inlineStr">
        <is>
          <t>UPI/8321480914 48091426 UPI/832148091426/12:12:00/UPI/7507026281@axl/Paym</t>
        </is>
      </c>
      <c r="H11" s="14" t="str"/>
      <c r="I11" s="14" t="inlineStr">
        <is>
          <t>Receipt</t>
        </is>
      </c>
      <c r="J11" s="39" t="n">
        <v>0</v>
      </c>
      <c r="K11" s="39" t="n">
        <v>1000</v>
      </c>
      <c r="L11" s="39" t="n">
        <v>1000</v>
      </c>
      <c r="M11" s="39" t="n">
        <v>147089</v>
      </c>
      <c r="N11" s="14" t="inlineStr">
        <is>
          <t>UPI</t>
        </is>
      </c>
      <c r="O11" s="14" t="inlineStr">
        <is>
          <t>No</t>
        </is>
      </c>
      <c r="P11" s="14" t="inlineStr">
        <is>
          <t>UPI/# # UPI/#/#:#:#/UPI/#@AXL/PAYM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46118</v>
      </c>
      <c r="AB11" s="42">
        <f>HYPERLINK("#'Transactions'!A62", "View Source Row")</f>
        <v/>
      </c>
    </row>
    <row r="12">
      <c r="A12" s="14" t="n">
        <v>69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46119</v>
      </c>
      <c r="F12" s="40" t="n">
        <v>46119</v>
      </c>
      <c r="G12" s="16" t="inlineStr">
        <is>
          <t>UPI/8639137766 13776666 UPI/863913776666/06:48:44/UPI/surajdhanotra1@ibl/</t>
        </is>
      </c>
      <c r="H12" s="14" t="str"/>
      <c r="I12" s="14" t="inlineStr">
        <is>
          <t>Receipt</t>
        </is>
      </c>
      <c r="J12" s="39" t="n">
        <v>0</v>
      </c>
      <c r="K12" s="39" t="n">
        <v>9000</v>
      </c>
      <c r="L12" s="39" t="n">
        <v>9000</v>
      </c>
      <c r="M12" s="39" t="n">
        <v>14500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SURAJDHANOTRAIBL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46119</v>
      </c>
      <c r="AB12" s="42">
        <f>HYPERLINK("#'Transactions'!A70", "View Source Row")</f>
        <v/>
      </c>
    </row>
    <row r="13">
      <c r="A13" s="14" t="n">
        <v>77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46119</v>
      </c>
      <c r="F13" s="40" t="n">
        <v>46119</v>
      </c>
      <c r="G13" s="16" t="inlineStr">
        <is>
          <t>UPI/6463233094 23309409 UPI/646323309409/14:08:53/UPI/gotarne.pratik@axl/</t>
        </is>
      </c>
      <c r="H13" s="14" t="str"/>
      <c r="I13" s="14" t="inlineStr">
        <is>
          <t>Payment</t>
        </is>
      </c>
      <c r="J13" s="39" t="n">
        <v>500</v>
      </c>
      <c r="K13" s="39" t="n">
        <v>0</v>
      </c>
      <c r="L13" s="39" t="n">
        <v>500</v>
      </c>
      <c r="M13" s="39" t="n">
        <v>77259.35000000001</v>
      </c>
      <c r="N13" s="14" t="inlineStr">
        <is>
          <t>UPI</t>
        </is>
      </c>
      <c r="O13" s="14" t="inlineStr">
        <is>
          <t>No</t>
        </is>
      </c>
      <c r="P13" s="14" t="inlineStr">
        <is>
          <t>GOTARNEPRATIKAXL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46119</v>
      </c>
      <c r="AB13" s="42">
        <f>HYPERLINK("#'Transactions'!A78", "View Source Row")</f>
        <v/>
      </c>
    </row>
    <row r="14">
      <c r="A14" s="14" t="n">
        <v>84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46120</v>
      </c>
      <c r="F14" s="40" t="n">
        <v>46120</v>
      </c>
      <c r="G14" s="16" t="inlineStr">
        <is>
          <t>UPI/6464912624 91262434 UPI/646491262434/06:48:01/UPI/9822321566@centralb</t>
        </is>
      </c>
      <c r="H14" s="14" t="str"/>
      <c r="I14" s="14" t="inlineStr">
        <is>
          <t>Payment</t>
        </is>
      </c>
      <c r="J14" s="39" t="n">
        <v>37085</v>
      </c>
      <c r="K14" s="39" t="n">
        <v>0</v>
      </c>
      <c r="L14" s="39" t="n">
        <v>37085</v>
      </c>
      <c r="M14" s="39" t="n">
        <v>246512</v>
      </c>
      <c r="N14" s="14" t="inlineStr">
        <is>
          <t>UPI</t>
        </is>
      </c>
      <c r="O14" s="14" t="inlineStr">
        <is>
          <t>No</t>
        </is>
      </c>
      <c r="P14" s="14" t="inlineStr">
        <is>
          <t>CENTRALB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1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46120</v>
      </c>
      <c r="AB14" s="42">
        <f>HYPERLINK("#'Transactions'!A85", "View Source Row")</f>
        <v/>
      </c>
    </row>
    <row r="15">
      <c r="A15" s="14" t="n">
        <v>108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46122</v>
      </c>
      <c r="F15" s="40" t="n">
        <v>46122</v>
      </c>
      <c r="G15" s="16" t="inlineStr">
        <is>
          <t>UPI/7501693995 69399505 UPI/750169399505/08:58:54/UPI/surajdhanotra1@ibl/</t>
        </is>
      </c>
      <c r="H15" s="14" t="str"/>
      <c r="I15" s="14" t="inlineStr">
        <is>
          <t>Receipt</t>
        </is>
      </c>
      <c r="J15" s="39" t="n">
        <v>0</v>
      </c>
      <c r="K15" s="39" t="n">
        <v>3165</v>
      </c>
      <c r="L15" s="39" t="n">
        <v>3165</v>
      </c>
      <c r="M15" s="39" t="n">
        <v>29065</v>
      </c>
      <c r="N15" s="14" t="inlineStr">
        <is>
          <t>UPI; Recurring Transaction</t>
        </is>
      </c>
      <c r="O15" s="14" t="inlineStr">
        <is>
          <t>Yes</t>
        </is>
      </c>
      <c r="P15" s="14" t="inlineStr">
        <is>
          <t>SURAJDHANOTRAIBL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1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46122</v>
      </c>
      <c r="AB15" s="42">
        <f>HYPERLINK("#'Transactions'!A109", "View Source Row")</f>
        <v/>
      </c>
    </row>
    <row r="16">
      <c r="A16" s="14" t="n">
        <v>113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46122</v>
      </c>
      <c r="F16" s="40" t="n">
        <v>46122</v>
      </c>
      <c r="G16" s="16" t="inlineStr">
        <is>
          <t>UPI/6100342974 34297402 UPI/610034297402/20:16:31/UPI/917348832012@waaxis</t>
        </is>
      </c>
      <c r="H16" s="14" t="str"/>
      <c r="I16" s="14" t="inlineStr">
        <is>
          <t>Receipt</t>
        </is>
      </c>
      <c r="J16" s="39" t="n">
        <v>0</v>
      </c>
      <c r="K16" s="39" t="n">
        <v>220</v>
      </c>
      <c r="L16" s="39" t="n">
        <v>220</v>
      </c>
      <c r="M16" s="39" t="n">
        <v>15915</v>
      </c>
      <c r="N16" s="14" t="inlineStr">
        <is>
          <t>UPI</t>
        </is>
      </c>
      <c r="O16" s="14" t="inlineStr">
        <is>
          <t>No</t>
        </is>
      </c>
      <c r="P16" s="14" t="inlineStr">
        <is>
          <t>UPI/# # UPI/#/#:#:#/UPI/#@WAAXIS</t>
        </is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1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46122</v>
      </c>
      <c r="AB16" s="42">
        <f>HYPERLINK("#'Transactions'!A114", "View Source Row")</f>
        <v/>
      </c>
    </row>
    <row r="17">
      <c r="A17" s="14" t="n">
        <v>142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46123</v>
      </c>
      <c r="F17" s="40" t="n">
        <v>46123</v>
      </c>
      <c r="G17" s="16" t="inlineStr">
        <is>
          <t>UPI/3316762170 76217092 UPI/331676217092/17:08:51/UPI/surajdhanotra1@ibl/ https://cbdrpt101.bankofbaroda.co.in:22000/finbranch/arjspmorph/INFENG/tran_rpt.jsp?... 04-05-2026</t>
        </is>
      </c>
      <c r="H17" s="14" t="str"/>
      <c r="I17" s="14" t="inlineStr">
        <is>
          <t>Receipt</t>
        </is>
      </c>
      <c r="J17" s="39" t="n">
        <v>0</v>
      </c>
      <c r="K17" s="39" t="n">
        <v>1808</v>
      </c>
      <c r="L17" s="39" t="n">
        <v>1808</v>
      </c>
      <c r="M17" s="39" t="n">
        <v>31352</v>
      </c>
      <c r="N17" s="14" t="inlineStr">
        <is>
          <t>UPI; Recurring Transaction</t>
        </is>
      </c>
      <c r="O17" s="14" t="inlineStr">
        <is>
          <t>Yes</t>
        </is>
      </c>
      <c r="P17" s="14" t="inlineStr">
        <is>
          <t>SURAJDHANOTRAIBL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46123</v>
      </c>
      <c r="AB17" s="42">
        <f>HYPERLINK("#'Transactions'!A143", "View Source Row")</f>
        <v/>
      </c>
    </row>
    <row r="18">
      <c r="A18" s="14" t="n">
        <v>147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46124</v>
      </c>
      <c r="F18" s="40" t="n">
        <v>46124</v>
      </c>
      <c r="G18" s="16" t="inlineStr">
        <is>
          <t>UPI/8741236018 23601815 UPI/874123601815/12:37:26/UPI/surajdhanotra1@ibl/</t>
        </is>
      </c>
      <c r="H18" s="14" t="str"/>
      <c r="I18" s="14" t="inlineStr">
        <is>
          <t>Receipt</t>
        </is>
      </c>
      <c r="J18" s="39" t="n">
        <v>0</v>
      </c>
      <c r="K18" s="39" t="n">
        <v>1808</v>
      </c>
      <c r="L18" s="39" t="n">
        <v>1808</v>
      </c>
      <c r="M18" s="39" t="n">
        <v>504104.39</v>
      </c>
      <c r="N18" s="14" t="inlineStr">
        <is>
          <t>UPI; Recurring Transaction</t>
        </is>
      </c>
      <c r="O18" s="14" t="inlineStr">
        <is>
          <t>Yes</t>
        </is>
      </c>
      <c r="P18" s="14" t="inlineStr">
        <is>
          <t>SURAJDHANOTRAIBL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1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46124</v>
      </c>
      <c r="AB18" s="42">
        <f>HYPERLINK("#'Transactions'!A148", "View Source Row")</f>
        <v/>
      </c>
    </row>
    <row r="19">
      <c r="A19" s="14" t="n">
        <v>148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46124</v>
      </c>
      <c r="F19" s="40" t="n">
        <v>46124</v>
      </c>
      <c r="G19" s="16" t="inlineStr">
        <is>
          <t>UPI/6468867277 86727709 UPI/646886727709/16:03:55/UPI/omkarpatil4254op@ok</t>
        </is>
      </c>
      <c r="H19" s="14" t="str"/>
      <c r="I19" s="14" t="inlineStr">
        <is>
          <t>Receipt</t>
        </is>
      </c>
      <c r="J19" s="39" t="n">
        <v>0</v>
      </c>
      <c r="K19" s="39" t="n">
        <v>10000</v>
      </c>
      <c r="L19" s="39" t="n">
        <v>10000</v>
      </c>
      <c r="M19" s="39" t="n">
        <v>514104.39</v>
      </c>
      <c r="N19" s="14" t="inlineStr">
        <is>
          <t>UPI</t>
        </is>
      </c>
      <c r="O19" s="14" t="inlineStr">
        <is>
          <t>No</t>
        </is>
      </c>
      <c r="P19" s="14" t="inlineStr">
        <is>
          <t>OMKARPATILOPOK</t>
        </is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1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46124</v>
      </c>
      <c r="AB19" s="42">
        <f>HYPERLINK("#'Transactions'!A149", "View Source Row")</f>
        <v/>
      </c>
    </row>
    <row r="20">
      <c r="A20" s="14" t="n">
        <v>156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46125</v>
      </c>
      <c r="F20" s="40" t="n">
        <v>46125</v>
      </c>
      <c r="G20" s="16" t="inlineStr">
        <is>
          <t>UPI/6103246468 24646865 UPI/610324646865/09:30:08/UPI/autofleetpetrolpump</t>
        </is>
      </c>
      <c r="H20" s="14" t="str"/>
      <c r="I20" s="14" t="inlineStr">
        <is>
          <t>Payment</t>
        </is>
      </c>
      <c r="J20" s="39" t="n">
        <v>2000</v>
      </c>
      <c r="K20" s="39" t="n">
        <v>0</v>
      </c>
      <c r="L20" s="39" t="n">
        <v>2000</v>
      </c>
      <c r="M20" s="39" t="n">
        <v>384461.93</v>
      </c>
      <c r="N20" s="14" t="inlineStr">
        <is>
          <t>UPI; Recurring Transaction</t>
        </is>
      </c>
      <c r="O20" s="14" t="inlineStr">
        <is>
          <t>Yes</t>
        </is>
      </c>
      <c r="P20" s="14" t="inlineStr">
        <is>
          <t>AUTOFLEETPETROLPUMP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46125</v>
      </c>
      <c r="AB20" s="42">
        <f>HYPERLINK("#'Transactions'!A157", "View Source Row")</f>
        <v/>
      </c>
    </row>
    <row r="21">
      <c r="A21" s="14" t="n">
        <v>157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46125</v>
      </c>
      <c r="F21" s="40" t="n">
        <v>46125</v>
      </c>
      <c r="G21" s="16" t="inlineStr">
        <is>
          <t>UPI/6103049513 4951307 UPI/610304951307/09:30:56/UPI/autofleetpetrolpump</t>
        </is>
      </c>
      <c r="H21" s="14" t="str"/>
      <c r="I21" s="14" t="inlineStr">
        <is>
          <t>Payment</t>
        </is>
      </c>
      <c r="J21" s="39" t="n">
        <v>1000</v>
      </c>
      <c r="K21" s="39" t="n">
        <v>0</v>
      </c>
      <c r="L21" s="39" t="n">
        <v>1000</v>
      </c>
      <c r="M21" s="39" t="n">
        <v>383461.93</v>
      </c>
      <c r="N21" s="14" t="inlineStr">
        <is>
          <t>UPI; Recurring Transaction</t>
        </is>
      </c>
      <c r="O21" s="14" t="inlineStr">
        <is>
          <t>Yes</t>
        </is>
      </c>
      <c r="P21" s="14" t="inlineStr">
        <is>
          <t>AUTOFLEETPETROLPUMP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1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46125</v>
      </c>
      <c r="AB21" s="42">
        <f>HYPERLINK("#'Transactions'!A158", "View Source Row")</f>
        <v/>
      </c>
    </row>
    <row r="22">
      <c r="A22" s="14" t="n">
        <v>159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46125</v>
      </c>
      <c r="F22" s="40" t="n">
        <v>46125</v>
      </c>
      <c r="G22" s="16" t="inlineStr">
        <is>
          <t>UPI/1265365595 36559565 UPI/126536559565/11:02:55/UPI/surajdhanotra1@ibl/</t>
        </is>
      </c>
      <c r="H22" s="14" t="str"/>
      <c r="I22" s="14" t="inlineStr">
        <is>
          <t>Receipt</t>
        </is>
      </c>
      <c r="J22" s="39" t="n">
        <v>0</v>
      </c>
      <c r="K22" s="39" t="n">
        <v>2261</v>
      </c>
      <c r="L22" s="39" t="n">
        <v>2261</v>
      </c>
      <c r="M22" s="39" t="n">
        <v>509722.93</v>
      </c>
      <c r="N22" s="14" t="inlineStr">
        <is>
          <t>UPI; Recurring Transaction</t>
        </is>
      </c>
      <c r="O22" s="14" t="inlineStr">
        <is>
          <t>Yes</t>
        </is>
      </c>
      <c r="P22" s="14" t="inlineStr">
        <is>
          <t>SURAJDHANOTRAIBL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46125</v>
      </c>
      <c r="AB22" s="42">
        <f>HYPERLINK("#'Transactions'!A160", "View Source Row")</f>
        <v/>
      </c>
    </row>
    <row r="23">
      <c r="A23" s="14" t="n">
        <v>160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46125</v>
      </c>
      <c r="F23" s="40" t="n">
        <v>46125</v>
      </c>
      <c r="G23" s="16" t="inlineStr">
        <is>
          <t>UPI/6103603296 60329695 UPI/610360329695/11:04:28/UPI/paytmqr6ep7sx@ptys/</t>
        </is>
      </c>
      <c r="H23" s="14" t="str"/>
      <c r="I23" s="14" t="inlineStr">
        <is>
          <t>Payment</t>
        </is>
      </c>
      <c r="J23" s="39" t="n">
        <v>3300</v>
      </c>
      <c r="K23" s="39" t="n">
        <v>0</v>
      </c>
      <c r="L23" s="39" t="n">
        <v>3300</v>
      </c>
      <c r="M23" s="39" t="n">
        <v>506422.93</v>
      </c>
      <c r="N23" s="14" t="inlineStr">
        <is>
          <t>UPI</t>
        </is>
      </c>
      <c r="O23" s="14" t="inlineStr">
        <is>
          <t>No</t>
        </is>
      </c>
      <c r="P23" s="14" t="inlineStr">
        <is>
          <t>PAYTMQREPSXPTYS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46125</v>
      </c>
      <c r="AB23" s="42">
        <f>HYPERLINK("#'Transactions'!A161", "View Source Row")</f>
        <v/>
      </c>
    </row>
    <row r="24">
      <c r="A24" s="14" t="n">
        <v>170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46125</v>
      </c>
      <c r="F24" s="40" t="n">
        <v>46125</v>
      </c>
      <c r="G24" s="16" t="inlineStr">
        <is>
          <t>UPI/6103931725 93172546 UPI/610393172546/18:35:56/UPI/q17779140@ybl/color</t>
        </is>
      </c>
      <c r="H24" s="14" t="str"/>
      <c r="I24" s="14" t="inlineStr">
        <is>
          <t>Payment</t>
        </is>
      </c>
      <c r="J24" s="39" t="n">
        <v>16000</v>
      </c>
      <c r="K24" s="39" t="n">
        <v>0</v>
      </c>
      <c r="L24" s="39" t="n">
        <v>16000</v>
      </c>
      <c r="M24" s="39" t="n">
        <v>24500</v>
      </c>
      <c r="N24" s="14" t="inlineStr">
        <is>
          <t>UPI</t>
        </is>
      </c>
      <c r="O24" s="14" t="inlineStr">
        <is>
          <t>No</t>
        </is>
      </c>
      <c r="P24" s="14" t="inlineStr">
        <is>
          <t>UPI/# # UPI/#/#:#:#/UPI/Q#@YBL/COLOR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1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46125</v>
      </c>
      <c r="AB24" s="42">
        <f>HYPERLINK("#'Transactions'!A171", "View Source Row")</f>
        <v/>
      </c>
    </row>
    <row r="25">
      <c r="A25" s="14" t="n">
        <v>193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46127</v>
      </c>
      <c r="F25" s="40" t="n">
        <v>46127</v>
      </c>
      <c r="G25" s="16" t="inlineStr">
        <is>
          <t>UPI/5133890676 89067648 UPI/513389067648/17:04:34/UPI/surajdhanotra1@ibl/</t>
        </is>
      </c>
      <c r="H25" s="14" t="str"/>
      <c r="I25" s="14" t="inlineStr">
        <is>
          <t>Receipt</t>
        </is>
      </c>
      <c r="J25" s="39" t="n">
        <v>0</v>
      </c>
      <c r="K25" s="39" t="n">
        <v>3617</v>
      </c>
      <c r="L25" s="39" t="n">
        <v>3617</v>
      </c>
      <c r="M25" s="39" t="n">
        <v>16236.8</v>
      </c>
      <c r="N25" s="14" t="inlineStr">
        <is>
          <t>UPI; Recurring Transaction</t>
        </is>
      </c>
      <c r="O25" s="14" t="inlineStr">
        <is>
          <t>Yes</t>
        </is>
      </c>
      <c r="P25" s="14" t="inlineStr">
        <is>
          <t>SURAJDHANOTRAIBL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1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46127</v>
      </c>
      <c r="AB25" s="42">
        <f>HYPERLINK("#'Transactions'!A194", "View Source Row")</f>
        <v/>
      </c>
    </row>
    <row r="26">
      <c r="A26" s="14" t="n">
        <v>224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46130</v>
      </c>
      <c r="F26" s="40" t="n">
        <v>46130</v>
      </c>
      <c r="G26" s="16" t="inlineStr">
        <is>
          <t>UPI/1217782049 78204946 UPI/121778204946/11:06:59/UPI/sureshenterprises15</t>
        </is>
      </c>
      <c r="H26" s="14" t="str"/>
      <c r="I26" s="14" t="inlineStr">
        <is>
          <t>Receipt</t>
        </is>
      </c>
      <c r="J26" s="39" t="n">
        <v>0</v>
      </c>
      <c r="K26" s="39" t="n">
        <v>15000</v>
      </c>
      <c r="L26" s="39" t="n">
        <v>15000</v>
      </c>
      <c r="M26" s="39" t="n">
        <v>428035.28</v>
      </c>
      <c r="N26" s="14" t="inlineStr">
        <is>
          <t>UPI; Recurring Transaction</t>
        </is>
      </c>
      <c r="O26" s="14" t="inlineStr">
        <is>
          <t>Yes</t>
        </is>
      </c>
      <c r="P26" s="14" t="inlineStr">
        <is>
          <t>SURESHENTERPRISES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46130</v>
      </c>
      <c r="AB26" s="42">
        <f>HYPERLINK("#'Transactions'!A225", "View Source Row")</f>
        <v/>
      </c>
    </row>
    <row r="27">
      <c r="A27" s="14" t="n">
        <v>235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46131</v>
      </c>
      <c r="F27" s="40" t="n">
        <v>46131</v>
      </c>
      <c r="G27" s="16" t="inlineStr">
        <is>
          <t>UPI/4002793229 79322988 UPI/400279322988/11:44:31/UPI/surajdhanotra1@ibl/</t>
        </is>
      </c>
      <c r="H27" s="14" t="str"/>
      <c r="I27" s="14" t="inlineStr">
        <is>
          <t>Receipt</t>
        </is>
      </c>
      <c r="J27" s="39" t="n">
        <v>0</v>
      </c>
      <c r="K27" s="39" t="n">
        <v>11305</v>
      </c>
      <c r="L27" s="39" t="n">
        <v>11305</v>
      </c>
      <c r="M27" s="39" t="n">
        <v>145810.53</v>
      </c>
      <c r="N27" s="14" t="inlineStr">
        <is>
          <t>UPI; Recurring Transaction</t>
        </is>
      </c>
      <c r="O27" s="14" t="inlineStr">
        <is>
          <t>Yes</t>
        </is>
      </c>
      <c r="P27" s="14" t="inlineStr">
        <is>
          <t>SURAJDHANOTRAIBL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1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46131</v>
      </c>
      <c r="AB27" s="42">
        <f>HYPERLINK("#'Transactions'!A236", "View Source Row")</f>
        <v/>
      </c>
    </row>
    <row r="28">
      <c r="A28" s="14" t="n">
        <v>236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46131</v>
      </c>
      <c r="F28" s="40" t="n">
        <v>46131</v>
      </c>
      <c r="G28" s="16" t="inlineStr">
        <is>
          <t>UPI/6109476580 47658049 UPI/610947658049/18:07:36/UPI/akashshelar41-2@oki</t>
        </is>
      </c>
      <c r="H28" s="14" t="str"/>
      <c r="I28" s="14" t="inlineStr">
        <is>
          <t>Receipt</t>
        </is>
      </c>
      <c r="J28" s="39" t="n">
        <v>0</v>
      </c>
      <c r="K28" s="39" t="n">
        <v>58000</v>
      </c>
      <c r="L28" s="39" t="n">
        <v>58000</v>
      </c>
      <c r="M28" s="39" t="n">
        <v>203810.53</v>
      </c>
      <c r="N28" s="14" t="inlineStr">
        <is>
          <t>UPI; Recurring Transaction</t>
        </is>
      </c>
      <c r="O28" s="14" t="inlineStr">
        <is>
          <t>Yes</t>
        </is>
      </c>
      <c r="P28" s="14" t="inlineStr">
        <is>
          <t>AKASHSHELAR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1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46131</v>
      </c>
      <c r="AB28" s="42">
        <f>HYPERLINK("#'Transactions'!A237", "View Source Row")</f>
        <v/>
      </c>
    </row>
    <row r="29">
      <c r="A29" s="14" t="n">
        <v>237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46131</v>
      </c>
      <c r="F29" s="40" t="n">
        <v>46131</v>
      </c>
      <c r="G29" s="16" t="inlineStr">
        <is>
          <t>UPI/7858383104 38310405 UPI/785838310405/18:17:34/UPI/slaksmanaswamy@ybl/</t>
        </is>
      </c>
      <c r="H29" s="14" t="str"/>
      <c r="I29" s="14" t="inlineStr">
        <is>
          <t>Receipt</t>
        </is>
      </c>
      <c r="J29" s="39" t="n">
        <v>0</v>
      </c>
      <c r="K29" s="39" t="n">
        <v>10000</v>
      </c>
      <c r="L29" s="39" t="n">
        <v>10000</v>
      </c>
      <c r="M29" s="39" t="n">
        <v>213810.53</v>
      </c>
      <c r="N29" s="14" t="inlineStr">
        <is>
          <t>UPI</t>
        </is>
      </c>
      <c r="O29" s="14" t="inlineStr">
        <is>
          <t>No</t>
        </is>
      </c>
      <c r="P29" s="14" t="inlineStr">
        <is>
          <t>SLAKSMANASWAMYYBL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46131</v>
      </c>
      <c r="AB29" s="42">
        <f>HYPERLINK("#'Transactions'!A238", "View Source Row")</f>
        <v/>
      </c>
    </row>
    <row r="30">
      <c r="A30" s="14" t="n">
        <v>246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46132</v>
      </c>
      <c r="F30" s="40" t="n">
        <v>46132</v>
      </c>
      <c r="G30" s="16" t="inlineStr">
        <is>
          <t>UPI/6476820079 82007940 UPI/647682007940/13:39:58/UPI/patilsojwal855@okax</t>
        </is>
      </c>
      <c r="H30" s="14" t="str"/>
      <c r="I30" s="14" t="inlineStr">
        <is>
          <t>Receipt</t>
        </is>
      </c>
      <c r="J30" s="39" t="n">
        <v>0</v>
      </c>
      <c r="K30" s="39" t="n">
        <v>1</v>
      </c>
      <c r="L30" s="39" t="n">
        <v>1</v>
      </c>
      <c r="M30" s="39" t="n">
        <v>100408.78</v>
      </c>
      <c r="N30" s="14" t="inlineStr">
        <is>
          <t>UPI; Recurring Transaction</t>
        </is>
      </c>
      <c r="O30" s="14" t="inlineStr">
        <is>
          <t>Yes</t>
        </is>
      </c>
      <c r="P30" s="14" t="inlineStr">
        <is>
          <t>PATILSOJWALOKAX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1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46132</v>
      </c>
      <c r="AB30" s="42">
        <f>HYPERLINK("#'Transactions'!A247", "View Source Row")</f>
        <v/>
      </c>
    </row>
    <row r="31">
      <c r="A31" s="14" t="n">
        <v>247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46132</v>
      </c>
      <c r="F31" s="40" t="n">
        <v>46132</v>
      </c>
      <c r="G3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31" s="14" t="str"/>
      <c r="I31" s="14" t="inlineStr">
        <is>
          <t>Receipt</t>
        </is>
      </c>
      <c r="J31" s="39" t="n">
        <v>0</v>
      </c>
      <c r="K31" s="39" t="n">
        <v>14699</v>
      </c>
      <c r="L31" s="39" t="n">
        <v>14699</v>
      </c>
      <c r="M31" s="39" t="n">
        <v>115107.78</v>
      </c>
      <c r="N31" s="14" t="inlineStr">
        <is>
          <t>UPI; Recurring Transaction</t>
        </is>
      </c>
      <c r="O31" s="14" t="inlineStr">
        <is>
          <t>Yes</t>
        </is>
      </c>
      <c r="P31" s="14" t="inlineStr">
        <is>
          <t>PATILSOJWALOKAX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1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46132</v>
      </c>
      <c r="AB31" s="42">
        <f>HYPERLINK("#'Transactions'!A248", "View Source Row")</f>
        <v/>
      </c>
    </row>
    <row r="32">
      <c r="A32" s="14" t="n">
        <v>252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46132</v>
      </c>
      <c r="F32" s="40" t="n">
        <v>46132</v>
      </c>
      <c r="G32" s="16" t="inlineStr">
        <is>
          <t>UPI/6476077667 7766718 UPI/647607766718/23:35:11/UPI/sureshenterprises15</t>
        </is>
      </c>
      <c r="H32" s="14" t="str"/>
      <c r="I32" s="14" t="inlineStr">
        <is>
          <t>Receipt</t>
        </is>
      </c>
      <c r="J32" s="39" t="n">
        <v>0</v>
      </c>
      <c r="K32" s="39" t="n">
        <v>10000</v>
      </c>
      <c r="L32" s="39" t="n">
        <v>10000</v>
      </c>
      <c r="M32" s="39" t="n">
        <v>12500</v>
      </c>
      <c r="N32" s="14" t="inlineStr">
        <is>
          <t>UPI; Recurring Transaction</t>
        </is>
      </c>
      <c r="O32" s="14" t="inlineStr">
        <is>
          <t>Yes</t>
        </is>
      </c>
      <c r="P32" s="14" t="inlineStr">
        <is>
          <t>SURESHENTERPRISES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1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46132</v>
      </c>
      <c r="AB32" s="42">
        <f>HYPERLINK("#'Transactions'!A253", "View Source Row")</f>
        <v/>
      </c>
    </row>
    <row r="33">
      <c r="A33" s="14" t="n">
        <v>261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46133</v>
      </c>
      <c r="F33" s="40" t="n">
        <v>46133</v>
      </c>
      <c r="G33" s="16" t="inlineStr">
        <is>
          <t>UPI/1219449507 44950796 UPI/121944950796/16:42:07/UPI/paytmqr6fbyta@ptys/</t>
        </is>
      </c>
      <c r="H33" s="14" t="str"/>
      <c r="I33" s="14" t="inlineStr">
        <is>
          <t>Payment</t>
        </is>
      </c>
      <c r="J33" s="39" t="n">
        <v>1125</v>
      </c>
      <c r="K33" s="39" t="n">
        <v>0</v>
      </c>
      <c r="L33" s="39" t="n">
        <v>1125</v>
      </c>
      <c r="M33" s="39" t="n">
        <v>52677.7</v>
      </c>
      <c r="N33" s="14" t="inlineStr">
        <is>
          <t>UPI</t>
        </is>
      </c>
      <c r="O33" s="14" t="inlineStr">
        <is>
          <t>No</t>
        </is>
      </c>
      <c r="P33" s="14" t="inlineStr">
        <is>
          <t>PAYTMQRFBYTAPTYS</t>
        </is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46133</v>
      </c>
      <c r="AB33" s="42">
        <f>HYPERLINK("#'Transactions'!A262", "View Source Row")</f>
        <v/>
      </c>
    </row>
    <row r="34">
      <c r="A34" s="14" t="n">
        <v>278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46134</v>
      </c>
      <c r="F34" s="40" t="n">
        <v>46134</v>
      </c>
      <c r="G34" s="16" t="inlineStr">
        <is>
          <t>UPI/6112990875 99087582 UPI/611299087582/21:53:49/UPI/patildivya1511-1@ok</t>
        </is>
      </c>
      <c r="H34" s="14" t="str"/>
      <c r="I34" s="14" t="inlineStr">
        <is>
          <t>Receipt</t>
        </is>
      </c>
      <c r="J34" s="39" t="n">
        <v>0</v>
      </c>
      <c r="K34" s="39" t="n">
        <v>50000</v>
      </c>
      <c r="L34" s="39" t="n">
        <v>50000</v>
      </c>
      <c r="M34" s="39" t="n">
        <v>52500</v>
      </c>
      <c r="N34" s="14" t="inlineStr">
        <is>
          <t>UPI</t>
        </is>
      </c>
      <c r="O34" s="14" t="inlineStr">
        <is>
          <t>No</t>
        </is>
      </c>
      <c r="P34" s="14" t="inlineStr">
        <is>
          <t>PATILDIVYA</t>
        </is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1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46134</v>
      </c>
      <c r="AB34" s="42">
        <f>HYPERLINK("#'Transactions'!A279", "View Source Row")</f>
        <v/>
      </c>
    </row>
    <row r="35">
      <c r="A35" s="14" t="n">
        <v>307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46136</v>
      </c>
      <c r="F35" s="40" t="n">
        <v>46136</v>
      </c>
      <c r="G35" s="16" t="inlineStr">
        <is>
          <t>UPI/8429589140 58914051 UPI/842958914051/18:57:56/UPI/9423374100@ybl/Paym</t>
        </is>
      </c>
      <c r="H35" s="14" t="str"/>
      <c r="I35" s="14" t="inlineStr">
        <is>
          <t>Receipt</t>
        </is>
      </c>
      <c r="J35" s="39" t="n">
        <v>0</v>
      </c>
      <c r="K35" s="39" t="n">
        <v>80000</v>
      </c>
      <c r="L35" s="39" t="n">
        <v>80000</v>
      </c>
      <c r="M35" s="39" t="n">
        <v>117569</v>
      </c>
      <c r="N35" s="14" t="inlineStr">
        <is>
          <t>UPI</t>
        </is>
      </c>
      <c r="O35" s="14" t="inlineStr">
        <is>
          <t>No</t>
        </is>
      </c>
      <c r="P35" s="14" t="inlineStr">
        <is>
          <t>UPI/# # UPI/#/#:#:#/UPI/#@YBL/PAYM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46136</v>
      </c>
      <c r="AB35" s="42">
        <f>HYPERLINK("#'Transactions'!A308", "View Source Row")</f>
        <v/>
      </c>
    </row>
    <row r="36">
      <c r="A36" s="14" t="n">
        <v>337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46139</v>
      </c>
      <c r="F36" s="40" t="n">
        <v>46139</v>
      </c>
      <c r="G36" s="16" t="inlineStr">
        <is>
          <t>UPI/6117042006 4200667 UPI/611704200667/14:46:49/UPI/harad9480-3@okicici</t>
        </is>
      </c>
      <c r="H36" s="14" t="str"/>
      <c r="I36" s="14" t="inlineStr">
        <is>
          <t>Receipt</t>
        </is>
      </c>
      <c r="J36" s="39" t="n">
        <v>0</v>
      </c>
      <c r="K36" s="39" t="n">
        <v>1</v>
      </c>
      <c r="L36" s="39" t="n">
        <v>1</v>
      </c>
      <c r="M36" s="39" t="n">
        <v>92758</v>
      </c>
      <c r="N36" s="14" t="inlineStr">
        <is>
          <t>UPI</t>
        </is>
      </c>
      <c r="O36" s="14" t="inlineStr">
        <is>
          <t>No</t>
        </is>
      </c>
      <c r="P36" s="14" t="inlineStr">
        <is>
          <t>UPI/# # UPI/#/#:#:#/UPI/HARAD#-#@OKICICI</t>
        </is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46139</v>
      </c>
      <c r="AB36" s="42">
        <f>HYPERLINK("#'Transactions'!A338", "View Source Row")</f>
        <v/>
      </c>
    </row>
    <row r="37">
      <c r="A37" s="14" t="n">
        <v>338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46139</v>
      </c>
      <c r="F37" s="40" t="n">
        <v>46139</v>
      </c>
      <c r="G37" s="16" t="inlineStr">
        <is>
          <t>UPI/6117458829 45882969 UPI/611745882969/14:47:57/UPI/harad9480-3@okaxis/</t>
        </is>
      </c>
      <c r="H37" s="14" t="str"/>
      <c r="I37" s="14" t="inlineStr">
        <is>
          <t>Receipt</t>
        </is>
      </c>
      <c r="J37" s="39" t="n">
        <v>0</v>
      </c>
      <c r="K37" s="39" t="n">
        <v>45000</v>
      </c>
      <c r="L37" s="39" t="n">
        <v>45000</v>
      </c>
      <c r="M37" s="39" t="n">
        <v>137758</v>
      </c>
      <c r="N37" s="14" t="inlineStr">
        <is>
          <t>UPI</t>
        </is>
      </c>
      <c r="O37" s="14" t="inlineStr">
        <is>
          <t>No</t>
        </is>
      </c>
      <c r="P37" s="14" t="inlineStr">
        <is>
          <t>UPI/# # UPI/#/#:#:#/UPI/HARAD#-#@OKAXIS/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46139</v>
      </c>
      <c r="AB37" s="42">
        <f>HYPERLINK("#'Transactions'!A339", "View Source Row")</f>
        <v/>
      </c>
    </row>
    <row r="38">
      <c r="A38" s="14" t="n">
        <v>349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46140</v>
      </c>
      <c r="F38" s="40" t="n">
        <v>46140</v>
      </c>
      <c r="G38" s="16" t="inlineStr">
        <is>
          <t>UPI/6118698401 69840157 UPI/611869840157/10:49:20/UPI/akashshelar41-2@oki</t>
        </is>
      </c>
      <c r="H38" s="14" t="str"/>
      <c r="I38" s="14" t="inlineStr">
        <is>
          <t>Receipt</t>
        </is>
      </c>
      <c r="J38" s="39" t="n">
        <v>0</v>
      </c>
      <c r="K38" s="39" t="n">
        <v>4200</v>
      </c>
      <c r="L38" s="39" t="n">
        <v>4200</v>
      </c>
      <c r="M38" s="39" t="n">
        <v>347949.6</v>
      </c>
      <c r="N38" s="14" t="inlineStr">
        <is>
          <t>UPI; Recurring Transaction</t>
        </is>
      </c>
      <c r="O38" s="14" t="inlineStr">
        <is>
          <t>Yes</t>
        </is>
      </c>
      <c r="P38" s="14" t="inlineStr">
        <is>
          <t>AKASHSHELAR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1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46140</v>
      </c>
      <c r="AB38" s="42">
        <f>HYPERLINK("#'Transactions'!A350", "View Source Row")</f>
        <v/>
      </c>
    </row>
    <row r="39">
      <c r="A39" s="14" t="n">
        <v>367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46141</v>
      </c>
      <c r="F39" s="40" t="n">
        <v>46141</v>
      </c>
      <c r="G39" s="16" t="inlineStr">
        <is>
          <t>UPI/6485981469 98146908 UPI/648598146908/13:51:58/UPI/akashshelar41-2@oki</t>
        </is>
      </c>
      <c r="H39" s="14" t="str"/>
      <c r="I39" s="14" t="inlineStr">
        <is>
          <t>Receipt</t>
        </is>
      </c>
      <c r="J39" s="39" t="n">
        <v>0</v>
      </c>
      <c r="K39" s="39" t="n">
        <v>4000</v>
      </c>
      <c r="L39" s="39" t="n">
        <v>4000</v>
      </c>
      <c r="M39" s="39" t="n">
        <v>6500</v>
      </c>
      <c r="N39" s="14" t="inlineStr">
        <is>
          <t>UPI; Recurring Transaction</t>
        </is>
      </c>
      <c r="O39" s="14" t="inlineStr">
        <is>
          <t>Yes</t>
        </is>
      </c>
      <c r="P39" s="14" t="inlineStr">
        <is>
          <t>AKASHSHELAR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46141</v>
      </c>
      <c r="AB39" s="42">
        <f>HYPERLINK("#'Transactions'!A368", "View Source Row")</f>
        <v/>
      </c>
    </row>
    <row r="40">
      <c r="A40" s="14" t="n">
        <v>385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46142</v>
      </c>
      <c r="F40" s="40" t="n">
        <v>46142</v>
      </c>
      <c r="G40" s="16" t="inlineStr">
        <is>
          <t>UPI/1223593229 59322927 UPI/122359322927/08:14:36/UPI/shivprasad750758984</t>
        </is>
      </c>
      <c r="H40" s="14" t="str"/>
      <c r="I40" s="14" t="inlineStr">
        <is>
          <t>Receipt</t>
        </is>
      </c>
      <c r="J40" s="39" t="n">
        <v>0</v>
      </c>
      <c r="K40" s="39" t="n">
        <v>11000</v>
      </c>
      <c r="L40" s="39" t="n">
        <v>11000</v>
      </c>
      <c r="M40" s="39" t="n">
        <v>12997.05</v>
      </c>
      <c r="N40" s="14" t="inlineStr">
        <is>
          <t>UPI</t>
        </is>
      </c>
      <c r="O40" s="14" t="inlineStr">
        <is>
          <t>No</t>
        </is>
      </c>
      <c r="P40" s="14" t="inlineStr">
        <is>
          <t>SHIVPRASAD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1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46142</v>
      </c>
      <c r="AB40" s="42">
        <f>HYPERLINK("#'Transactions'!A386",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LIC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LIC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interest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interest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Deposit and withdrawals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Deposit/Withdrawal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PPF/PF interest and contribution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PPF/PF interest/contribution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3" t="inlineStr">
        <is>
          <t>Check</t>
        </is>
      </c>
      <c r="B1" s="13" t="inlineStr">
        <is>
          <t>Actual</t>
        </is>
      </c>
      <c r="C1" s="13" t="inlineStr">
        <is>
          <t>Expected</t>
        </is>
      </c>
      <c r="D1" s="13" t="inlineStr">
        <is>
          <t>Difference</t>
        </is>
      </c>
      <c r="E1" s="13" t="inlineStr">
        <is>
          <t>Tolerance</t>
        </is>
      </c>
      <c r="F1" s="13" t="inlineStr">
        <is>
          <t>Status</t>
        </is>
      </c>
    </row>
    <row r="2">
      <c r="A2" s="14" t="inlineStr">
        <is>
          <t>Total payments tie to Bank of Baroda summaries</t>
        </is>
      </c>
      <c r="B2" s="39">
        <f>SUM(Transactions!$J$2:$J$399)</f>
        <v/>
      </c>
      <c r="C2" s="39">
        <f>SUM('Monthly Summary'!$I$2:$I$2)</f>
        <v/>
      </c>
      <c r="D2" s="39">
        <f>B2-C2</f>
        <v/>
      </c>
      <c r="E2" s="39">
        <f>0.01</f>
        <v/>
      </c>
      <c r="F2" s="14">
        <f>IF(ABS(D2)&lt;=E2,"OK","Check")</f>
        <v/>
      </c>
    </row>
    <row r="3">
      <c r="A3" s="14" t="inlineStr">
        <is>
          <t>Total receipts tie to Bank of Baroda summaries</t>
        </is>
      </c>
      <c r="B3" s="39">
        <f>SUM(Transactions!$K$2:$K$399)</f>
        <v/>
      </c>
      <c r="C3" s="39">
        <f>SUM('Monthly Summary'!$J$2:$J$2)</f>
        <v/>
      </c>
      <c r="D3" s="39">
        <f>B3-C3</f>
        <v/>
      </c>
      <c r="E3" s="39">
        <f>0.01</f>
        <v/>
      </c>
      <c r="F3" s="14">
        <f>IF(ABS(D3)&lt;=E3,"OK","Check")</f>
        <v/>
      </c>
    </row>
    <row r="4">
      <c r="A4" s="14" t="inlineStr">
        <is>
          <t>All monthly payment checks OK</t>
        </is>
      </c>
      <c r="B4" s="43">
        <f>COUNTIF('Monthly Summary'!$N$2:$N$2,"OK")</f>
        <v/>
      </c>
      <c r="C4" s="43">
        <f>1</f>
        <v/>
      </c>
      <c r="D4" s="43">
        <f>B4-C4</f>
        <v/>
      </c>
      <c r="E4" s="43">
        <f>0</f>
        <v/>
      </c>
      <c r="F4" s="14">
        <f>IF(D4=0,"OK","Check")</f>
        <v/>
      </c>
    </row>
    <row r="5">
      <c r="A5" s="14" t="inlineStr">
        <is>
          <t>All monthly receipt checks OK</t>
        </is>
      </c>
      <c r="B5" s="43">
        <f>COUNTIF('Monthly Summary'!$O$2:$O$2,"OK")</f>
        <v/>
      </c>
      <c r="C5" s="43">
        <f>1</f>
        <v/>
      </c>
      <c r="D5" s="43">
        <f>B5-C5</f>
        <v/>
      </c>
      <c r="E5" s="43">
        <f>0</f>
        <v/>
      </c>
      <c r="F5" s="14">
        <f>IF(D5=0,"OK","Check")</f>
        <v/>
      </c>
    </row>
    <row r="6">
      <c r="A6" s="14" t="inlineStr">
        <is>
          <t>Transaction rows parsed</t>
        </is>
      </c>
      <c r="B6" s="43">
        <f>COUNTA(Transactions!$A$2:$A$399)</f>
        <v/>
      </c>
      <c r="C6" s="43">
        <f>398</f>
        <v/>
      </c>
      <c r="D6" s="43">
        <f>B6-C6</f>
        <v/>
      </c>
      <c r="E6" s="43">
        <f>0</f>
        <v/>
      </c>
      <c r="F6" s="14">
        <f>IF(D6=0,"OK","Check")</f>
        <v/>
      </c>
    </row>
    <row r="7">
      <c r="A7" s="14" t="inlineStr">
        <is>
          <t>Statement PDFs processed</t>
        </is>
      </c>
      <c r="B7" s="43">
        <f>COUNTA(Sources!$A$2:$A$2)</f>
        <v/>
      </c>
      <c r="C7" s="43">
        <f>1</f>
        <v/>
      </c>
      <c r="D7" s="43">
        <f>B7-C7</f>
        <v/>
      </c>
      <c r="E7" s="43">
        <f>0</f>
        <v/>
      </c>
      <c r="F7" s="14">
        <f>IF(D7=0,"OK","Check")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" customWidth="1" min="4" max="4"/>
    <col width="60" customWidth="1" min="5" max="5"/>
  </cols>
  <sheetData>
    <row r="1">
      <c r="A1" s="13" t="inlineStr">
        <is>
          <t>Source File</t>
        </is>
      </c>
      <c r="B1" s="13" t="inlineStr">
        <is>
          <t>Statement From</t>
        </is>
      </c>
      <c r="C1" s="13" t="inlineStr">
        <is>
          <t>Statement To</t>
        </is>
      </c>
      <c r="D1" s="13" t="inlineStr">
        <is>
          <t>Pages</t>
        </is>
      </c>
      <c r="E1" s="13" t="inlineStr">
        <is>
          <t>Layout Review</t>
        </is>
      </c>
    </row>
    <row r="2">
      <c r="A2" s="14" t="inlineStr">
        <is>
          <t>502 input.pdf</t>
        </is>
      </c>
      <c r="B2" s="40" t="n">
        <v>46113</v>
      </c>
      <c r="C2" s="40" t="n">
        <v>46142</v>
      </c>
      <c r="D2" s="14" t="n">
        <v>21</v>
      </c>
      <c r="E2" s="16" t="inlineStr">
        <is>
          <t>Text-based Bank of Baroda statement table. Transaction rows reconciled to statement summary.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2026-06-19T10:04:38Z</dcterms:created>
  <dcterms:modified xmlns:dcterms="http://purl.org/dc/terms/" xmlns:xsi="http://www.w3.org/2001/XMLSchema-instance" xsi:type="dcterms:W3CDTF">2026-06-19T10:04:39Z</dcterms:modified>
</cp:coreProperties>
</file>